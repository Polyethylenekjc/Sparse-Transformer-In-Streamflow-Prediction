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06e46ebf2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pulation summary" sheetId="1" r:id="R6ab380b4742e43e5"/>
    <x:sheet xmlns:r="http://schemas.openxmlformats.org/officeDocument/2006/relationships" name="Paired primary" sheetId="2" r:id="R6a8076ff027d42c2"/>
    <x:sheet xmlns:r="http://schemas.openxmlformats.org/officeDocument/2006/relationships" name="Circuits" sheetId="3" r:id="R2f496bfb55b8469e"/>
    <x:sheet xmlns:r="http://schemas.openxmlformats.org/officeDocument/2006/relationships" name="Convergence" sheetId="4" r:id="R859d0164ce7d4c9f"/>
    <x:sheet xmlns:r="http://schemas.openxmlformats.org/officeDocument/2006/relationships" name="Seed stability" sheetId="5" r:id="Rc631110c11bf45a9"/>
    <x:sheet xmlns:r="http://schemas.openxmlformats.org/officeDocument/2006/relationships" name="Confirmation" sheetId="6" r:id="Raf8f4057d6d94079"/>
    <x:sheet xmlns:r="http://schemas.openxmlformats.org/officeDocument/2006/relationships" name="Proxy probes" sheetId="7" r:id="R022e0b50b0074963"/>
    <x:sheet xmlns:r="http://schemas.openxmlformats.org/officeDocument/2006/relationships" name="Confirmation interval" sheetId="8" r:id="R76e145656df545db"/>
    <x:sheet xmlns:r="http://schemas.openxmlformats.org/officeDocument/2006/relationships" name="Control sensitivity" sheetId="9" r:id="Rebf525aa6b924109"/>
    <x:sheet xmlns:r="http://schemas.openxmlformats.org/officeDocument/2006/relationships" name="Caliper confirmation" sheetId="10" r:id="R3ee93cb579fe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@"/>
    <x:numFmt numFmtId="202" formatCode="0"/>
    <x:numFmt numFmtId="203" formatCode="00000000"/>
    <x:numFmt numFmtId="204" formatCode="0.0"/>
  </x:numFmts>
  <x:fonts count="4">
    <x:font>
      <x:sz val="11"/>
      <x:name val="Carlito"/>
    </x:font>
    <x:font>
      <x:b/>
      <x:sz val="11"/>
      <x:color rgb="FF243A52"/>
      <x:name val="Arial"/>
    </x:font>
    <x:font>
      <x:sz val="10"/>
      <x:color rgb="FF202B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AB5BF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2" fillId="0" borderId="0" xfId="0" applyNumberFormat="1" applyFont="1" applyFill="1" applyBorder="1" applyAlignment="1">
      <x:alignment vertical="center"/>
    </x:xf>
    <x:xf numFmtId="204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305db3730241a8" /><Relationship Type="http://schemas.openxmlformats.org/officeDocument/2006/relationships/theme" Target="/xl/theme/theme1.xml" Id="R5d405cb2caff4d62" /><Relationship Type="http://schemas.microsoft.com/office/2022/11/relationships/FeaturePropertyBag" Target="/xl/featurePropertyBag/featurePropertyBag.xml" Id="R7199bbd9b75a4ebe" /><Relationship Type="http://schemas.openxmlformats.org/officeDocument/2006/relationships/sharedStrings" Target="/xl/sharedStrings.xml" Id="Rad34545dcff34234" /><Relationship Type="http://schemas.openxmlformats.org/officeDocument/2006/relationships/worksheet" Target="/xl/worksheets/sheet1.xml" Id="R6ab380b4742e43e5" /><Relationship Type="http://schemas.openxmlformats.org/officeDocument/2006/relationships/worksheet" Target="/xl/worksheets/sheet2.xml" Id="R6a8076ff027d42c2" /><Relationship Type="http://schemas.openxmlformats.org/officeDocument/2006/relationships/worksheet" Target="/xl/worksheets/sheet3.xml" Id="R2f496bfb55b8469e" /><Relationship Type="http://schemas.openxmlformats.org/officeDocument/2006/relationships/worksheet" Target="/xl/worksheets/sheet4.xml" Id="R859d0164ce7d4c9f" /><Relationship Type="http://schemas.openxmlformats.org/officeDocument/2006/relationships/worksheet" Target="/xl/worksheets/sheet5.xml" Id="Rc631110c11bf45a9" /><Relationship Type="http://schemas.openxmlformats.org/officeDocument/2006/relationships/worksheet" Target="/xl/worksheets/sheet6.xml" Id="Raf8f4057d6d94079" /><Relationship Type="http://schemas.openxmlformats.org/officeDocument/2006/relationships/worksheet" Target="/xl/worksheets/sheet7.xml" Id="R022e0b50b0074963" /><Relationship Type="http://schemas.openxmlformats.org/officeDocument/2006/relationships/worksheet" Target="/xl/worksheets/sheet8.xml" Id="R76e145656df545db" /><Relationship Type="http://schemas.openxmlformats.org/officeDocument/2006/relationships/worksheet" Target="/xl/worksheets/sheet9.xml" Id="Rebf525aa6b924109" /><Relationship Type="http://schemas.openxmlformats.org/officeDocument/2006/relationships/worksheet" Target="/xl/worksheets/sheet10.xml" Id="R3ee93cb579fe4b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2" customHeight="1">
      <x:c r="A1" s="4" t="str">
        <x:v>All 521 basins retained. Census descriptions; between-basin SD is not seed uncertainty.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3" ht="38" customHeight="1">
      <x:c r="A3" s="10" t="str">
        <x:v>Measure</x:v>
      </x:c>
      <x:c r="B3" s="10" t="str">
        <x:v>Defined basins</x:v>
      </x:c>
      <x:c r="C3" s="10" t="str">
        <x:v>Mean</x:v>
      </x:c>
      <x:c r="D3" s="10" t="str">
        <x:v>Median</x:v>
      </x:c>
      <x:c r="E3" s="10" t="str">
        <x:v>Between-basin SD</x:v>
      </x:c>
      <x:c r="F3" s="10" t="str">
        <x:v>25th percentile</x:v>
      </x:c>
      <x:c r="G3" s="10" t="str">
        <x:v>75th percentile</x:v>
      </x:c>
      <x:c r="H3" s="10" t="str">
        <x:v>Minimum</x:v>
      </x:c>
      <x:c r="I3" s="10" t="str">
        <x:v>Maximum</x:v>
      </x:c>
    </x:row>
    <x:row r="4" ht="22" customHeight="1">
      <x:c r="A4" s="12" t="str">
        <x:v>steh_with_q_nse</x:v>
      </x:c>
      <x:c r="B4" s="13" t="n">
        <x:v>521</x:v>
      </x:c>
      <x:c r="C4" s="11" t="n">
        <x:v>0.4866207488886464</x:v>
      </x:c>
      <x:c r="D4" s="11" t="n">
        <x:v>0.6383646607273343</x:v>
      </x:c>
      <x:c r="E4" s="11" t="n">
        <x:v>2.8782655769039733</x:v>
      </x:c>
      <x:c r="F4" s="11" t="n">
        <x:v>0.39731276203212684</x:v>
      </x:c>
      <x:c r="G4" s="11" t="n">
        <x:v>0.8664912345374087</x:v>
      </x:c>
      <x:c r="H4" s="11" t="n">
        <x:v>-64.76679842663758</x:v>
      </x:c>
      <x:c r="I4" s="11" t="n">
        <x:v>0.9959957062529589</x:v>
      </x:c>
    </x:row>
    <x:row r="5" ht="22" customHeight="1">
      <x:c r="A5" s="12" t="str">
        <x:v>steh_no_q_nse</x:v>
      </x:c>
      <x:c r="B5" s="13" t="n">
        <x:v>521</x:v>
      </x:c>
      <x:c r="C5" s="11" t="n">
        <x:v>0.0030764961980159307</x:v>
      </x:c>
      <x:c r="D5" s="11" t="n">
        <x:v>0.3838811298871292</x:v>
      </x:c>
      <x:c r="E5" s="11" t="n">
        <x:v>7.458582877941457</x:v>
      </x:c>
      <x:c r="F5" s="11" t="n">
        <x:v>0.1803831206975708</x:v>
      </x:c>
      <x:c r="G5" s="11" t="n">
        <x:v>0.5810685190004663</x:v>
      </x:c>
      <x:c r="H5" s="11" t="n">
        <x:v>-169.54855378550386</x:v>
      </x:c>
      <x:c r="I5" s="11" t="n">
        <x:v>0.866739293141789</x:v>
      </x:c>
    </x:row>
    <x:row r="6" ht="22" customHeight="1">
      <x:c r="A6" s="12" t="str">
        <x:v>lstm_nse</x:v>
      </x:c>
      <x:c r="B6" s="13" t="n">
        <x:v>521</x:v>
      </x:c>
      <x:c r="C6" s="11" t="n">
        <x:v>0.19035072459680902</x:v>
      </x:c>
      <x:c r="D6" s="11" t="n">
        <x:v>0.6432552386876698</x:v>
      </x:c>
      <x:c r="E6" s="11" t="n">
        <x:v>9.271674661726255</x:v>
      </x:c>
      <x:c r="F6" s="11" t="n">
        <x:v>0.3878996975044715</x:v>
      </x:c>
      <x:c r="G6" s="11" t="n">
        <x:v>0.8698127803525318</x:v>
      </x:c>
      <x:c r="H6" s="11" t="n">
        <x:v>-210.88521508273357</x:v>
      </x:c>
      <x:c r="I6" s="11" t="n">
        <x:v>0.9976257090191776</x:v>
      </x:c>
    </x:row>
    <x:row r="7" ht="22" customHeight="1">
      <x:c r="A7" s="12" t="str">
        <x:v>with_q_minus_lstm</x:v>
      </x:c>
      <x:c r="B7" s="13" t="n">
        <x:v>521</x:v>
      </x:c>
      <x:c r="C7" s="11" t="n">
        <x:v>0.2962700242918374</x:v>
      </x:c>
      <x:c r="D7" s="11" t="n">
        <x:v>-0.0016300027662187189</x:v>
      </x:c>
      <x:c r="E7" s="11" t="n">
        <x:v>6.402516673517809</x:v>
      </x:c>
      <x:c r="F7" s="11" t="n">
        <x:v>-0.019923688368311154</x:v>
      </x:c>
      <x:c r="G7" s="11" t="n">
        <x:v>0.019029004254893178</x:v>
      </x:c>
      <x:c r="H7" s="11" t="n">
        <x:v>-0.28548158328552686</x:v>
      </x:c>
      <x:c r="I7" s="11" t="n">
        <x:v>146.11841665609597</x:v>
      </x:c>
    </x:row>
    <x:row r="8" ht="22" customHeight="1">
      <x:c r="A8" s="12" t="str">
        <x:v>with_q_minus_no_q</x:v>
      </x:c>
      <x:c r="B8" s="13" t="n">
        <x:v>521</x:v>
      </x:c>
      <x:c r="C8" s="11" t="n">
        <x:v>0.48354425269063056</x:v>
      </x:c>
      <x:c r="D8" s="11" t="n">
        <x:v>0.19884053217815068</x:v>
      </x:c>
      <x:c r="E8" s="11" t="n">
        <x:v>4.597037329891839</x:v>
      </x:c>
      <x:c r="F8" s="11" t="n">
        <x:v>0.12217280969561994</x:v>
      </x:c>
      <x:c r="G8" s="11" t="n">
        <x:v>0.31308453742226616</x:v>
      </x:c>
      <x:c r="H8" s="11" t="n">
        <x:v>-0.08131779790288296</x:v>
      </x:c>
      <x:c r="I8" s="11" t="n">
        <x:v>104.78175535886628</x:v>
      </x:c>
    </x:row>
    <x:row r="9" ht="22" customHeight="1">
      <x:c r="A9" s="12" t="str">
        <x:v>steh_with_q_kge</x:v>
      </x:c>
      <x:c r="B9" s="13" t="n">
        <x:v>521</x:v>
      </x:c>
      <x:c r="C9" s="11" t="n">
        <x:v>0.5963496995948623</x:v>
      </x:c>
      <x:c r="D9" s="11" t="n">
        <x:v>0.7004127132334627</x:v>
      </x:c>
      <x:c r="E9" s="11" t="n">
        <x:v>1.012481404818413</x:v>
      </x:c>
      <x:c r="F9" s="11" t="n">
        <x:v>0.4579958278496523</x:v>
      </x:c>
      <x:c r="G9" s="11" t="n">
        <x:v>0.8755264222355703</x:v>
      </x:c>
      <x:c r="H9" s="11" t="n">
        <x:v>-20.823620241257167</x:v>
      </x:c>
      <x:c r="I9" s="11" t="n">
        <x:v>0.9956354259721961</x:v>
      </x:c>
    </x:row>
    <x:row r="10" ht="22" customHeight="1">
      <x:c r="A10" s="12" t="str">
        <x:v>steh_no_q_kge</x:v>
      </x:c>
      <x:c r="B10" s="13" t="n">
        <x:v>521</x:v>
      </x:c>
      <x:c r="C10" s="11" t="n">
        <x:v>0.33113290334937456</x:v>
      </x:c>
      <x:c r="D10" s="11" t="n">
        <x:v>0.46396500967987675</x:v>
      </x:c>
      <x:c r="E10" s="11" t="n">
        <x:v>1.402216457705687</x:v>
      </x:c>
      <x:c r="F10" s="11" t="n">
        <x:v>0.20986526924346105</x:v>
      </x:c>
      <x:c r="G10" s="11" t="n">
        <x:v>0.6752255491484694</x:v>
      </x:c>
      <x:c r="H10" s="11" t="n">
        <x:v>-30.260294573507103</x:v>
      </x:c>
      <x:c r="I10" s="11" t="n">
        <x:v>0.9162566747647012</x:v>
      </x:c>
    </x:row>
    <x:row r="11" ht="22" customHeight="1">
      <x:c r="A11" s="12" t="str">
        <x:v>lstm_kge</x:v>
      </x:c>
      <x:c r="B11" s="13" t="n">
        <x:v>521</x:v>
      </x:c>
      <x:c r="C11" s="11" t="n">
        <x:v>0.48585728748693524</x:v>
      </x:c>
      <x:c r="D11" s="11" t="n">
        <x:v>0.7173377707582584</x:v>
      </x:c>
      <x:c r="E11" s="11" t="n">
        <x:v>3.7861342825458872</x:v>
      </x:c>
      <x:c r="F11" s="11" t="n">
        <x:v>0.4732246685866933</x:v>
      </x:c>
      <x:c r="G11" s="11" t="n">
        <x:v>0.8772365447673656</x:v>
      </x:c>
      <x:c r="H11" s="11" t="n">
        <x:v>-85.50448560664348</x:v>
      </x:c>
      <x:c r="I11" s="11" t="n">
        <x:v>0.9938578233941031</x:v>
      </x:c>
    </x:row>
    <x:row r="12" ht="22" customHeight="1">
      <x:c r="A12" s="12" t="str">
        <x:v>persistence_nse</x:v>
      </x:c>
      <x:c r="B12" s="13" t="n">
        <x:v>521</x:v>
      </x:c>
      <x:c r="C12" s="11" t="n">
        <x:v>0.46835125779341874</x:v>
      </x:c>
      <x:c r="D12" s="11" t="n">
        <x:v>0.5277351374217382</x:v>
      </x:c>
      <x:c r="E12" s="11" t="n">
        <x:v>0.39880650116463434</x:v>
      </x:c>
      <x:c r="F12" s="11" t="n">
        <x:v>0.20869298043303297</x:v>
      </x:c>
      <x:c r="G12" s="11" t="n">
        <x:v>0.799075212559584</x:v>
      </x:c>
      <x:c r="H12" s="11" t="n">
        <x:v>-0.9109040259269858</x:v>
      </x:c>
      <x:c r="I12" s="11" t="n">
        <x:v>0.9945762764165073</x:v>
      </x:c>
    </x:row>
    <x:row r="13" ht="22" customHeight="1">
      <x:c r="A13" s="12" t="str">
        <x:v>ar_nse</x:v>
      </x:c>
      <x:c r="B13" s="13" t="n">
        <x:v>521</x:v>
      </x:c>
      <x:c r="C13" s="11" t="n">
        <x:v>0.500523343825612</x:v>
      </x:c>
      <x:c r="D13" s="11" t="n">
        <x:v>0.5951387613416469</x:v>
      </x:c>
      <x:c r="E13" s="11" t="n">
        <x:v>1.8559357631377693</x:v>
      </x:c>
      <x:c r="F13" s="11" t="n">
        <x:v>0.3651265295738485</x:v>
      </x:c>
      <x:c r="G13" s="11" t="n">
        <x:v>0.8418678270746461</x:v>
      </x:c>
      <x:c r="H13" s="11" t="n">
        <x:v>-41.240071307344834</x:v>
      </x:c>
      <x:c r="I13" s="11" t="n">
        <x:v>0.9975136586693845</x:v>
      </x:c>
    </x:row>
    <x:row r="14" ht="22" customHeight="1">
      <x:c r="A14" s="12" t="str">
        <x:v>persistence_kge</x:v>
      </x:c>
      <x:c r="B14" s="13" t="n">
        <x:v>521</x:v>
      </x:c>
      <x:c r="C14" s="11" t="n">
        <x:v>0.7341781016449874</x:v>
      </x:c>
      <x:c r="D14" s="11" t="n">
        <x:v>0.7638756484556193</x:v>
      </x:c>
      <x:c r="E14" s="11" t="n">
        <x:v>0.19940055879356477</x:v>
      </x:c>
      <x:c r="F14" s="11" t="n">
        <x:v>0.6043566879582365</x:v>
      </x:c>
      <x:c r="G14" s="11" t="n">
        <x:v>0.8995481963880987</x:v>
      </x:c>
      <x:c r="H14" s="11" t="n">
        <x:v>0.04454804493841946</x:v>
      </x:c>
      <x:c r="I14" s="11" t="n">
        <x:v>0.9972852512508511</x:v>
      </x:c>
    </x:row>
    <x:row r="15" ht="22" customHeight="1">
      <x:c r="A15" s="12" t="str">
        <x:v>ar_kge</x:v>
      </x:c>
      <x:c r="B15" s="13" t="n">
        <x:v>521</x:v>
      </x:c>
      <x:c r="C15" s="11" t="n">
        <x:v>0.5137838398670851</x:v>
      </x:c>
      <x:c r="D15" s="11" t="n">
        <x:v>0.6688129790020381</x:v>
      </x:c>
      <x:c r="E15" s="11" t="n">
        <x:v>2.0101532821005668</x:v>
      </x:c>
      <x:c r="F15" s="11" t="n">
        <x:v>0.4236107563936815</x:v>
      </x:c>
      <x:c r="G15" s="11" t="n">
        <x:v>0.8674355396922264</x:v>
      </x:c>
      <x:c r="H15" s="11" t="n">
        <x:v>-44.47462058755748</x:v>
      </x:c>
      <x:c r="I15" s="11" t="n">
        <x:v>0.997744847533458</x:v>
      </x:c>
    </x:row>
    <x:row r="16" ht="22" customHeight="1">
      <x:c r="A16" s="12" t="str">
        <x:v>core_True_loss</x:v>
      </x:c>
      <x:c r="B16" s="13" t="n">
        <x:v>521</x:v>
      </x:c>
      <x:c r="C16" s="11" t="n">
        <x:v>1.267006735419201</x:v>
      </x:c>
      <x:c r="D16" s="11" t="n">
        <x:v>0.019105483133249113</x:v>
      </x:c>
      <x:c r="E16" s="11" t="n">
        <x:v>27.34790492153807</x:v>
      </x:c>
      <x:c r="F16" s="11" t="n">
        <x:v>0.006288119341705256</x:v>
      </x:c>
      <x:c r="G16" s="11" t="n">
        <x:v>0.05246479478738175</x:v>
      </x:c>
      <x:c r="H16" s="11" t="n">
        <x:v>-0.10756566072970242</x:v>
      </x:c>
      <x:c r="I16" s="11" t="n">
        <x:v>624.2330052839303</x:v>
      </x:c>
    </x:row>
    <x:row r="17" ht="22" customHeight="1">
      <x:c r="A17" s="14" t="str">
        <x:v>core_False_loss</x:v>
      </x:c>
      <x:c r="B17" s="15" t="n">
        <x:v>521</x:v>
      </x:c>
      <x:c r="C17" s="16" t="n">
        <x:v>2.21552756759949</x:v>
      </x:c>
      <x:c r="D17" s="16" t="n">
        <x:v>0.02205060765024558</x:v>
      </x:c>
      <x:c r="E17" s="16" t="n">
        <x:v>46.52403596358071</x:v>
      </x:c>
      <x:c r="F17" s="16" t="n">
        <x:v>-0.004162541223495797</x:v>
      </x:c>
      <x:c r="G17" s="16" t="n">
        <x:v>0.07235744735651739</x:v>
      </x:c>
      <x:c r="H17" s="16" t="n">
        <x:v>-1.895131627173598</x:v>
      </x:c>
      <x:c r="I17" s="16" t="n">
        <x:v>1061.2409428645194</x:v>
      </x:c>
    </x:row>
  </x:sheetData>
  <x:mergeCells>
    <x:mergeCell ref="A1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4" t="str">
        <x:v>One primary seed42 model per basin and setting; identical test target dates.</x:v>
      </x:c>
      <x:c r="B1" s="5"/>
      <x:c r="C1" s="5"/>
      <x:c r="D1" s="5"/>
      <x:c r="E1" s="5"/>
      <x:c r="F1" s="5"/>
      <x:c r="G1" s="5"/>
      <x:c r="H1" s="5"/>
    </x:row>
    <x:row r="2" ht="22" customHeight="1">
      <x:c r="A2" s="5"/>
      <x:c r="B2" s="5"/>
      <x:c r="C2" s="5"/>
      <x:c r="D2" s="5"/>
      <x:c r="E2" s="5"/>
      <x:c r="F2" s="5"/>
      <x:c r="G2" s="5"/>
      <x:c r="H2" s="5"/>
    </x:row>
    <x:row r="3" ht="38" customHeight="1">
      <x:c r="A3" s="10" t="str">
        <x:v>Basin ID</x:v>
      </x:c>
      <x:c r="B3" s="10" t="str">
        <x:v>STEH with Q NSE</x:v>
      </x:c>
      <x:c r="C3" s="10" t="str">
        <x:v>LSTM NSE</x:v>
      </x:c>
      <x:c r="D3" s="10" t="str">
        <x:v>STEH no Q NSE</x:v>
      </x:c>
      <x:c r="E3" s="10" t="str">
        <x:v>STEH Q - LSTM</x:v>
      </x:c>
      <x:c r="F3" s="10" t="str">
        <x:v>STEH Q - no Q</x:v>
      </x:c>
      <x:c r="G3" s="10" t="str">
        <x:v>Persistence NSE</x:v>
      </x:c>
      <x:c r="H3" s="10" t="str">
        <x:v>AR NSE</x:v>
      </x:c>
    </x:row>
    <x:row r="4" ht="22" customHeight="1">
      <x:c r="A4" s="17" t="str">
        <x:f>"01013500"</x:f>
        <x:v>01013500</x:v>
      </x:c>
      <x:c r="B4" s="11" t="n">
        <x:v>0.9939141712794615</x:v>
      </x:c>
      <x:c r="C4" s="11" t="n">
        <x:v>0.9946683414896532</x:v>
      </x:c>
      <x:c r="D4" s="11" t="n">
        <x:v>0.6807343206546164</x:v>
      </x:c>
      <x:c r="E4" s="11" t="n">
        <x:v>-0.0007541702101917513</x:v>
      </x:c>
      <x:c r="F4" s="11" t="n">
        <x:v>0.3131798506248451</x:v>
      </x:c>
      <x:c r="G4" s="11" t="n">
        <x:v>0.9867827101462509</x:v>
      </x:c>
      <x:c r="H4" s="11" t="n">
        <x:v>0.9936951682802131</x:v>
      </x:c>
    </x:row>
    <x:row r="5" ht="22" customHeight="1">
      <x:c r="A5" s="17" t="str">
        <x:f>"01022500"</x:f>
        <x:v>01022500</x:v>
      </x:c>
      <x:c r="B5" s="11" t="n">
        <x:v>0.859712148312014</x:v>
      </x:c>
      <x:c r="C5" s="11" t="n">
        <x:v>0.8748921778611825</x:v>
      </x:c>
      <x:c r="D5" s="11" t="n">
        <x:v>0.634393146211742</x:v>
      </x:c>
      <x:c r="E5" s="11" t="n">
        <x:v>-0.015180029549168417</x:v>
      </x:c>
      <x:c r="F5" s="11" t="n">
        <x:v>0.225319002100272</x:v>
      </x:c>
      <x:c r="G5" s="11" t="n">
        <x:v>0.7868186442310394</x:v>
      </x:c>
      <x:c r="H5" s="11" t="n">
        <x:v>0.8465631760467895</x:v>
      </x:c>
    </x:row>
    <x:row r="6" ht="22" customHeight="1">
      <x:c r="A6" s="17" t="str">
        <x:f>"01030500"</x:f>
        <x:v>01030500</x:v>
      </x:c>
      <x:c r="B6" s="11" t="n">
        <x:v>0.9896892105355077</x:v>
      </x:c>
      <x:c r="C6" s="11" t="n">
        <x:v>0.9927737291144765</x:v>
      </x:c>
      <x:c r="D6" s="11" t="n">
        <x:v>0.6508002193946244</x:v>
      </x:c>
      <x:c r="E6" s="11" t="n">
        <x:v>-0.0030845185789687424</x:v>
      </x:c>
      <x:c r="F6" s="11" t="n">
        <x:v>0.33888899114088333</x:v>
      </x:c>
      <x:c r="G6" s="11" t="n">
        <x:v>0.954030086732172</x:v>
      </x:c>
      <x:c r="H6" s="11" t="n">
        <x:v>0.98580823763871</x:v>
      </x:c>
    </x:row>
    <x:row r="7" ht="22" customHeight="1">
      <x:c r="A7" s="17" t="str">
        <x:f>"01031500"</x:f>
        <x:v>01031500</x:v>
      </x:c>
      <x:c r="B7" s="11" t="n">
        <x:v>0.7058082975732707</x:v>
      </x:c>
      <x:c r="C7" s="11" t="n">
        <x:v>0.7415315076841655</x:v>
      </x:c>
      <x:c r="D7" s="11" t="n">
        <x:v>0.43452019419198695</x:v>
      </x:c>
      <x:c r="E7" s="11" t="n">
        <x:v>-0.035723210110894854</x:v>
      </x:c>
      <x:c r="F7" s="11" t="n">
        <x:v>0.27128810338128373</x:v>
      </x:c>
      <x:c r="G7" s="11" t="n">
        <x:v>0.6020193245032148</x:v>
      </x:c>
      <x:c r="H7" s="11" t="n">
        <x:v>0.6656801580489708</x:v>
      </x:c>
    </x:row>
    <x:row r="8" ht="22" customHeight="1">
      <x:c r="A8" s="17" t="str">
        <x:f>"01047000"</x:f>
        <x:v>01047000</x:v>
      </x:c>
      <x:c r="B8" s="11" t="n">
        <x:v>0.6179817110733339</x:v>
      </x:c>
      <x:c r="C8" s="11" t="n">
        <x:v>0.6508461416563941</x:v>
      </x:c>
      <x:c r="D8" s="11" t="n">
        <x:v>0.4111493743215233</x:v>
      </x:c>
      <x:c r="E8" s="11" t="n">
        <x:v>-0.03286443058306021</x:v>
      </x:c>
      <x:c r="F8" s="11" t="n">
        <x:v>0.20683233675181056</x:v>
      </x:c>
      <x:c r="G8" s="11" t="n">
        <x:v>0.5073507273658737</x:v>
      </x:c>
      <x:c r="H8" s="11" t="n">
        <x:v>0.5837479280026335</x:v>
      </x:c>
    </x:row>
    <x:row r="9" ht="22" customHeight="1">
      <x:c r="A9" s="17" t="str">
        <x:f>"01052500"</x:f>
        <x:v>01052500</x:v>
      </x:c>
      <x:c r="B9" s="11" t="n">
        <x:v>0.6913068291268992</x:v>
      </x:c>
      <x:c r="C9" s="11" t="n">
        <x:v>0.7193137721145586</x:v>
      </x:c>
      <x:c r="D9" s="11" t="n">
        <x:v>0.49235838120815345</x:v>
      </x:c>
      <x:c r="E9" s="11" t="n">
        <x:v>-0.028006942987659378</x:v>
      </x:c>
      <x:c r="F9" s="11" t="n">
        <x:v>0.19894844791874577</x:v>
      </x:c>
      <x:c r="G9" s="11" t="n">
        <x:v>0.5986989185282312</x:v>
      </x:c>
      <x:c r="H9" s="11" t="n">
        <x:v>0.6714040423118147</x:v>
      </x:c>
    </x:row>
    <x:row r="10" ht="22" customHeight="1">
      <x:c r="A10" s="17" t="str">
        <x:f>"01054200"</x:f>
        <x:v>01054200</x:v>
      </x:c>
      <x:c r="B10" s="11" t="n">
        <x:v>0.292966201381052</x:v>
      </x:c>
      <x:c r="C10" s="11" t="n">
        <x:v>0.2971768071791028</x:v>
      </x:c>
      <x:c r="D10" s="11" t="n">
        <x:v>0.17059638760145068</x:v>
      </x:c>
      <x:c r="E10" s="11" t="n">
        <x:v>-0.0042106057980507705</x:v>
      </x:c>
      <x:c r="F10" s="11" t="n">
        <x:v>0.12236981377960132</x:v>
      </x:c>
      <x:c r="G10" s="11" t="n">
        <x:v>-0.07293495026806918</x:v>
      </x:c>
      <x:c r="H10" s="11" t="n">
        <x:v>0.2226257659654709</x:v>
      </x:c>
    </x:row>
    <x:row r="11" ht="22" customHeight="1">
      <x:c r="A11" s="17" t="str">
        <x:f>"01055000"</x:f>
        <x:v>01055000</x:v>
      </x:c>
      <x:c r="B11" s="11" t="n">
        <x:v>0.44341353318922394</x:v>
      </x:c>
      <x:c r="C11" s="11" t="n">
        <x:v>0.45297324196452526</x:v>
      </x:c>
      <x:c r="D11" s="11" t="n">
        <x:v>0.24044545588299826</x:v>
      </x:c>
      <x:c r="E11" s="11" t="n">
        <x:v>-0.009559708775301323</x:v>
      </x:c>
      <x:c r="F11" s="11" t="n">
        <x:v>0.20296807730622568</x:v>
      </x:c>
      <x:c r="G11" s="11" t="n">
        <x:v>0.24812323329179453</x:v>
      </x:c>
      <x:c r="H11" s="11" t="n">
        <x:v>0.40202063973764024</x:v>
      </x:c>
    </x:row>
    <x:row r="12" ht="22" customHeight="1">
      <x:c r="A12" s="17" t="str">
        <x:f>"01057000"</x:f>
        <x:v>01057000</x:v>
      </x:c>
      <x:c r="B12" s="11" t="n">
        <x:v>0.5879213794892729</x:v>
      </x:c>
      <x:c r="C12" s="11" t="n">
        <x:v>0.6047377159891523</x:v>
      </x:c>
      <x:c r="D12" s="11" t="n">
        <x:v>0.3501980726367374</x:v>
      </x:c>
      <x:c r="E12" s="11" t="n">
        <x:v>-0.016816336499879347</x:v>
      </x:c>
      <x:c r="F12" s="11" t="n">
        <x:v>0.2377233068525355</x:v>
      </x:c>
      <x:c r="G12" s="11" t="n">
        <x:v>0.48610577052635384</x:v>
      </x:c>
      <x:c r="H12" s="11" t="n">
        <x:v>0.5682109020842973</x:v>
      </x:c>
    </x:row>
    <x:row r="13" ht="22" customHeight="1">
      <x:c r="A13" s="17" t="str">
        <x:f>"01073000"</x:f>
        <x:v>01073000</x:v>
      </x:c>
      <x:c r="B13" s="11" t="n">
        <x:v>0.6673071788362797</x:v>
      </x:c>
      <x:c r="C13" s="11" t="n">
        <x:v>0.6468044721788409</x:v>
      </x:c>
      <x:c r="D13" s="11" t="n">
        <x:v>0.6668703146144727</x:v>
      </x:c>
      <x:c r="E13" s="11" t="n">
        <x:v>0.020502706657438807</x:v>
      </x:c>
      <x:c r="F13" s="11" t="n">
        <x:v>0.00043686422180699847</x:v>
      </x:c>
      <x:c r="G13" s="11" t="n">
        <x:v>0.5512883291167611</x:v>
      </x:c>
      <x:c r="H13" s="11" t="n">
        <x:v>0.6319944233986282</x:v>
      </x:c>
    </x:row>
    <x:row r="14" ht="22" customHeight="1">
      <x:c r="A14" s="17" t="str">
        <x:f>"01078000"</x:f>
        <x:v>01078000</x:v>
      </x:c>
      <x:c r="B14" s="11" t="n">
        <x:v>0.8215004916064459</x:v>
      </x:c>
      <x:c r="C14" s="11" t="n">
        <x:v>0.8478166072616881</x:v>
      </x:c>
      <x:c r="D14" s="11" t="n">
        <x:v>0.5804548387775882</x:v>
      </x:c>
      <x:c r="E14" s="11" t="n">
        <x:v>-0.026316115655242167</x:v>
      </x:c>
      <x:c r="F14" s="11" t="n">
        <x:v>0.2410456528288577</x:v>
      </x:c>
      <x:c r="G14" s="11" t="n">
        <x:v>0.7461442376573664</x:v>
      </x:c>
      <x:c r="H14" s="11" t="n">
        <x:v>0.8105723949696253</x:v>
      </x:c>
    </x:row>
    <x:row r="15" ht="22" customHeight="1">
      <x:c r="A15" s="17" t="str">
        <x:f>"01134500"</x:f>
        <x:v>01134500</x:v>
      </x:c>
      <x:c r="B15" s="11" t="n">
        <x:v>0.6649971713501746</x:v>
      </x:c>
      <x:c r="C15" s="11" t="n">
        <x:v>0.6915449014189479</x:v>
      </x:c>
      <x:c r="D15" s="11" t="n">
        <x:v>0.5218278378869449</x:v>
      </x:c>
      <x:c r="E15" s="11" t="n">
        <x:v>-0.026547730068773312</x:v>
      </x:c>
      <x:c r="F15" s="11" t="n">
        <x:v>0.1431693334632297</x:v>
      </x:c>
      <x:c r="G15" s="11" t="n">
        <x:v>0.5308061533746395</x:v>
      </x:c>
      <x:c r="H15" s="11" t="n">
        <x:v>0.6144752028265442</x:v>
      </x:c>
    </x:row>
    <x:row r="16" ht="22" customHeight="1">
      <x:c r="A16" s="17" t="str">
        <x:f>"01137500"</x:f>
        <x:v>01137500</x:v>
      </x:c>
      <x:c r="B16" s="11" t="n">
        <x:v>0.4948649156572116</x:v>
      </x:c>
      <x:c r="C16" s="11" t="n">
        <x:v>0.5177879106172529</x:v>
      </x:c>
      <x:c r="D16" s="11" t="n">
        <x:v>0.34854293192435326</x:v>
      </x:c>
      <x:c r="E16" s="11" t="n">
        <x:v>-0.022922994960041354</x:v>
      </x:c>
      <x:c r="F16" s="11" t="n">
        <x:v>0.14632198373285832</x:v>
      </x:c>
      <x:c r="G16" s="11" t="n">
        <x:v>0.351484832215491</x:v>
      </x:c>
      <x:c r="H16" s="11" t="n">
        <x:v>0.4689157892919482</x:v>
      </x:c>
    </x:row>
    <x:row r="17" ht="22" customHeight="1">
      <x:c r="A17" s="17" t="str">
        <x:f>"01139000"</x:f>
        <x:v>01139000</x:v>
      </x:c>
      <x:c r="B17" s="11" t="n">
        <x:v>0.6534839254015101</x:v>
      </x:c>
      <x:c r="C17" s="11" t="n">
        <x:v>0.6740210736046601</x:v>
      </x:c>
      <x:c r="D17" s="11" t="n">
        <x:v>0.4395882147277148</x:v>
      </x:c>
      <x:c r="E17" s="11" t="n">
        <x:v>-0.020537148203150002</x:v>
      </x:c>
      <x:c r="F17" s="11" t="n">
        <x:v>0.21389571067379531</x:v>
      </x:c>
      <x:c r="G17" s="11" t="n">
        <x:v>0.558939611889932</x:v>
      </x:c>
      <x:c r="H17" s="11" t="n">
        <x:v>0.6282179916986643</x:v>
      </x:c>
    </x:row>
    <x:row r="18" ht="22" customHeight="1">
      <x:c r="A18" s="17" t="str">
        <x:f>"01139800"</x:f>
        <x:v>01139800</x:v>
      </x:c>
      <x:c r="B18" s="11" t="n">
        <x:v>0.6397463312807213</x:v>
      </x:c>
      <x:c r="C18" s="11" t="n">
        <x:v>0.6414540170584682</x:v>
      </x:c>
      <x:c r="D18" s="11" t="n">
        <x:v>0.370936708096712</x:v>
      </x:c>
      <x:c r="E18" s="11" t="n">
        <x:v>-0.0017076857777468257</x:v>
      </x:c>
      <x:c r="F18" s="11" t="n">
        <x:v>0.26880962318400936</x:v>
      </x:c>
      <x:c r="G18" s="11" t="n">
        <x:v>0.4659553332685473</x:v>
      </x:c>
      <x:c r="H18" s="11" t="n">
        <x:v>0.5716583540633104</x:v>
      </x:c>
    </x:row>
    <x:row r="19" ht="22" customHeight="1">
      <x:c r="A19" s="17" t="str">
        <x:f>"01142500"</x:f>
        <x:v>01142500</x:v>
      </x:c>
      <x:c r="B19" s="11" t="n">
        <x:v>0.6784395231377435</x:v>
      </x:c>
      <x:c r="C19" s="11" t="n">
        <x:v>0.6867024799578356</x:v>
      </x:c>
      <x:c r="D19" s="11" t="n">
        <x:v>0.4052566535218337</x:v>
      </x:c>
      <x:c r="E19" s="11" t="n">
        <x:v>-0.008262956820092149</x:v>
      </x:c>
      <x:c r="F19" s="11" t="n">
        <x:v>0.27318286961590976</x:v>
      </x:c>
      <x:c r="G19" s="11" t="n">
        <x:v>0.5948077170974673</x:v>
      </x:c>
      <x:c r="H19" s="11" t="n">
        <x:v>0.6437249808264836</x:v>
      </x:c>
    </x:row>
    <x:row r="20" ht="22" customHeight="1">
      <x:c r="A20" s="17" t="str">
        <x:f>"01144000"</x:f>
        <x:v>01144000</x:v>
      </x:c>
      <x:c r="B20" s="11" t="n">
        <x:v>0.6308243706480138</x:v>
      </x:c>
      <x:c r="C20" s="11" t="n">
        <x:v>0.6515634878780994</x:v>
      </x:c>
      <x:c r="D20" s="11" t="n">
        <x:v>0.43426661951298684</x:v>
      </x:c>
      <x:c r="E20" s="11" t="n">
        <x:v>-0.02073911723008559</x:v>
      </x:c>
      <x:c r="F20" s="11" t="n">
        <x:v>0.19655775113502694</x:v>
      </x:c>
      <x:c r="G20" s="11" t="n">
        <x:v>0.5160743849152771</x:v>
      </x:c>
      <x:c r="H20" s="11" t="n">
        <x:v>0.5968195474951654</x:v>
      </x:c>
    </x:row>
    <x:row r="21" ht="22" customHeight="1">
      <x:c r="A21" s="17" t="str">
        <x:f>"01162500"</x:f>
        <x:v>01162500</x:v>
      </x:c>
      <x:c r="B21" s="11" t="n">
        <x:v>0.8710313766266082</x:v>
      </x:c>
      <x:c r="C21" s="11" t="n">
        <x:v>0.8786194809052695</x:v>
      </x:c>
      <x:c r="D21" s="11" t="n">
        <x:v>0.6023133263517577</x:v>
      </x:c>
      <x:c r="E21" s="11" t="n">
        <x:v>-0.007588104278661301</x:v>
      </x:c>
      <x:c r="F21" s="11" t="n">
        <x:v>0.2687180502748505</x:v>
      </x:c>
      <x:c r="G21" s="11" t="n">
        <x:v>0.799075212559584</x:v>
      </x:c>
      <x:c r="H21" s="11" t="n">
        <x:v>0.8504640017809965</x:v>
      </x:c>
    </x:row>
    <x:row r="22" ht="22" customHeight="1">
      <x:c r="A22" s="17" t="str">
        <x:f>"01169000"</x:f>
        <x:v>01169000</x:v>
      </x:c>
      <x:c r="B22" s="11" t="n">
        <x:v>0.35547188442254085</x:v>
      </x:c>
      <x:c r="C22" s="11" t="n">
        <x:v>0.3561040927816179</x:v>
      </x:c>
      <x:c r="D22" s="11" t="n">
        <x:v>0.1763855349799366</x:v>
      </x:c>
      <x:c r="E22" s="11" t="n">
        <x:v>-0.0006322083590770688</x:v>
      </x:c>
      <x:c r="F22" s="11" t="n">
        <x:v>0.17908634944260426</x:v>
      </x:c>
      <x:c r="G22" s="11" t="n">
        <x:v>0.01973197939014759</x:v>
      </x:c>
      <x:c r="H22" s="11" t="n">
        <x:v>0.25641161864836537</x:v>
      </x:c>
    </x:row>
    <x:row r="23" ht="22" customHeight="1">
      <x:c r="A23" s="17" t="str">
        <x:f>"01170100"</x:f>
        <x:v>01170100</x:v>
      </x:c>
      <x:c r="B23" s="11" t="n">
        <x:v>0.4063744287658535</x:v>
      </x:c>
      <x:c r="C23" s="11" t="n">
        <x:v>0.41864937546736425</x:v>
      </x:c>
      <x:c r="D23" s="11" t="n">
        <x:v>0.20486355187601346</x:v>
      </x:c>
      <x:c r="E23" s="11" t="n">
        <x:v>-0.012274946701510747</x:v>
      </x:c>
      <x:c r="F23" s="11" t="n">
        <x:v>0.20151087688984004</x:v>
      </x:c>
      <x:c r="G23" s="11" t="n">
        <x:v>0.11661504927476773</x:v>
      </x:c>
      <x:c r="H23" s="11" t="n">
        <x:v>0.3218134730355997</x:v>
      </x:c>
    </x:row>
    <x:row r="24" ht="22" customHeight="1">
      <x:c r="A24" s="17" t="str">
        <x:f>"01181000"</x:f>
        <x:v>01181000</x:v>
      </x:c>
      <x:c r="B24" s="11" t="n">
        <x:v>0.24405457815143794</x:v>
      </x:c>
      <x:c r="C24" s="11" t="n">
        <x:v>0.2509696945479155</x:v>
      </x:c>
      <x:c r="D24" s="11" t="n">
        <x:v>0.14195822938965996</x:v>
      </x:c>
      <x:c r="E24" s="11" t="n">
        <x:v>-0.006915116396477572</x:v>
      </x:c>
      <x:c r="F24" s="11" t="n">
        <x:v>0.10209634876177798</x:v>
      </x:c>
      <x:c r="G24" s="11" t="n">
        <x:v>-0.2230822322163044</x:v>
      </x:c>
      <x:c r="H24" s="11" t="n">
        <x:v>0.059533695192773295</x:v>
      </x:c>
    </x:row>
    <x:row r="25" ht="22" customHeight="1">
      <x:c r="A25" s="17" t="str">
        <x:f>"01333000"</x:f>
        <x:v>01333000</x:v>
      </x:c>
      <x:c r="B25" s="11" t="n">
        <x:v>0.5988180537298489</x:v>
      </x:c>
      <x:c r="C25" s="11" t="n">
        <x:v>0.6109834432644217</x:v>
      </x:c>
      <x:c r="D25" s="11" t="n">
        <x:v>0.3825322223366868</x:v>
      </x:c>
      <x:c r="E25" s="11" t="n">
        <x:v>-0.012165389534572801</x:v>
      </x:c>
      <x:c r="F25" s="11" t="n">
        <x:v>0.21628583139316204</x:v>
      </x:c>
      <x:c r="G25" s="11" t="n">
        <x:v>0.537972541028102</x:v>
      </x:c>
      <x:c r="H25" s="11" t="n">
        <x:v>0.6072376237879076</x:v>
      </x:c>
    </x:row>
    <x:row r="26" ht="22" customHeight="1">
      <x:c r="A26" s="17" t="str">
        <x:f>"01439500"</x:f>
        <x:v>01439500</x:v>
      </x:c>
      <x:c r="B26" s="11" t="n">
        <x:v>0.74487367692298</x:v>
      </x:c>
      <x:c r="C26" s="11" t="n">
        <x:v>0.7445361530796802</x:v>
      </x:c>
      <x:c r="D26" s="11" t="n">
        <x:v>0.5771701703456578</x:v>
      </x:c>
      <x:c r="E26" s="11" t="n">
        <x:v>0.0003375238432997696</x:v>
      </x:c>
      <x:c r="F26" s="11" t="n">
        <x:v>0.16770350657732225</x:v>
      </x:c>
      <x:c r="G26" s="11" t="n">
        <x:v>0.6910531711317717</x:v>
      </x:c>
      <x:c r="H26" s="11" t="n">
        <x:v>0.7258857997610705</x:v>
      </x:c>
    </x:row>
    <x:row r="27" ht="22" customHeight="1">
      <x:c r="A27" s="17" t="str">
        <x:f>"01440000"</x:f>
        <x:v>01440000</x:v>
      </x:c>
      <x:c r="B27" s="11" t="n">
        <x:v>0.45689698407728896</x:v>
      </x:c>
      <x:c r="C27" s="11" t="n">
        <x:v>0.4949217944129546</x:v>
      </x:c>
      <x:c r="D27" s="11" t="n">
        <x:v>0.31758738920383023</x:v>
      </x:c>
      <x:c r="E27" s="11" t="n">
        <x:v>-0.038024810335665626</x:v>
      </x:c>
      <x:c r="F27" s="11" t="n">
        <x:v>0.13930959487345873</x:v>
      </x:c>
      <x:c r="G27" s="11" t="n">
        <x:v>0.3274929917353312</x:v>
      </x:c>
      <x:c r="H27" s="11" t="n">
        <x:v>0.4584330038663402</x:v>
      </x:c>
    </x:row>
    <x:row r="28" ht="22" customHeight="1">
      <x:c r="A28" s="17" t="str">
        <x:f>"01440400"</x:f>
        <x:v>01440400</x:v>
      </x:c>
      <x:c r="B28" s="11" t="n">
        <x:v>0.5341919213752944</x:v>
      </x:c>
      <x:c r="C28" s="11" t="n">
        <x:v>0.41636717095917586</x:v>
      </x:c>
      <x:c r="D28" s="11" t="n">
        <x:v>0.49957229558666616</x:v>
      </x:c>
      <x:c r="E28" s="11" t="n">
        <x:v>0.1178247504161185</x:v>
      </x:c>
      <x:c r="F28" s="11" t="n">
        <x:v>0.034619625788628205</x:v>
      </x:c>
      <x:c r="G28" s="11" t="n">
        <x:v>0.43464632654901136</x:v>
      </x:c>
      <x:c r="H28" s="11" t="n">
        <x:v>0.529326171175012</x:v>
      </x:c>
    </x:row>
    <x:row r="29" ht="22" customHeight="1">
      <x:c r="A29" s="17" t="str">
        <x:f>"01451800"</x:f>
        <x:v>01451800</x:v>
      </x:c>
      <x:c r="B29" s="11" t="n">
        <x:v>0.5114368771331437</x:v>
      </x:c>
      <x:c r="C29" s="11" t="n">
        <x:v>0.49424008355674043</x:v>
      </x:c>
      <x:c r="D29" s="11" t="n">
        <x:v>0.3843866233443939</x:v>
      </x:c>
      <x:c r="E29" s="11" t="n">
        <x:v>0.017196793576403246</x:v>
      </x:c>
      <x:c r="F29" s="11" t="n">
        <x:v>0.1270502537887498</x:v>
      </x:c>
      <x:c r="G29" s="11" t="n">
        <x:v>0.3534517776674364</x:v>
      </x:c>
      <x:c r="H29" s="11" t="n">
        <x:v>0.4620487278342633</x:v>
      </x:c>
    </x:row>
    <x:row r="30" ht="22" customHeight="1">
      <x:c r="A30" s="17" t="str">
        <x:f>"01484100"</x:f>
        <x:v>01484100</x:v>
      </x:c>
      <x:c r="B30" s="11" t="n">
        <x:v>0.37941029393772974</x:v>
      </x:c>
      <x:c r="C30" s="11" t="n">
        <x:v>0.37974909310698823</x:v>
      </x:c>
      <x:c r="D30" s="11" t="n">
        <x:v>0.16151820914498727</x:v>
      </x:c>
      <x:c r="E30" s="11" t="n">
        <x:v>-0.00033879916925849685</x:v>
      </x:c>
      <x:c r="F30" s="11" t="n">
        <x:v>0.21789208479274247</x:v>
      </x:c>
      <x:c r="G30" s="11" t="n">
        <x:v>0.0466605243494882</x:v>
      </x:c>
      <x:c r="H30" s="11" t="n">
        <x:v>0.2894427953247958</x:v>
      </x:c>
    </x:row>
    <x:row r="31" ht="22" customHeight="1">
      <x:c r="A31" s="17" t="str">
        <x:f>"01485500"</x:f>
        <x:v>01485500</x:v>
      </x:c>
      <x:c r="B31" s="11" t="n">
        <x:v>0.8906500522087177</x:v>
      </x:c>
      <x:c r="C31" s="11" t="n">
        <x:v>0.8966356928701597</x:v>
      </x:c>
      <x:c r="D31" s="11" t="n">
        <x:v>0.5880374149936269</x:v>
      </x:c>
      <x:c r="E31" s="11" t="n">
        <x:v>-0.0059856406614419155</x:v>
      </x:c>
      <x:c r="F31" s="11" t="n">
        <x:v>0.3026126372150908</x:v>
      </x:c>
      <x:c r="G31" s="11" t="n">
        <x:v>0.6806988553422924</x:v>
      </x:c>
      <x:c r="H31" s="11" t="n">
        <x:v>0.7765731620291318</x:v>
      </x:c>
    </x:row>
    <x:row r="32" ht="22" customHeight="1">
      <x:c r="A32" s="17" t="str">
        <x:f>"01486000"</x:f>
        <x:v>01486000</x:v>
      </x:c>
      <x:c r="B32" s="11" t="n">
        <x:v>0.5823561961231651</x:v>
      </x:c>
      <x:c r="C32" s="11" t="n">
        <x:v>0.5701600741920742</x:v>
      </x:c>
      <x:c r="D32" s="11" t="n">
        <x:v>0.37673856681107776</x:v>
      </x:c>
      <x:c r="E32" s="11" t="n">
        <x:v>0.012196121931090986</x:v>
      </x:c>
      <x:c r="F32" s="11" t="n">
        <x:v>0.20561762931208738</x:v>
      </x:c>
      <x:c r="G32" s="11" t="n">
        <x:v>0.45931169743612654</x:v>
      </x:c>
      <x:c r="H32" s="11" t="n">
        <x:v>0.5410522978715081</x:v>
      </x:c>
    </x:row>
    <x:row r="33" ht="22" customHeight="1">
      <x:c r="A33" s="17" t="str">
        <x:f>"01487000"</x:f>
        <x:v>01487000</x:v>
      </x:c>
      <x:c r="B33" s="11" t="n">
        <x:v>0.7836677939638977</x:v>
      </x:c>
      <x:c r="C33" s="11" t="n">
        <x:v>0.8028989974919134</x:v>
      </x:c>
      <x:c r="D33" s="11" t="n">
        <x:v>0.3976760681869418</x:v>
      </x:c>
      <x:c r="E33" s="11" t="n">
        <x:v>-0.01923120352801566</x:v>
      </x:c>
      <x:c r="F33" s="11" t="n">
        <x:v>0.38599172577695595</x:v>
      </x:c>
      <x:c r="G33" s="11" t="n">
        <x:v>0.6527779630213418</x:v>
      </x:c>
      <x:c r="H33" s="11" t="n">
        <x:v>0.7155980353964935</x:v>
      </x:c>
    </x:row>
    <x:row r="34" ht="22" customHeight="1">
      <x:c r="A34" s="17" t="str">
        <x:f>"01491000"</x:f>
        <x:v>01491000</x:v>
      </x:c>
      <x:c r="B34" s="11" t="n">
        <x:v>0.5147727150166885</x:v>
      </x:c>
      <x:c r="C34" s="11" t="n">
        <x:v>0.61269700317923</x:v>
      </x:c>
      <x:c r="D34" s="11" t="n">
        <x:v>0.3226936028260933</x:v>
      </x:c>
      <x:c r="E34" s="11" t="n">
        <x:v>-0.0979242881625415</x:v>
      </x:c>
      <x:c r="F34" s="11" t="n">
        <x:v>0.19207911219059526</x:v>
      </x:c>
      <x:c r="G34" s="11" t="n">
        <x:v>0.3376856477837532</x:v>
      </x:c>
      <x:c r="H34" s="11" t="n">
        <x:v>0.45555077587551407</x:v>
      </x:c>
    </x:row>
    <x:row r="35" ht="22" customHeight="1">
      <x:c r="A35" s="17" t="str">
        <x:f>"01510000"</x:f>
        <x:v>01510000</x:v>
      </x:c>
      <x:c r="B35" s="11" t="n">
        <x:v>0.5998989781539252</x:v>
      </x:c>
      <x:c r="C35" s="11" t="n">
        <x:v>0.5830331252409411</x:v>
      </x:c>
      <x:c r="D35" s="11" t="n">
        <x:v>0.2945138064585001</x:v>
      </x:c>
      <x:c r="E35" s="11" t="n">
        <x:v>0.016865852912984147</x:v>
      </x:c>
      <x:c r="F35" s="11" t="n">
        <x:v>0.3053851716954251</x:v>
      </x:c>
      <x:c r="G35" s="11" t="n">
        <x:v>0.4546659423318091</x:v>
      </x:c>
      <x:c r="H35" s="11" t="n">
        <x:v>0.5366227748105074</x:v>
      </x:c>
    </x:row>
    <x:row r="36" ht="22" customHeight="1">
      <x:c r="A36" s="17" t="str">
        <x:f>"01516500"</x:f>
        <x:v>01516500</x:v>
      </x:c>
      <x:c r="B36" s="11" t="n">
        <x:v>0.359833813910753</x:v>
      </x:c>
      <x:c r="C36" s="11" t="n">
        <x:v>0.35935943437246454</x:v>
      </x:c>
      <x:c r="D36" s="11" t="n">
        <x:v>0.1624030691941416</x:v>
      </x:c>
      <x:c r="E36" s="11" t="n">
        <x:v>0.0004743795382884386</x:v>
      </x:c>
      <x:c r="F36" s="11" t="n">
        <x:v>0.19743074471661137</x:v>
      </x:c>
      <x:c r="G36" s="11" t="n">
        <x:v>0.08055049485290622</x:v>
      </x:c>
      <x:c r="H36" s="11" t="n">
        <x:v>0.30868659432206214</x:v>
      </x:c>
    </x:row>
    <x:row r="37" ht="22" customHeight="1">
      <x:c r="A37" s="17" t="str">
        <x:f>"01532000"</x:f>
        <x:v>01532000</x:v>
      </x:c>
      <x:c r="B37" s="11" t="n">
        <x:v>0.3629241301114926</x:v>
      </x:c>
      <x:c r="C37" s="11" t="n">
        <x:v>0.30726331032924814</x:v>
      </x:c>
      <x:c r="D37" s="11" t="n">
        <x:v>0.19484187738388492</x:v>
      </x:c>
      <x:c r="E37" s="11" t="n">
        <x:v>0.055660819782244464</x:v>
      </x:c>
      <x:c r="F37" s="11" t="n">
        <x:v>0.16808225272760768</x:v>
      </x:c>
      <x:c r="G37" s="11" t="n">
        <x:v>0.12361629719001233</x:v>
      </x:c>
      <x:c r="H37" s="11" t="n">
        <x:v>0.31750541455290604</x:v>
      </x:c>
    </x:row>
    <x:row r="38" ht="22" customHeight="1">
      <x:c r="A38" s="17" t="str">
        <x:f>"01539000"</x:f>
        <x:v>01539000</x:v>
      </x:c>
      <x:c r="B38" s="11" t="n">
        <x:v>0.40151385643328197</x:v>
      </x:c>
      <x:c r="C38" s="11" t="n">
        <x:v>0.4734500192278621</x:v>
      </x:c>
      <x:c r="D38" s="11" t="n">
        <x:v>0.24888685016793677</x:v>
      </x:c>
      <x:c r="E38" s="11" t="n">
        <x:v>-0.07193616279458015</x:v>
      </x:c>
      <x:c r="F38" s="11" t="n">
        <x:v>0.1526270062653452</x:v>
      </x:c>
      <x:c r="G38" s="11" t="n">
        <x:v>0.23520708908197097</x:v>
      </x:c>
      <x:c r="H38" s="11" t="n">
        <x:v>0.3857918509246291</x:v>
      </x:c>
    </x:row>
    <x:row r="39" ht="22" customHeight="1">
      <x:c r="A39" s="17" t="str">
        <x:f>"01542810"</x:f>
        <x:v>01542810</x:v>
      </x:c>
      <x:c r="B39" s="11" t="n">
        <x:v>0.5137643586922557</x:v>
      </x:c>
      <x:c r="C39" s="11" t="n">
        <x:v>0.5498497760836234</x:v>
      </x:c>
      <x:c r="D39" s="11" t="n">
        <x:v>0.37708040818983946</x:v>
      </x:c>
      <x:c r="E39" s="11" t="n">
        <x:v>-0.036085417391367725</x:v>
      </x:c>
      <x:c r="F39" s="11" t="n">
        <x:v>0.13668395050241622</x:v>
      </x:c>
      <x:c r="G39" s="11" t="n">
        <x:v>0.17754145789464026</x:v>
      </x:c>
      <x:c r="H39" s="11" t="n">
        <x:v>0.3346010687423161</x:v>
      </x:c>
    </x:row>
    <x:row r="40" ht="22" customHeight="1">
      <x:c r="A40" s="17" t="str">
        <x:f>"01543000"</x:f>
        <x:v>01543000</x:v>
      </x:c>
      <x:c r="B40" s="11" t="n">
        <x:v>0.554180222072223</x:v>
      </x:c>
      <x:c r="C40" s="11" t="n">
        <x:v>0.5496081481955226</x:v>
      </x:c>
      <x:c r="D40" s="11" t="n">
        <x:v>0.45674348092454575</x:v>
      </x:c>
      <x:c r="E40" s="11" t="n">
        <x:v>0.004572073876700333</x:v>
      </x:c>
      <x:c r="F40" s="11" t="n">
        <x:v>0.0974367411476772</x:v>
      </x:c>
      <x:c r="G40" s="11" t="n">
        <x:v>0.33462328279760534</x:v>
      </x:c>
      <x:c r="H40" s="11" t="n">
        <x:v>0.42560463752543976</x:v>
      </x:c>
    </x:row>
    <x:row r="41" ht="22" customHeight="1">
      <x:c r="A41" s="17" t="str">
        <x:f>"01543500"</x:f>
        <x:v>01543500</x:v>
      </x:c>
      <x:c r="B41" s="11" t="n">
        <x:v>0.6271723267981333</x:v>
      </x:c>
      <x:c r="C41" s="11" t="n">
        <x:v>0.6470960151664444</x:v>
      </x:c>
      <x:c r="D41" s="11" t="n">
        <x:v>0.5558390310573789</x:v>
      </x:c>
      <x:c r="E41" s="11" t="n">
        <x:v>-0.019923688368311154</x:v>
      </x:c>
      <x:c r="F41" s="11" t="n">
        <x:v>0.07133329574075442</x:v>
      </x:c>
      <x:c r="G41" s="11" t="n">
        <x:v>0.5198514984154122</x:v>
      </x:c>
      <x:c r="H41" s="11" t="n">
        <x:v>0.5786454685096217</x:v>
      </x:c>
    </x:row>
    <x:row r="42" ht="22" customHeight="1">
      <x:c r="A42" s="17" t="str">
        <x:f>"01544500"</x:f>
        <x:v>01544500</x:v>
      </x:c>
      <x:c r="B42" s="11" t="n">
        <x:v>0.7364491937966297</x:v>
      </x:c>
      <x:c r="C42" s="11" t="n">
        <x:v>0.7177803977768887</x:v>
      </x:c>
      <x:c r="D42" s="11" t="n">
        <x:v>0.5045459567124357</x:v>
      </x:c>
      <x:c r="E42" s="11" t="n">
        <x:v>0.01866879601974092</x:v>
      </x:c>
      <x:c r="F42" s="11" t="n">
        <x:v>0.23190323708419391</x:v>
      </x:c>
      <x:c r="G42" s="11" t="n">
        <x:v>0.6466091727529889</x:v>
      </x:c>
      <x:c r="H42" s="11" t="n">
        <x:v>0.6983210108264366</x:v>
      </x:c>
    </x:row>
    <x:row r="43" ht="22" customHeight="1">
      <x:c r="A43" s="17" t="str">
        <x:f>"01545600"</x:f>
        <x:v>01545600</x:v>
      </x:c>
      <x:c r="B43" s="11" t="n">
        <x:v>0.7580465653401236</x:v>
      </x:c>
      <x:c r="C43" s="11" t="n">
        <x:v>0.7746562685167794</x:v>
      </x:c>
      <x:c r="D43" s="11" t="n">
        <x:v>0.4978635716521933</x:v>
      </x:c>
      <x:c r="E43" s="11" t="n">
        <x:v>-0.016609703176655777</x:v>
      </x:c>
      <x:c r="F43" s="11" t="n">
        <x:v>0.2601829936879303</x:v>
      </x:c>
      <x:c r="G43" s="11" t="n">
        <x:v>0.6910990307832741</x:v>
      </x:c>
      <x:c r="H43" s="11" t="n">
        <x:v>0.7334290652533482</x:v>
      </x:c>
    </x:row>
    <x:row r="44" ht="22" customHeight="1">
      <x:c r="A44" s="17" t="str">
        <x:f>"01547700"</x:f>
        <x:v>01547700</x:v>
      </x:c>
      <x:c r="B44" s="11" t="n">
        <x:v>0.5400259852073712</x:v>
      </x:c>
      <x:c r="C44" s="11" t="n">
        <x:v>0.5721889055423119</x:v>
      </x:c>
      <x:c r="D44" s="11" t="n">
        <x:v>0.35193247107360703</x:v>
      </x:c>
      <x:c r="E44" s="11" t="n">
        <x:v>-0.032162920334940726</x:v>
      </x:c>
      <x:c r="F44" s="11" t="n">
        <x:v>0.18809351413376418</x:v>
      </x:c>
      <x:c r="G44" s="11" t="n">
        <x:v>0.38483886266701295</x:v>
      </x:c>
      <x:c r="H44" s="11" t="n">
        <x:v>0.4863291964429165</x:v>
      </x:c>
    </x:row>
    <x:row r="45" ht="22" customHeight="1">
      <x:c r="A45" s="17" t="str">
        <x:f>"01548500"</x:f>
        <x:v>01548500</x:v>
      </x:c>
      <x:c r="B45" s="11" t="n">
        <x:v>0.714021367255847</x:v>
      </x:c>
      <x:c r="C45" s="11" t="n">
        <x:v>0.6849181779934502</x:v>
      </x:c>
      <x:c r="D45" s="11" t="n">
        <x:v>0.5289707268190291</x:v>
      </x:c>
      <x:c r="E45" s="11" t="n">
        <x:v>0.029103189262396745</x:v>
      </x:c>
      <x:c r="F45" s="11" t="n">
        <x:v>0.18505064043681785</x:v>
      </x:c>
      <x:c r="G45" s="11" t="n">
        <x:v>0.6510589505043269</x:v>
      </x:c>
      <x:c r="H45" s="11" t="n">
        <x:v>0.6904790794799092</x:v>
      </x:c>
    </x:row>
    <x:row r="46" ht="22" customHeight="1">
      <x:c r="A46" s="17" t="str">
        <x:f>"01549500"</x:f>
        <x:v>01549500</x:v>
      </x:c>
      <x:c r="B46" s="11" t="n">
        <x:v>0.5004338079901701</x:v>
      </x:c>
      <x:c r="C46" s="11" t="n">
        <x:v>0.5100181701172106</x:v>
      </x:c>
      <x:c r="D46" s="11" t="n">
        <x:v>0.29741179017452224</x:v>
      </x:c>
      <x:c r="E46" s="11" t="n">
        <x:v>-0.009584362127040502</x:v>
      </x:c>
      <x:c r="F46" s="11" t="n">
        <x:v>0.20302201781564788</x:v>
      </x:c>
      <x:c r="G46" s="11" t="n">
        <x:v>0.3286949707301323</x:v>
      </x:c>
      <x:c r="H46" s="11" t="n">
        <x:v>0.45155573582172304</x:v>
      </x:c>
    </x:row>
    <x:row r="47" ht="22" customHeight="1">
      <x:c r="A47" s="17" t="str">
        <x:f>"01550000"</x:f>
        <x:v>01550000</x:v>
      </x:c>
      <x:c r="B47" s="11" t="n">
        <x:v>0.4565095426309289</x:v>
      </x:c>
      <x:c r="C47" s="11" t="n">
        <x:v>0.44193651118008737</x:v>
      </x:c>
      <x:c r="D47" s="11" t="n">
        <x:v>0.3143038414744397</x:v>
      </x:c>
      <x:c r="E47" s="11" t="n">
        <x:v>0.014573031450841545</x:v>
      </x:c>
      <x:c r="F47" s="11" t="n">
        <x:v>0.14220570115648923</x:v>
      </x:c>
      <x:c r="G47" s="11" t="n">
        <x:v>0.2716045125089973</x:v>
      </x:c>
      <x:c r="H47" s="11" t="n">
        <x:v>0.4163541079168983</x:v>
      </x:c>
    </x:row>
    <x:row r="48" ht="22" customHeight="1">
      <x:c r="A48" s="17" t="str">
        <x:f>"01552000"</x:f>
        <x:v>01552000</x:v>
      </x:c>
      <x:c r="B48" s="11" t="n">
        <x:v>0.40064515827977065</x:v>
      </x:c>
      <x:c r="C48" s="11" t="n">
        <x:v>0.4581079348280027</x:v>
      </x:c>
      <x:c r="D48" s="11" t="n">
        <x:v>0.27276184432848305</x:v>
      </x:c>
      <x:c r="E48" s="11" t="n">
        <x:v>-0.057462776548232064</x:v>
      </x:c>
      <x:c r="F48" s="11" t="n">
        <x:v>0.1278833139512876</x:v>
      </x:c>
      <x:c r="G48" s="11" t="n">
        <x:v>0.20869298043303297</x:v>
      </x:c>
      <x:c r="H48" s="11" t="n">
        <x:v>0.378585110677494</x:v>
      </x:c>
    </x:row>
    <x:row r="49" ht="22" customHeight="1">
      <x:c r="A49" s="17" t="str">
        <x:f>"01552500"</x:f>
        <x:v>01552500</x:v>
      </x:c>
      <x:c r="B49" s="11" t="n">
        <x:v>0.3146444554652037</x:v>
      </x:c>
      <x:c r="C49" s="11" t="n">
        <x:v>0.33479654881028253</x:v>
      </x:c>
      <x:c r="D49" s="11" t="n">
        <x:v>0.17564415639630604</x:v>
      </x:c>
      <x:c r="E49" s="11" t="n">
        <x:v>-0.020152093345078836</x:v>
      </x:c>
      <x:c r="F49" s="11" t="n">
        <x:v>0.13900029906889766</x:v>
      </x:c>
      <x:c r="G49" s="11" t="n">
        <x:v>0.0776999521587467</x:v>
      </x:c>
      <x:c r="H49" s="11" t="n">
        <x:v>0.2997073537768826</x:v>
      </x:c>
    </x:row>
    <x:row r="50" ht="22" customHeight="1">
      <x:c r="A50" s="17" t="str">
        <x:f>"01557500"</x:f>
        <x:v>01557500</x:v>
      </x:c>
      <x:c r="B50" s="11" t="n">
        <x:v>0.6097928929400611</x:v>
      </x:c>
      <x:c r="C50" s="11" t="n">
        <x:v>0.6245616374397902</x:v>
      </x:c>
      <x:c r="D50" s="11" t="n">
        <x:v>0.3647951293481103</x:v>
      </x:c>
      <x:c r="E50" s="11" t="n">
        <x:v>-0.014768744499729092</x:v>
      </x:c>
      <x:c r="F50" s="11" t="n">
        <x:v>0.2449977635919508</x:v>
      </x:c>
      <x:c r="G50" s="11" t="n">
        <x:v>0.40807770202989235</x:v>
      </x:c>
      <x:c r="H50" s="11" t="n">
        <x:v>0.49893155323468685</x:v>
      </x:c>
    </x:row>
    <x:row r="51" ht="22" customHeight="1">
      <x:c r="A51" s="17" t="str">
        <x:f>"01567500"</x:f>
        <x:v>01567500</x:v>
      </x:c>
      <x:c r="B51" s="11" t="n">
        <x:v>0.2994764395801791</x:v>
      </x:c>
      <x:c r="C51" s="11" t="n">
        <x:v>0.2940928796408717</x:v>
      </x:c>
      <x:c r="D51" s="11" t="n">
        <x:v>0.12009324099276686</x:v>
      </x:c>
      <x:c r="E51" s="11" t="n">
        <x:v>0.005383559939307392</x:v>
      </x:c>
      <x:c r="F51" s="11" t="n">
        <x:v>0.17938319858741225</x:v>
      </x:c>
      <x:c r="G51" s="11" t="n">
        <x:v>-0.08676517054009181</x:v>
      </x:c>
      <x:c r="H51" s="11" t="n">
        <x:v>0.2189234703326095</x:v>
      </x:c>
    </x:row>
    <x:row r="52" ht="22" customHeight="1">
      <x:c r="A52" s="17" t="str">
        <x:f>"01568000"</x:f>
        <x:v>01568000</x:v>
      </x:c>
      <x:c r="B52" s="11" t="n">
        <x:v>0.4018969647210313</x:v>
      </x:c>
      <x:c r="C52" s="11" t="n">
        <x:v>0.4118024678578427</x:v>
      </x:c>
      <x:c r="D52" s="11" t="n">
        <x:v>0.22203828373418466</x:v>
      </x:c>
      <x:c r="E52" s="11" t="n">
        <x:v>-0.009905503136811378</x:v>
      </x:c>
      <x:c r="F52" s="11" t="n">
        <x:v>0.17985868098684665</x:v>
      </x:c>
      <x:c r="G52" s="11" t="n">
        <x:v>0.1279810300937475</x:v>
      </x:c>
      <x:c r="H52" s="11" t="n">
        <x:v>0.3212558755431555</x:v>
      </x:c>
    </x:row>
    <x:row r="53" ht="22" customHeight="1">
      <x:c r="A53" s="17" t="str">
        <x:f>"01580000"</x:f>
        <x:v>01580000</x:v>
      </x:c>
      <x:c r="B53" s="11" t="n">
        <x:v>0.24634504327601925</x:v>
      </x:c>
      <x:c r="C53" s="11" t="n">
        <x:v>0.2510004822658538</x:v>
      </x:c>
      <x:c r="D53" s="11" t="n">
        <x:v>0.12225109050745919</x:v>
      </x:c>
      <x:c r="E53" s="11" t="n">
        <x:v>-0.004655438989834559</x:v>
      </x:c>
      <x:c r="F53" s="11" t="n">
        <x:v>0.12409395276856006</x:v>
      </x:c>
      <x:c r="G53" s="11" t="n">
        <x:v>0.039771452125138884</x:v>
      </x:c>
      <x:c r="H53" s="11" t="n">
        <x:v>0.24644300983136158</x:v>
      </x:c>
    </x:row>
    <x:row r="54" ht="22" customHeight="1">
      <x:c r="A54" s="17" t="str">
        <x:f>"01583500"</x:f>
        <x:v>01583500</x:v>
      </x:c>
      <x:c r="B54" s="11" t="n">
        <x:v>0.16399081357461542</x:v>
      </x:c>
      <x:c r="C54" s="11" t="n">
        <x:v>0.13312144988950336</x:v>
      </x:c>
      <x:c r="D54" s="11" t="n">
        <x:v>0.09375357045445454</x:v>
      </x:c>
      <x:c r="E54" s="11" t="n">
        <x:v>0.03086936368511206</x:v>
      </x:c>
      <x:c r="F54" s="11" t="n">
        <x:v>0.07023724312016089</x:v>
      </x:c>
      <x:c r="G54" s="11" t="n">
        <x:v>-0.09965190252574785</x:v>
      </x:c>
      <x:c r="H54" s="11" t="n">
        <x:v>0.16572550844989886</x:v>
      </x:c>
    </x:row>
    <x:row r="55" ht="22" customHeight="1">
      <x:c r="A55" s="17" t="str">
        <x:f>"01591400"</x:f>
        <x:v>01591400</x:v>
      </x:c>
      <x:c r="B55" s="11" t="n">
        <x:v>0.1676488859140266</x:v>
      </x:c>
      <x:c r="C55" s="11" t="n">
        <x:v>0.16300717824681055</x:v>
      </x:c>
      <x:c r="D55" s="11" t="n">
        <x:v>0.11725080705388102</x:v>
      </x:c>
      <x:c r="E55" s="11" t="n">
        <x:v>0.004641707667216055</x:v>
      </x:c>
      <x:c r="F55" s="11" t="n">
        <x:v>0.05039807886014558</x:v>
      </x:c>
      <x:c r="G55" s="11" t="n">
        <x:v>-0.2654314023988573</x:v>
      </x:c>
      <x:c r="H55" s="11" t="n">
        <x:v>0.11065490045200566</x:v>
      </x:c>
    </x:row>
    <x:row r="56" ht="22" customHeight="1">
      <x:c r="A56" s="17" t="str">
        <x:f>"01596500"</x:f>
        <x:v>01596500</x:v>
      </x:c>
      <x:c r="B56" s="11" t="n">
        <x:v>0.6274815032401633</x:v>
      </x:c>
      <x:c r="C56" s="11" t="n">
        <x:v>0.6638352049533536</x:v>
      </x:c>
      <x:c r="D56" s="11" t="n">
        <x:v>0.396077213599893</x:v>
      </x:c>
      <x:c r="E56" s="11" t="n">
        <x:v>-0.0363537017131903</x:v>
      </x:c>
      <x:c r="F56" s="11" t="n">
        <x:v>0.23140428964027027</x:v>
      </x:c>
      <x:c r="G56" s="11" t="n">
        <x:v>0.5233409298681826</x:v>
      </x:c>
      <x:c r="H56" s="11" t="n">
        <x:v>0.5953296466172995</x:v>
      </x:c>
    </x:row>
    <x:row r="57" ht="22" customHeight="1">
      <x:c r="A57" s="17" t="str">
        <x:f>"01613050"</x:f>
        <x:v>01613050</x:v>
      </x:c>
      <x:c r="B57" s="11" t="n">
        <x:v>0.5643944548560036</x:v>
      </x:c>
      <x:c r="C57" s="11" t="n">
        <x:v>0.5716512850463427</x:v>
      </x:c>
      <x:c r="D57" s="11" t="n">
        <x:v>0.284853139444998</x:v>
      </x:c>
      <x:c r="E57" s="11" t="n">
        <x:v>-0.00725683019033907</x:v>
      </x:c>
      <x:c r="F57" s="11" t="n">
        <x:v>0.2795413154110056</x:v>
      </x:c>
      <x:c r="G57" s="11" t="n">
        <x:v>0.3896512084120345</x:v>
      </x:c>
      <x:c r="H57" s="11" t="n">
        <x:v>0.4960211913136141</x:v>
      </x:c>
    </x:row>
    <x:row r="58" ht="22" customHeight="1">
      <x:c r="A58" s="17" t="str">
        <x:f>"01620500"</x:f>
        <x:v>01620500</x:v>
      </x:c>
      <x:c r="B58" s="11" t="n">
        <x:v>0.44504268278550185</x:v>
      </x:c>
      <x:c r="C58" s="11" t="n">
        <x:v>0.47199100175486075</x:v>
      </x:c>
      <x:c r="D58" s="11" t="n">
        <x:v>0.23164198448200435</x:v>
      </x:c>
      <x:c r="E58" s="11" t="n">
        <x:v>-0.026948318969358898</x:v>
      </x:c>
      <x:c r="F58" s="11" t="n">
        <x:v>0.2134006983034975</x:v>
      </x:c>
      <x:c r="G58" s="11" t="n">
        <x:v>0.2774132944977107</x:v>
      </x:c>
      <x:c r="H58" s="11" t="n">
        <x:v>0.4021192613779324</x:v>
      </x:c>
    </x:row>
    <x:row r="59" ht="22" customHeight="1">
      <x:c r="A59" s="17" t="str">
        <x:f>"01634500"</x:f>
        <x:v>01634500</x:v>
      </x:c>
      <x:c r="B59" s="11" t="n">
        <x:v>0.382389655093645</x:v>
      </x:c>
      <x:c r="C59" s="11" t="n">
        <x:v>0.42684289032508027</x:v>
      </x:c>
      <x:c r="D59" s="11" t="n">
        <x:v>0.12734082846362116</x:v>
      </x:c>
      <x:c r="E59" s="11" t="n">
        <x:v>-0.044453235231435295</x:v>
      </x:c>
      <x:c r="F59" s="11" t="n">
        <x:v>0.2550488266300238</x:v>
      </x:c>
      <x:c r="G59" s="11" t="n">
        <x:v>-0.03883201571016692</x:v>
      </x:c>
      <x:c r="H59" s="11" t="n">
        <x:v>0.23874291174869966</x:v>
      </x:c>
    </x:row>
    <x:row r="60" ht="22" customHeight="1">
      <x:c r="A60" s="17" t="str">
        <x:f>"01638480"</x:f>
        <x:v>01638480</x:v>
      </x:c>
      <x:c r="B60" s="11" t="n">
        <x:v>0.3285051735264687</x:v>
      </x:c>
      <x:c r="C60" s="11" t="n">
        <x:v>0.3482701845016616</x:v>
      </x:c>
      <x:c r="D60" s="11" t="n">
        <x:v>0.12406286399508515</x:v>
      </x:c>
      <x:c r="E60" s="11" t="n">
        <x:v>-0.019765010975192898</x:v>
      </x:c>
      <x:c r="F60" s="11" t="n">
        <x:v>0.20444230953138354</x:v>
      </x:c>
      <x:c r="G60" s="11" t="n">
        <x:v>-0.01476509232732326</x:v>
      </x:c>
      <x:c r="H60" s="11" t="n">
        <x:v>0.2413504827464653</x:v>
      </x:c>
    </x:row>
    <x:row r="61" ht="22" customHeight="1">
      <x:c r="A61" s="17" t="str">
        <x:f>"01639500"</x:f>
        <x:v>01639500</x:v>
      </x:c>
      <x:c r="B61" s="11" t="n">
        <x:v>0.287513413756341</x:v>
      </x:c>
      <x:c r="C61" s="11" t="n">
        <x:v>0.25536603319234896</x:v>
      </x:c>
      <x:c r="D61" s="11" t="n">
        <x:v>0.15931993139543532</x:v>
      </x:c>
      <x:c r="E61" s="11" t="n">
        <x:v>0.03214738056399202</x:v>
      </x:c>
      <x:c r="F61" s="11" t="n">
        <x:v>0.12819348236090566</x:v>
      </x:c>
      <x:c r="G61" s="11" t="n">
        <x:v>-0.04677625937357277</x:v>
      </x:c>
      <x:c r="H61" s="11" t="n">
        <x:v>0.23228770366241436</x:v>
      </x:c>
    </x:row>
    <x:row r="62" ht="22" customHeight="1">
      <x:c r="A62" s="17" t="str">
        <x:f>"01644000"</x:f>
        <x:v>01644000</x:v>
      </x:c>
      <x:c r="B62" s="11" t="n">
        <x:v>0.39297405840903366</x:v>
      </x:c>
      <x:c r="C62" s="11" t="n">
        <x:v>0.37339436082191546</x:v>
      </x:c>
      <x:c r="D62" s="11" t="n">
        <x:v>0.21153495253337418</x:v>
      </x:c>
      <x:c r="E62" s="11" t="n">
        <x:v>0.019579697587118194</x:v>
      </x:c>
      <x:c r="F62" s="11" t="n">
        <x:v>0.18143910587565948</x:v>
      </x:c>
      <x:c r="G62" s="11" t="n">
        <x:v>0.05100474128160726</x:v>
      </x:c>
      <x:c r="H62" s="11" t="n">
        <x:v>0.288799847538598</x:v>
      </x:c>
    </x:row>
    <x:row r="63" ht="22" customHeight="1">
      <x:c r="A63" s="17" t="str">
        <x:f>"01658500"</x:f>
        <x:v>01658500</x:v>
      </x:c>
      <x:c r="B63" s="11" t="n">
        <x:v>0.20047452939072719</x:v>
      </x:c>
      <x:c r="C63" s="11" t="n">
        <x:v>0.144530854243886</x:v>
      </x:c>
      <x:c r="D63" s="11" t="n">
        <x:v>0.15182047327501735</x:v>
      </x:c>
      <x:c r="E63" s="11" t="n">
        <x:v>0.055943675146841176</x:v>
      </x:c>
      <x:c r="F63" s="11" t="n">
        <x:v>0.04865405611570983</x:v>
      </x:c>
      <x:c r="G63" s="11" t="n">
        <x:v>-0.301209994220323</x:v>
      </x:c>
      <x:c r="H63" s="11" t="n">
        <x:v>0.11246477157045054</x:v>
      </x:c>
    </x:row>
    <x:row r="64" ht="22" customHeight="1">
      <x:c r="A64" s="17" t="str">
        <x:f>"01664000"</x:f>
        <x:v>01664000</x:v>
      </x:c>
      <x:c r="B64" s="11" t="n">
        <x:v>0.5110492382331949</x:v>
      </x:c>
      <x:c r="C64" s="11" t="n">
        <x:v>0.5145941207309099</x:v>
      </x:c>
      <x:c r="D64" s="11" t="n">
        <x:v>0.38902534323643756</x:v>
      </x:c>
      <x:c r="E64" s="11" t="n">
        <x:v>-0.0035448824977150073</x:v>
      </x:c>
      <x:c r="F64" s="11" t="n">
        <x:v>0.12202389499675736</x:v>
      </x:c>
      <x:c r="G64" s="11" t="n">
        <x:v>0.31916026758223737</x:v>
      </x:c>
      <x:c r="H64" s="11" t="n">
        <x:v>0.45718411995777963</x:v>
      </x:c>
    </x:row>
    <x:row r="65" ht="22" customHeight="1">
      <x:c r="A65" s="17" t="str">
        <x:f>"01666500"</x:f>
        <x:v>01666500</x:v>
      </x:c>
      <x:c r="B65" s="11" t="n">
        <x:v>0.2904385032317869</x:v>
      </x:c>
      <x:c r="C65" s="11" t="n">
        <x:v>0.29264542059837306</x:v>
      </x:c>
      <x:c r="D65" s="11" t="n">
        <x:v>0.1774291766334799</x:v>
      </x:c>
      <x:c r="E65" s="11" t="n">
        <x:v>-0.0022069173665861808</x:v>
      </x:c>
      <x:c r="F65" s="11" t="n">
        <x:v>0.11300932659830698</x:v>
      </x:c>
      <x:c r="G65" s="11" t="n">
        <x:v>-0.06511326917392535</x:v>
      </x:c>
      <x:c r="H65" s="11" t="n">
        <x:v>0.22390063473877597</x:v>
      </x:c>
    </x:row>
    <x:row r="66" ht="22" customHeight="1">
      <x:c r="A66" s="17" t="str">
        <x:f>"01667500"</x:f>
        <x:v>01667500</x:v>
      </x:c>
      <x:c r="B66" s="11" t="n">
        <x:v>0.3691807642355146</x:v>
      </x:c>
      <x:c r="C66" s="11" t="n">
        <x:v>0.3918210296779373</x:v>
      </x:c>
      <x:c r="D66" s="11" t="n">
        <x:v>0.29066034268279095</x:v>
      </x:c>
      <x:c r="E66" s="11" t="n">
        <x:v>-0.022640265442422702</x:v>
      </x:c>
      <x:c r="F66" s="11" t="n">
        <x:v>0.07852042155272365</x:v>
      </x:c>
      <x:c r="G66" s="11" t="n">
        <x:v>0.08665224243728942</x:v>
      </x:c>
      <x:c r="H66" s="11" t="n">
        <x:v>0.30779942053251697</x:v>
      </x:c>
    </x:row>
    <x:row r="67" ht="22" customHeight="1">
      <x:c r="A67" s="17" t="str">
        <x:f>"01669000"</x:f>
        <x:v>01669000</x:v>
      </x:c>
      <x:c r="B67" s="11" t="n">
        <x:v>0.5491229020547703</x:v>
      </x:c>
      <x:c r="C67" s="11" t="n">
        <x:v>0.5801663634606302</x:v>
      </x:c>
      <x:c r="D67" s="11" t="n">
        <x:v>0.39255031560509734</x:v>
      </x:c>
      <x:c r="E67" s="11" t="n">
        <x:v>-0.031043461405859896</x:v>
      </x:c>
      <x:c r="F67" s="11" t="n">
        <x:v>0.15657258644967298</x:v>
      </x:c>
      <x:c r="G67" s="11" t="n">
        <x:v>0.35366720451483236</x:v>
      </x:c>
      <x:c r="H67" s="11" t="n">
        <x:v>0.488391911281154</x:v>
      </x:c>
    </x:row>
    <x:row r="68" ht="22" customHeight="1">
      <x:c r="A68" s="17" t="str">
        <x:f>"02011400"</x:f>
        <x:v>02011400</x:v>
      </x:c>
      <x:c r="B68" s="11" t="n">
        <x:v>0.5567187041588271</x:v>
      </x:c>
      <x:c r="C68" s="11" t="n">
        <x:v>0.5920319577288657</x:v>
      </x:c>
      <x:c r="D68" s="11" t="n">
        <x:v>0.3680059601324156</x:v>
      </x:c>
      <x:c r="E68" s="11" t="n">
        <x:v>-0.03531325357003867</x:v>
      </x:c>
      <x:c r="F68" s="11" t="n">
        <x:v>0.18871274402641147</x:v>
      </x:c>
      <x:c r="G68" s="11" t="n">
        <x:v>0.4018862752111779</x:v>
      </x:c>
      <x:c r="H68" s="11" t="n">
        <x:v>0.5050879618928663</x:v>
      </x:c>
    </x:row>
    <x:row r="69" ht="22" customHeight="1">
      <x:c r="A69" s="17" t="str">
        <x:f>"02011460"</x:f>
        <x:v>02011460</x:v>
      </x:c>
      <x:c r="B69" s="11" t="n">
        <x:v>0.43564439169573566</x:v>
      </x:c>
      <x:c r="C69" s="11" t="n">
        <x:v>0.4869356053195355</x:v>
      </x:c>
      <x:c r="D69" s="11" t="n">
        <x:v>0.282201845559646</x:v>
      </x:c>
      <x:c r="E69" s="11" t="n">
        <x:v>-0.05129121362379985</x:v>
      </x:c>
      <x:c r="F69" s="11" t="n">
        <x:v>0.15344254613608965</x:v>
      </x:c>
      <x:c r="G69" s="11" t="n">
        <x:v>0.14925640143347418</x:v>
      </x:c>
      <x:c r="H69" s="11" t="n">
        <x:v>0.3435924000016227</x:v>
      </x:c>
    </x:row>
    <x:row r="70" ht="22" customHeight="1">
      <x:c r="A70" s="17" t="str">
        <x:f>"02013000"</x:f>
        <x:v>02013000</x:v>
      </x:c>
      <x:c r="B70" s="11" t="n">
        <x:v>0.42548776838325386</x:v>
      </x:c>
      <x:c r="C70" s="11" t="n">
        <x:v>0.43178371036250907</x:v>
      </x:c>
      <x:c r="D70" s="11" t="n">
        <x:v>0.1811597547472138</x:v>
      </x:c>
      <x:c r="E70" s="11" t="n">
        <x:v>-0.006295941979255204</x:v>
      </x:c>
      <x:c r="F70" s="11" t="n">
        <x:v>0.24432801363604006</x:v>
      </x:c>
      <x:c r="G70" s="11" t="n">
        <x:v>0.07731497810850185</x:v>
      </x:c>
      <x:c r="H70" s="11" t="n">
        <x:v>0.2916387341767631</x:v>
      </x:c>
    </x:row>
    <x:row r="71" ht="22" customHeight="1">
      <x:c r="A71" s="17" t="str">
        <x:f>"02014000"</x:f>
        <x:v>02014000</x:v>
      </x:c>
      <x:c r="B71" s="11" t="n">
        <x:v>0.5440087321871425</x:v>
      </x:c>
      <x:c r="C71" s="11" t="n">
        <x:v>0.545847573909565</x:v>
      </x:c>
      <x:c r="D71" s="11" t="n">
        <x:v>0.34013039597795947</x:v>
      </x:c>
      <x:c r="E71" s="11" t="n">
        <x:v>-0.0018388417224224352</x:v>
      </x:c>
      <x:c r="F71" s="11" t="n">
        <x:v>0.20387833620918305</x:v>
      </x:c>
      <x:c r="G71" s="11" t="n">
        <x:v>0.37557972661927375</x:v>
      </x:c>
      <x:c r="H71" s="11" t="n">
        <x:v>0.48134003840402495</x:v>
      </x:c>
    </x:row>
    <x:row r="72" ht="22" customHeight="1">
      <x:c r="A72" s="17" t="str">
        <x:f>"02015700"</x:f>
        <x:v>02015700</x:v>
      </x:c>
      <x:c r="B72" s="11" t="n">
        <x:v>0.3795374888788654</x:v>
      </x:c>
      <x:c r="C72" s="11" t="n">
        <x:v>0.3934781994441715</x:v>
      </x:c>
      <x:c r="D72" s="11" t="n">
        <x:v>0.24079905554588554</x:v>
      </x:c>
      <x:c r="E72" s="11" t="n">
        <x:v>-0.013940710565306103</x:v>
      </x:c>
      <x:c r="F72" s="11" t="n">
        <x:v>0.13873843333297986</x:v>
      </x:c>
      <x:c r="G72" s="11" t="n">
        <x:v>0.10304098295675768</x:v>
      </x:c>
      <x:c r="H72" s="11" t="n">
        <x:v>0.31860770020789975</x:v>
      </x:c>
    </x:row>
    <x:row r="73" ht="22" customHeight="1">
      <x:c r="A73" s="17" t="str">
        <x:f>"02016000"</x:f>
        <x:v>02016000</x:v>
      </x:c>
      <x:c r="B73" s="11" t="n">
        <x:v>0.5212415627995151</x:v>
      </x:c>
      <x:c r="C73" s="11" t="n">
        <x:v>0.558879215244394</x:v>
      </x:c>
      <x:c r="D73" s="11" t="n">
        <x:v>0.4094882254493626</x:v>
      </x:c>
      <x:c r="E73" s="11" t="n">
        <x:v>-0.03763765244487893</x:v>
      </x:c>
      <x:c r="F73" s="11" t="n">
        <x:v>0.11175333735015247</x:v>
      </x:c>
      <x:c r="G73" s="11" t="n">
        <x:v>0.28414461924446477</x:v>
      </x:c>
      <x:c r="H73" s="11" t="n">
        <x:v>0.43341327383066075</x:v>
      </x:c>
    </x:row>
    <x:row r="74" ht="22" customHeight="1">
      <x:c r="A74" s="17" t="str">
        <x:f>"02017500"</x:f>
        <x:v>02017500</x:v>
      </x:c>
      <x:c r="B74" s="11" t="n">
        <x:v>0.6208590381297686</x:v>
      </x:c>
      <x:c r="C74" s="11" t="n">
        <x:v>0.5883645262317395</x:v>
      </x:c>
      <x:c r="D74" s="11" t="n">
        <x:v>0.372108049178835</x:v>
      </x:c>
      <x:c r="E74" s="11" t="n">
        <x:v>0.0324945118980291</x:v>
      </x:c>
      <x:c r="F74" s="11" t="n">
        <x:v>0.24875098895093362</x:v>
      </x:c>
      <x:c r="G74" s="11" t="n">
        <x:v>0.48549762976099753</x:v>
      </x:c>
      <x:c r="H74" s="11" t="n">
        <x:v>0.5609811131854778</x:v>
      </x:c>
    </x:row>
    <x:row r="75" ht="22" customHeight="1">
      <x:c r="A75" s="17" t="str">
        <x:f>"02018000"</x:f>
        <x:v>02018000</x:v>
      </x:c>
      <x:c r="B75" s="11" t="n">
        <x:v>0.5719550596817577</x:v>
      </x:c>
      <x:c r="C75" s="11" t="n">
        <x:v>0.5543149838899313</x:v>
      </x:c>
      <x:c r="D75" s="11" t="n">
        <x:v>0.41568362636064227</x:v>
      </x:c>
      <x:c r="E75" s="11" t="n">
        <x:v>0.01764007579182647</x:v>
      </x:c>
      <x:c r="F75" s="11" t="n">
        <x:v>0.15627143332111548</x:v>
      </x:c>
      <x:c r="G75" s="11" t="n">
        <x:v>0.4371459847334247</x:v>
      </x:c>
      <x:c r="H75" s="11" t="n">
        <x:v>0.5258563770121912</x:v>
      </x:c>
    </x:row>
    <x:row r="76" ht="22" customHeight="1">
      <x:c r="A76" s="17" t="str">
        <x:f>"02027000"</x:f>
        <x:v>02027000</x:v>
      </x:c>
      <x:c r="B76" s="11" t="n">
        <x:v>0.4835690509684303</x:v>
      </x:c>
      <x:c r="C76" s="11" t="n">
        <x:v>0.4465550230027814</x:v>
      </x:c>
      <x:c r="D76" s="11" t="n">
        <x:v>0.23958412910791926</x:v>
      </x:c>
      <x:c r="E76" s="11" t="n">
        <x:v>0.0370140279656489</x:v>
      </x:c>
      <x:c r="F76" s="11" t="n">
        <x:v>0.24398492186051102</x:v>
      </x:c>
      <x:c r="G76" s="11" t="n">
        <x:v>0.24684442166209064</x:v>
      </x:c>
      <x:c r="H76" s="11" t="n">
        <x:v>0.40008249614443936</x:v>
      </x:c>
    </x:row>
    <x:row r="77" ht="22" customHeight="1">
      <x:c r="A77" s="17" t="str">
        <x:f>"02027500"</x:f>
        <x:v>02027500</x:v>
      </x:c>
      <x:c r="B77" s="11" t="n">
        <x:v>0.6293051352894009</x:v>
      </x:c>
      <x:c r="C77" s="11" t="n">
        <x:v>0.6413806689199839</x:v>
      </x:c>
      <x:c r="D77" s="11" t="n">
        <x:v>0.30329847299519785</x:v>
      </x:c>
      <x:c r="E77" s="11" t="n">
        <x:v>-0.012075533630583002</x:v>
      </x:c>
      <x:c r="F77" s="11" t="n">
        <x:v>0.32600666229420305</x:v>
      </x:c>
      <x:c r="G77" s="11" t="n">
        <x:v>0.5176603035291747</x:v>
      </x:c>
      <x:c r="H77" s="11" t="n">
        <x:v>0.5663104160590244</x:v>
      </x:c>
    </x:row>
    <x:row r="78" ht="22" customHeight="1">
      <x:c r="A78" s="17" t="str">
        <x:f>"02028500"</x:f>
        <x:v>02028500</x:v>
      </x:c>
      <x:c r="B78" s="11" t="n">
        <x:v>0.4165556124195048</x:v>
      </x:c>
      <x:c r="C78" s="11" t="n">
        <x:v>0.40963022106506164</x:v>
      </x:c>
      <x:c r="D78" s="11" t="n">
        <x:v>0.24063813464599326</x:v>
      </x:c>
      <x:c r="E78" s="11" t="n">
        <x:v>0.0069253913544431445</x:v>
      </x:c>
      <x:c r="F78" s="11" t="n">
        <x:v>0.17591747777351152</x:v>
      </x:c>
      <x:c r="G78" s="11" t="n">
        <x:v>0.19094793852963454</x:v>
      </x:c>
      <x:c r="H78" s="11" t="n">
        <x:v>0.3586519985608876</x:v>
      </x:c>
    </x:row>
    <x:row r="79" ht="22" customHeight="1">
      <x:c r="A79" s="17" t="str">
        <x:f>"02038850"</x:f>
        <x:v>02038850</x:v>
      </x:c>
      <x:c r="B79" s="11" t="n">
        <x:v>0.20498479810407522</x:v>
      </x:c>
      <x:c r="C79" s="11" t="n">
        <x:v>0.2017504030142372</x:v>
      </x:c>
      <x:c r="D79" s="11" t="n">
        <x:v>0.07762768906788275</x:v>
      </x:c>
      <x:c r="E79" s="11" t="n">
        <x:v>0.003234395089838027</x:v>
      </x:c>
      <x:c r="F79" s="11" t="n">
        <x:v>0.12735710903619246</x:v>
      </x:c>
      <x:c r="G79" s="11" t="n">
        <x:v>-0.2847584329912711</x:v>
      </x:c>
      <x:c r="H79" s="11" t="n">
        <x:v>0.13383479761964512</x:v>
      </x:c>
    </x:row>
    <x:row r="80" ht="22" customHeight="1">
      <x:c r="A80" s="17" t="str">
        <x:f>"02046000"</x:f>
        <x:v>02046000</x:v>
      </x:c>
      <x:c r="B80" s="11" t="n">
        <x:v>0.6418147396023862</x:v>
      </x:c>
      <x:c r="C80" s="11" t="n">
        <x:v>0.6075878358050126</x:v>
      </x:c>
      <x:c r="D80" s="11" t="n">
        <x:v>0.38993398580683714</x:v>
      </x:c>
      <x:c r="E80" s="11" t="n">
        <x:v>0.03422690379737359</x:v>
      </x:c>
      <x:c r="F80" s="11" t="n">
        <x:v>0.2518807537955491</x:v>
      </x:c>
      <x:c r="G80" s="11" t="n">
        <x:v>0.5069515458737941</x:v>
      </x:c>
      <x:c r="H80" s="11" t="n">
        <x:v>0.5984972806447632</x:v>
      </x:c>
    </x:row>
    <x:row r="81" ht="22" customHeight="1">
      <x:c r="A81" s="17" t="str">
        <x:f>"02051500"</x:f>
        <x:v>02051500</x:v>
      </x:c>
      <x:c r="B81" s="11" t="n">
        <x:v>0.6517794065591085</x:v>
      </x:c>
      <x:c r="C81" s="11" t="n">
        <x:v>0.7130928905588585</x:v>
      </x:c>
      <x:c r="D81" s="11" t="n">
        <x:v>0.41957043436804</x:v>
      </x:c>
      <x:c r="E81" s="11" t="n">
        <x:v>-0.06131348399975001</x:v>
      </x:c>
      <x:c r="F81" s="11" t="n">
        <x:v>0.2322089721910685</x:v>
      </x:c>
      <x:c r="G81" s="11" t="n">
        <x:v>0.4418715639305172</x:v>
      </x:c>
      <x:c r="H81" s="11" t="n">
        <x:v>0.5518830723963172</x:v>
      </x:c>
    </x:row>
    <x:row r="82" ht="22" customHeight="1">
      <x:c r="A82" s="17" t="str">
        <x:f>"02053200"</x:f>
        <x:v>02053200</x:v>
      </x:c>
      <x:c r="B82" s="11" t="n">
        <x:v>0.9489081750506502</x:v>
      </x:c>
      <x:c r="C82" s="11" t="n">
        <x:v>0.9419357190519565</x:v>
      </x:c>
      <x:c r="D82" s="11" t="n">
        <x:v>0.7423825793614103</x:v>
      </x:c>
      <x:c r="E82" s="11" t="n">
        <x:v>0.006972455998693672</x:v>
      </x:c>
      <x:c r="F82" s="11" t="n">
        <x:v>0.2065255956892399</x:v>
      </x:c>
      <x:c r="G82" s="11" t="n">
        <x:v>0.8777941599611256</x:v>
      </x:c>
      <x:c r="H82" s="11" t="n">
        <x:v>0.9313895523071257</x:v>
      </x:c>
    </x:row>
    <x:row r="83" ht="22" customHeight="1">
      <x:c r="A83" s="17" t="str">
        <x:f>"02053800"</x:f>
        <x:v>02053800</x:v>
      </x:c>
      <x:c r="B83" s="11" t="n">
        <x:v>0.5059762264774779</x:v>
      </x:c>
      <x:c r="C83" s="11" t="n">
        <x:v>0.5072279616135189</x:v>
      </x:c>
      <x:c r="D83" s="11" t="n">
        <x:v>0.2501820014683397</x:v>
      </x:c>
      <x:c r="E83" s="11" t="n">
        <x:v>-0.0012517351360410434</x:v>
      </x:c>
      <x:c r="F83" s="11" t="n">
        <x:v>0.2557942250091382</x:v>
      </x:c>
      <x:c r="G83" s="11" t="n">
        <x:v>0.26560304417436476</x:v>
      </x:c>
      <x:c r="H83" s="11" t="n">
        <x:v>0.4115847208585294</x:v>
      </x:c>
    </x:row>
    <x:row r="84" ht="22" customHeight="1">
      <x:c r="A84" s="17" t="str">
        <x:f>"02055100"</x:f>
        <x:v>02055100</x:v>
      </x:c>
      <x:c r="B84" s="11" t="n">
        <x:v>0.28845132871599966</x:v>
      </x:c>
      <x:c r="C84" s="11" t="n">
        <x:v>0.2649587452747122</x:v>
      </x:c>
      <x:c r="D84" s="11" t="n">
        <x:v>0.1604337025251028</x:v>
      </x:c>
      <x:c r="E84" s="11" t="n">
        <x:v>0.023492583441287462</x:v>
      </x:c>
      <x:c r="F84" s="11" t="n">
        <x:v>0.12801762619089685</x:v>
      </x:c>
      <x:c r="G84" s="11" t="n">
        <x:v>-0.1533509223185232</x:v>
      </x:c>
      <x:c r="H84" s="11" t="n">
        <x:v>0.21349086120189675</x:v>
      </x:c>
    </x:row>
    <x:row r="85" ht="22" customHeight="1">
      <x:c r="A85" s="17" t="str">
        <x:f>"02056900"</x:f>
        <x:v>02056900</x:v>
      </x:c>
      <x:c r="B85" s="11" t="n">
        <x:v>0.3090018346338055</x:v>
      </x:c>
      <x:c r="C85" s="11" t="n">
        <x:v>0.3277731773074056</x:v>
      </x:c>
      <x:c r="D85" s="11" t="n">
        <x:v>0.2034744957722442</x:v>
      </x:c>
      <x:c r="E85" s="11" t="n">
        <x:v>-0.018771342673600144</x:v>
      </x:c>
      <x:c r="F85" s="11" t="n">
        <x:v>0.10552733886156129</x:v>
      </x:c>
      <x:c r="G85" s="11" t="n">
        <x:v>0.0042663576434006645</x:v>
      </x:c>
      <x:c r="H85" s="11" t="n">
        <x:v>0.2654654264020786</x:v>
      </x:c>
    </x:row>
    <x:row r="86" ht="22" customHeight="1">
      <x:c r="A86" s="17" t="str">
        <x:f>"02059500"</x:f>
        <x:v>02059500</x:v>
      </x:c>
      <x:c r="B86" s="11" t="n">
        <x:v>0.18613937437368044</x:v>
      </x:c>
      <x:c r="C86" s="11" t="n">
        <x:v>0.12656657794673076</x:v>
      </x:c>
      <x:c r="D86" s="11" t="n">
        <x:v>0.12573406744575322</x:v>
      </x:c>
      <x:c r="E86" s="11" t="n">
        <x:v>0.05957279642694968</x:v>
      </x:c>
      <x:c r="F86" s="11" t="n">
        <x:v>0.06040530692792723</x:v>
      </x:c>
      <x:c r="G86" s="11" t="n">
        <x:v>-0.3117270655590849</x:v>
      </x:c>
      <x:c r="H86" s="11" t="n">
        <x:v>0.1289622632326285</x:v>
      </x:c>
    </x:row>
    <x:row r="87" ht="22" customHeight="1">
      <x:c r="A87" s="17" t="str">
        <x:f>"02064000"</x:f>
        <x:v>02064000</x:v>
      </x:c>
      <x:c r="B87" s="11" t="n">
        <x:v>0.35528195249037475</x:v>
      </x:c>
      <x:c r="C87" s="11" t="n">
        <x:v>0.331626380516686</x:v>
      </x:c>
      <x:c r="D87" s="11" t="n">
        <x:v>0.2160333751850121</x:v>
      </x:c>
      <x:c r="E87" s="11" t="n">
        <x:v>0.023655571973688727</x:v>
      </x:c>
      <x:c r="F87" s="11" t="n">
        <x:v>0.13924857730536266</x:v>
      </x:c>
      <x:c r="G87" s="11" t="n">
        <x:v>0.04586002931830424</x:v>
      </x:c>
      <x:c r="H87" s="11" t="n">
        <x:v>0.282493716822122</x:v>
      </x:c>
    </x:row>
    <x:row r="88" ht="22" customHeight="1">
      <x:c r="A88" s="17" t="str">
        <x:f>"02065500"</x:f>
        <x:v>02065500</x:v>
      </x:c>
      <x:c r="B88" s="11" t="n">
        <x:v>0.45946217874503015</x:v>
      </x:c>
      <x:c r="C88" s="11" t="n">
        <x:v>0.37662518548362955</x:v>
      </x:c>
      <x:c r="D88" s="11" t="n">
        <x:v>0.29601935718546646</x:v>
      </x:c>
      <x:c r="E88" s="11" t="n">
        <x:v>0.0828369932614006</x:v>
      </x:c>
      <x:c r="F88" s="11" t="n">
        <x:v>0.1634428215595637</x:v>
      </x:c>
      <x:c r="G88" s="11" t="n">
        <x:v>0.06617132752065191</x:v>
      </x:c>
      <x:c r="H88" s="11" t="n">
        <x:v>0.30056696997653654</x:v>
      </x:c>
    </x:row>
    <x:row r="89" ht="22" customHeight="1">
      <x:c r="A89" s="17" t="str">
        <x:f>"02069700"</x:f>
        <x:v>02069700</x:v>
      </x:c>
      <x:c r="B89" s="11" t="n">
        <x:v>0.37774972525062245</x:v>
      </x:c>
      <x:c r="C89" s="11" t="n">
        <x:v>0.3518910362903396</x:v>
      </x:c>
      <x:c r="D89" s="11" t="n">
        <x:v>0.1940115086711972</x:v>
      </x:c>
      <x:c r="E89" s="11" t="n">
        <x:v>0.025858688960282872</x:v>
      </x:c>
      <x:c r="F89" s="11" t="n">
        <x:v>0.18373821657942524</x:v>
      </x:c>
      <x:c r="G89" s="11" t="n">
        <x:v>0.14872992905344928</x:v>
      </x:c>
      <x:c r="H89" s="11" t="n">
        <x:v>0.33437691988805396</x:v>
      </x:c>
    </x:row>
    <x:row r="90" ht="22" customHeight="1">
      <x:c r="A90" s="17" t="str">
        <x:f>"02070000"</x:f>
        <x:v>02070000</x:v>
      </x:c>
      <x:c r="B90" s="11" t="n">
        <x:v>0.22514261612598996</x:v>
      </x:c>
      <x:c r="C90" s="11" t="n">
        <x:v>0.2129632909341137</x:v>
      </x:c>
      <x:c r="D90" s="11" t="n">
        <x:v>0.14917051965826722</x:v>
      </x:c>
      <x:c r="E90" s="11" t="n">
        <x:v>0.012179325191876256</x:v>
      </x:c>
      <x:c r="F90" s="11" t="n">
        <x:v>0.07597209646772274</x:v>
      </x:c>
      <x:c r="G90" s="11" t="n">
        <x:v>-0.18453355230385382</x:v>
      </x:c>
      <x:c r="H90" s="11" t="n">
        <x:v>0.17167395425430942</x:v>
      </x:c>
    </x:row>
    <x:row r="91" ht="22" customHeight="1">
      <x:c r="A91" s="17" t="str">
        <x:f>"02074500"</x:f>
        <x:v>02074500</x:v>
      </x:c>
      <x:c r="B91" s="11" t="n">
        <x:v>0.27745858236184073</x:v>
      </x:c>
      <x:c r="C91" s="11" t="n">
        <x:v>0.23125381591339778</x:v>
      </x:c>
      <x:c r="D91" s="11" t="n">
        <x:v>0.13152797074589018</x:v>
      </x:c>
      <x:c r="E91" s="11" t="n">
        <x:v>0.04620476644844296</x:v>
      </x:c>
      <x:c r="F91" s="11" t="n">
        <x:v>0.14593061161595056</x:v>
      </x:c>
      <x:c r="G91" s="11" t="n">
        <x:v>-0.02869459708446742</x:v>
      </x:c>
      <x:c r="H91" s="11" t="n">
        <x:v>0.21318164292456554</x:v>
      </x:c>
    </x:row>
    <x:row r="92" ht="22" customHeight="1">
      <x:c r="A92" s="17" t="str">
        <x:f>"02077200"</x:f>
        <x:v>02077200</x:v>
      </x:c>
      <x:c r="B92" s="11" t="n">
        <x:v>0.33557049269482997</x:v>
      </x:c>
      <x:c r="C92" s="11" t="n">
        <x:v>0.3568668569720894</x:v>
      </x:c>
      <x:c r="D92" s="11" t="n">
        <x:v>0.2508521901404538</x:v>
      </x:c>
      <x:c r="E92" s="11" t="n">
        <x:v>-0.02129636427725945</x:v>
      </x:c>
      <x:c r="F92" s="11" t="n">
        <x:v>0.08471830255437618</x:v>
      </x:c>
      <x:c r="G92" s="11" t="n">
        <x:v>0.04164893181764928</x:v>
      </x:c>
      <x:c r="H92" s="11" t="n">
        <x:v>0.2294484582225257</x:v>
      </x:c>
    </x:row>
    <x:row r="93" ht="22" customHeight="1">
      <x:c r="A93" s="17" t="str">
        <x:f>"02081500"</x:f>
        <x:v>02081500</x:v>
      </x:c>
      <x:c r="B93" s="11" t="n">
        <x:v>0.27389839518637304</x:v>
      </x:c>
      <x:c r="C93" s="11" t="n">
        <x:v>0.3018919118726041</x:v>
      </x:c>
      <x:c r="D93" s="11" t="n">
        <x:v>0.1693032629657535</x:v>
      </x:c>
      <x:c r="E93" s="11" t="n">
        <x:v>-0.027993516686231068</x:v>
      </x:c>
      <x:c r="F93" s="11" t="n">
        <x:v>0.10459513222061956</x:v>
      </x:c>
      <x:c r="G93" s="11" t="n">
        <x:v>-0.08015717763048902</x:v>
      </x:c>
      <x:c r="H93" s="11" t="n">
        <x:v>0.2015348282927093</x:v>
      </x:c>
    </x:row>
    <x:row r="94" ht="22" customHeight="1">
      <x:c r="A94" s="17" t="str">
        <x:f>"02082950"</x:f>
        <x:v>02082950</x:v>
      </x:c>
      <x:c r="B94" s="11" t="n">
        <x:v>0.647809053104539</x:v>
      </x:c>
      <x:c r="C94" s="11" t="n">
        <x:v>0.6679628804376416</x:v>
      </x:c>
      <x:c r="D94" s="11" t="n">
        <x:v>0.06649968315377164</x:v>
      </x:c>
      <x:c r="E94" s="11" t="n">
        <x:v>-0.02015382733310267</x:v>
      </x:c>
      <x:c r="F94" s="11" t="n">
        <x:v>0.5813093699507673</x:v>
      </x:c>
      <x:c r="G94" s="11" t="n">
        <x:v>0.442710467814439</x:v>
      </x:c>
      <x:c r="H94" s="11" t="n">
        <x:v>0.6006717337892249</x:v>
      </x:c>
    </x:row>
    <x:row r="95" ht="22" customHeight="1">
      <x:c r="A95" s="17" t="str">
        <x:f>"02092500"</x:f>
        <x:v>02092500</x:v>
      </x:c>
      <x:c r="B95" s="11" t="n">
        <x:v>0.9543002387489598</x:v>
      </x:c>
      <x:c r="C95" s="11" t="n">
        <x:v>0.9667564168951401</x:v>
      </x:c>
      <x:c r="D95" s="11" t="n">
        <x:v>0.602546198286098</x:v>
      </x:c>
      <x:c r="E95" s="11" t="n">
        <x:v>-0.012456178146180386</x:v>
      </x:c>
      <x:c r="F95" s="11" t="n">
        <x:v>0.35175404046286174</x:v>
      </x:c>
      <x:c r="G95" s="11" t="n">
        <x:v>0.8749212091652153</x:v>
      </x:c>
      <x:c r="H95" s="11" t="n">
        <x:v>0.9484366336358927</x:v>
      </x:c>
    </x:row>
    <x:row r="96" ht="22" customHeight="1">
      <x:c r="A96" s="17" t="str">
        <x:f>"02102908"</x:f>
        <x:v>02102908</x:v>
      </x:c>
      <x:c r="B96" s="11" t="n">
        <x:v>0.4069143998776268</x:v>
      </x:c>
      <x:c r="C96" s="11" t="n">
        <x:v>0.3819891873206597</x:v>
      </x:c>
      <x:c r="D96" s="11" t="n">
        <x:v>0.05826777238948899</x:v>
      </x:c>
      <x:c r="E96" s="11" t="n">
        <x:v>0.024925212556967113</x:v>
      </x:c>
      <x:c r="F96" s="11" t="n">
        <x:v>0.3486466274881378</x:v>
      </x:c>
      <x:c r="G96" s="11" t="n">
        <x:v>0.17250910334957836</x:v>
      </x:c>
      <x:c r="H96" s="11" t="n">
        <x:v>0.359760763965672</x:v>
      </x:c>
    </x:row>
    <x:row r="97" ht="22" customHeight="1">
      <x:c r="A97" s="17" t="str">
        <x:f>"02108000"</x:f>
        <x:v>02108000</x:v>
      </x:c>
      <x:c r="B97" s="11" t="n">
        <x:v>0.9654037234129046</x:v>
      </x:c>
      <x:c r="C97" s="11" t="n">
        <x:v>0.9681105824554612</x:v>
      </x:c>
      <x:c r="D97" s="11" t="n">
        <x:v>0.5503239874891378</x:v>
      </x:c>
      <x:c r="E97" s="11" t="n">
        <x:v>-0.002706859042556631</x:v>
      </x:c>
      <x:c r="F97" s="11" t="n">
        <x:v>0.4150797359237668</x:v>
      </x:c>
      <x:c r="G97" s="11" t="n">
        <x:v>0.9102903561936366</x:v>
      </x:c>
      <x:c r="H97" s="11" t="n">
        <x:v>0.9638933911875408</x:v>
      </x:c>
    </x:row>
    <x:row r="98" ht="22" customHeight="1">
      <x:c r="A98" s="17" t="str">
        <x:f>"02111180"</x:f>
        <x:v>02111180</x:v>
      </x:c>
      <x:c r="B98" s="11" t="n">
        <x:v>0.45031853725698245</x:v>
      </x:c>
      <x:c r="C98" s="11" t="n">
        <x:v>0.4062548228994485</x:v>
      </x:c>
      <x:c r="D98" s="11" t="n">
        <x:v>0.12909804451457108</x:v>
      </x:c>
      <x:c r="E98" s="11" t="n">
        <x:v>0.04406371435753398</x:v>
      </x:c>
      <x:c r="F98" s="11" t="n">
        <x:v>0.3212204927424114</x:v>
      </x:c>
      <x:c r="G98" s="11" t="n">
        <x:v>0.18075205497987412</x:v>
      </x:c>
      <x:c r="H98" s="11" t="n">
        <x:v>0.36291243162009335</x:v>
      </x:c>
    </x:row>
    <x:row r="99" ht="22" customHeight="1">
      <x:c r="A99" s="17" t="str">
        <x:f>"02112120"</x:f>
        <x:v>02112120</x:v>
      </x:c>
      <x:c r="B99" s="11" t="n">
        <x:v>0.37843856249051167</x:v>
      </x:c>
      <x:c r="C99" s="11" t="n">
        <x:v>0.380290710568999</x:v>
      </x:c>
      <x:c r="D99" s="11" t="n">
        <x:v>0.1647050347829564</x:v>
      </x:c>
      <x:c r="E99" s="11" t="n">
        <x:v>-0.0018521480784873257</x:v>
      </x:c>
      <x:c r="F99" s="11" t="n">
        <x:v>0.21373352770755527</x:v>
      </x:c>
      <x:c r="G99" s="11" t="n">
        <x:v>0.10930185337382492</x:v>
      </x:c>
      <x:c r="H99" s="11" t="n">
        <x:v>0.3285275811763825</x:v>
      </x:c>
    </x:row>
    <x:row r="100" ht="22" customHeight="1">
      <x:c r="A100" s="17" t="str">
        <x:f>"02112360"</x:f>
        <x:v>02112360</x:v>
      </x:c>
      <x:c r="B100" s="11" t="n">
        <x:v>0.4105455925279793</x:v>
      </x:c>
      <x:c r="C100" s="11" t="n">
        <x:v>0.3902327803271376</x:v>
      </x:c>
      <x:c r="D100" s="11" t="n">
        <x:v>0.17016118356892962</x:v>
      </x:c>
      <x:c r="E100" s="11" t="n">
        <x:v>0.02031281220084169</x:v>
      </x:c>
      <x:c r="F100" s="11" t="n">
        <x:v>0.24038440895904967</x:v>
      </x:c>
      <x:c r="G100" s="11" t="n">
        <x:v>0.21380731208669335</x:v>
      </x:c>
      <x:c r="H100" s="11" t="n">
        <x:v>0.4016317771332706</x:v>
      </x:c>
    </x:row>
    <x:row r="101" ht="22" customHeight="1">
      <x:c r="A101" s="17" t="str">
        <x:f>"02118500"</x:f>
        <x:v>02118500</x:v>
      </x:c>
      <x:c r="B101" s="11" t="n">
        <x:v>0.2902370949900138</x:v>
      </x:c>
      <x:c r="C101" s="11" t="n">
        <x:v>0.30447366075981763</x:v>
      </x:c>
      <x:c r="D101" s="11" t="n">
        <x:v>0.14414378954622564</x:v>
      </x:c>
      <x:c r="E101" s="11" t="n">
        <x:v>-0.01423656576980381</x:v>
      </x:c>
      <x:c r="F101" s="11" t="n">
        <x:v>0.14609330544378818</x:v>
      </x:c>
      <x:c r="G101" s="11" t="n">
        <x:v>-0.108411285353059</x:v>
      </x:c>
      <x:c r="H101" s="11" t="n">
        <x:v>0.2110665480634829</x:v>
      </x:c>
    </x:row>
    <x:row r="102" ht="22" customHeight="1">
      <x:c r="A102" s="17" t="str">
        <x:f>"02128000"</x:f>
        <x:v>02128000</x:v>
      </x:c>
      <x:c r="B102" s="11" t="n">
        <x:v>0.301873033705089</x:v>
      </x:c>
      <x:c r="C102" s="11" t="n">
        <x:v>0.3477443060650732</x:v>
      </x:c>
      <x:c r="D102" s="11" t="n">
        <x:v>0.254659069326023</x:v>
      </x:c>
      <x:c r="E102" s="11" t="n">
        <x:v>-0.04587127235998423</x:v>
      </x:c>
      <x:c r="F102" s="11" t="n">
        <x:v>0.047213964379066</x:v>
      </x:c>
      <x:c r="G102" s="11" t="n">
        <x:v>-0.07853180471045862</x:v>
      </x:c>
      <x:c r="H102" s="11" t="n">
        <x:v>0.2206669460090538</x:v>
      </x:c>
    </x:row>
    <x:row r="103" ht="22" customHeight="1">
      <x:c r="A103" s="17" t="str">
        <x:f>"02143000"</x:f>
        <x:v>02143000</x:v>
      </x:c>
      <x:c r="B103" s="11" t="n">
        <x:v>0.36212569365985203</x:v>
      </x:c>
      <x:c r="C103" s="11" t="n">
        <x:v>0.3791115067003378</x:v>
      </x:c>
      <x:c r="D103" s="11" t="n">
        <x:v>0.2726372562514856</x:v>
      </x:c>
      <x:c r="E103" s="11" t="n">
        <x:v>-0.016985813040485742</x:v>
      </x:c>
      <x:c r="F103" s="11" t="n">
        <x:v>0.08948843740836643</x:v>
      </x:c>
      <x:c r="G103" s="11" t="n">
        <x:v>-0.06672778438342175</x:v>
      </x:c>
      <x:c r="H103" s="11" t="n">
        <x:v>0.23068299685428906</x:v>
      </x:c>
    </x:row>
    <x:row r="104" ht="22" customHeight="1">
      <x:c r="A104" s="17" t="str">
        <x:f>"02143040"</x:f>
        <x:v>02143040</x:v>
      </x:c>
      <x:c r="B104" s="11" t="n">
        <x:v>0.32078170132461936</x:v>
      </x:c>
      <x:c r="C104" s="11" t="n">
        <x:v>0.3406022617074542</x:v>
      </x:c>
      <x:c r="D104" s="11" t="n">
        <x:v>0.2023399411909843</x:v>
      </x:c>
      <x:c r="E104" s="11" t="n">
        <x:v>-0.019820560382834862</x:v>
      </x:c>
      <x:c r="F104" s="11" t="n">
        <x:v>0.11844176013363505</x:v>
      </x:c>
      <x:c r="G104" s="11" t="n">
        <x:v>-0.032805435961587026</x:v>
      </x:c>
      <x:c r="H104" s="11" t="n">
        <x:v>0.25142072790240877</x:v>
      </x:c>
    </x:row>
    <x:row r="105" ht="22" customHeight="1">
      <x:c r="A105" s="17" t="str">
        <x:f>"02149000"</x:f>
        <x:v>02149000</x:v>
      </x:c>
      <x:c r="B105" s="11" t="n">
        <x:v>0.38168131868358857</x:v>
      </x:c>
      <x:c r="C105" s="11" t="n">
        <x:v>0.4102587234239671</x:v>
      </x:c>
      <x:c r="D105" s="11" t="n">
        <x:v>0.24884287874345445</x:v>
      </x:c>
      <x:c r="E105" s="11" t="n">
        <x:v>-0.02857740474037851</x:v>
      </x:c>
      <x:c r="F105" s="11" t="n">
        <x:v>0.1328384399401341</x:v>
      </x:c>
      <x:c r="G105" s="11" t="n">
        <x:v>0.20626021162653385</x:v>
      </x:c>
      <x:c r="H105" s="11" t="n">
        <x:v>0.38289220766934395</x:v>
      </x:c>
    </x:row>
    <x:row r="106" ht="22" customHeight="1">
      <x:c r="A106" s="17" t="str">
        <x:f>"02152100"</x:f>
        <x:v>02152100</x:v>
      </x:c>
      <x:c r="B106" s="11" t="n">
        <x:v>0.3175228852431399</x:v>
      </x:c>
      <x:c r="C106" s="11" t="n">
        <x:v>0.30194667221018145</x:v>
      </x:c>
      <x:c r="D106" s="11" t="n">
        <x:v>0.18897389428967115</x:v>
      </x:c>
      <x:c r="E106" s="11" t="n">
        <x:v>0.01557621303295842</x:v>
      </x:c>
      <x:c r="F106" s="11" t="n">
        <x:v>0.12854899095346872</x:v>
      </x:c>
      <x:c r="G106" s="11" t="n">
        <x:v>-0.07732379545733314</x:v>
      </x:c>
      <x:c r="H106" s="11" t="n">
        <x:v>0.23170666348271018</x:v>
      </x:c>
    </x:row>
    <x:row r="107" ht="22" customHeight="1">
      <x:c r="A107" s="17" t="str">
        <x:f>"02177000"</x:f>
        <x:v>02177000</x:v>
      </x:c>
      <x:c r="B107" s="11" t="n">
        <x:v>0.7225652306777637</x:v>
      </x:c>
      <x:c r="C107" s="11" t="n">
        <x:v>0.7010807884839774</x:v>
      </x:c>
      <x:c r="D107" s="11" t="n">
        <x:v>0.5024207798242017</x:v>
      </x:c>
      <x:c r="E107" s="11" t="n">
        <x:v>0.021484442193786313</x:v>
      </x:c>
      <x:c r="F107" s="11" t="n">
        <x:v>0.22014445085356193</x:v>
      </x:c>
      <x:c r="G107" s="11" t="n">
        <x:v>0.6570010579569314</x:v>
      </x:c>
      <x:c r="H107" s="11" t="n">
        <x:v>0.6982674183083126</x:v>
      </x:c>
    </x:row>
    <x:row r="108" ht="22" customHeight="1">
      <x:c r="A108" s="17" t="str">
        <x:f>"02202600"</x:f>
        <x:v>02202600</x:v>
      </x:c>
      <x:c r="B108" s="11" t="n">
        <x:v>0.9463609923026391</x:v>
      </x:c>
      <x:c r="C108" s="11" t="n">
        <x:v>0.9509147794858227</x:v>
      </x:c>
      <x:c r="D108" s="11" t="n">
        <x:v>0.2141971357070518</x:v>
      </x:c>
      <x:c r="E108" s="11" t="n">
        <x:v>-0.004553787183183555</x:v>
      </x:c>
      <x:c r="F108" s="11" t="n">
        <x:v>0.7321638565955874</x:v>
      </x:c>
      <x:c r="G108" s="11" t="n">
        <x:v>0.8982148952478979</x:v>
      </x:c>
      <x:c r="H108" s="11" t="n">
        <x:v>0.9303532923003874</x:v>
      </x:c>
    </x:row>
    <x:row r="109" ht="22" customHeight="1">
      <x:c r="A109" s="17" t="str">
        <x:f>"02212600"</x:f>
        <x:v>02212600</x:v>
      </x:c>
      <x:c r="B109" s="11" t="n">
        <x:v>0.3276474047614094</x:v>
      </x:c>
      <x:c r="C109" s="11" t="n">
        <x:v>0.3630887600659981</x:v>
      </x:c>
      <x:c r="D109" s="11" t="n">
        <x:v>0.22485411930198096</x:v>
      </x:c>
      <x:c r="E109" s="11" t="n">
        <x:v>-0.035441355304588695</x:v>
      </x:c>
      <x:c r="F109" s="11" t="n">
        <x:v>0.10279328545942845</x:v>
      </x:c>
      <x:c r="G109" s="11" t="n">
        <x:v>-0.02127098554582285</x:v>
      </x:c>
      <x:c r="H109" s="11" t="n">
        <x:v>0.2559219087859188</x:v>
      </x:c>
    </x:row>
    <x:row r="110" ht="22" customHeight="1">
      <x:c r="A110" s="17" t="str">
        <x:f>"02221525"</x:f>
        <x:v>02221525</x:v>
      </x:c>
      <x:c r="B110" s="11" t="n">
        <x:v>0.5716233711140789</x:v>
      </x:c>
      <x:c r="C110" s="11" t="n">
        <x:v>0.5184763493194978</x:v>
      </x:c>
      <x:c r="D110" s="11" t="n">
        <x:v>0.40035320957955933</x:v>
      </x:c>
      <x:c r="E110" s="11" t="n">
        <x:v>0.053147021794581084</x:v>
      </x:c>
      <x:c r="F110" s="11" t="n">
        <x:v>0.17127016153451957</x:v>
      </x:c>
      <x:c r="G110" s="11" t="n">
        <x:v>0.3780506336976893</x:v>
      </x:c>
      <x:c r="H110" s="11" t="n">
        <x:v>0.5227918246893146</x:v>
      </x:c>
    </x:row>
    <x:row r="111" ht="22" customHeight="1">
      <x:c r="A111" s="17" t="str">
        <x:f>"02231000"</x:f>
        <x:v>02231000</x:v>
      </x:c>
      <x:c r="B111" s="11" t="n">
        <x:v>0.7567492738609879</x:v>
      </x:c>
      <x:c r="C111" s="11" t="n">
        <x:v>0.8268332341699024</x:v>
      </x:c>
      <x:c r="D111" s="11" t="n">
        <x:v>0.4433735769628896</x:v>
      </x:c>
      <x:c r="E111" s="11" t="n">
        <x:v>-0.0700839603089145</x:v>
      </x:c>
      <x:c r="F111" s="11" t="n">
        <x:v>0.3133756968980983</x:v>
      </x:c>
      <x:c r="G111" s="11" t="n">
        <x:v>0.8627499285228699</x:v>
      </x:c>
      <x:c r="H111" s="11" t="n">
        <x:v>0.9323102425264407</x:v>
      </x:c>
    </x:row>
    <x:row r="112" ht="22" customHeight="1">
      <x:c r="A112" s="17" t="str">
        <x:f>"02231342"</x:f>
        <x:v>02231342</x:v>
      </x:c>
      <x:c r="B112" s="11" t="n">
        <x:v>0.8664912345374087</x:v>
      </x:c>
      <x:c r="C112" s="11" t="n">
        <x:v>0.8878020667693897</x:v>
      </x:c>
      <x:c r="D112" s="11" t="n">
        <x:v>-0.274296809112087</x:v>
      </x:c>
      <x:c r="E112" s="11" t="n">
        <x:v>-0.021310832231980936</x:v>
      </x:c>
      <x:c r="F112" s="11" t="n">
        <x:v>1.1407880436494957</x:v>
      </x:c>
      <x:c r="G112" s="11" t="n">
        <x:v>0.8522695868313629</x:v>
      </x:c>
      <x:c r="H112" s="11" t="n">
        <x:v>0.8985014027769151</x:v>
      </x:c>
    </x:row>
    <x:row r="113" ht="22" customHeight="1">
      <x:c r="A113" s="17" t="str">
        <x:f>"02245500"</x:f>
        <x:v>02245500</x:v>
      </x:c>
      <x:c r="B113" s="11" t="n">
        <x:v>0.6749447685684369</x:v>
      </x:c>
      <x:c r="C113" s="11" t="n">
        <x:v>0.685172038172311</x:v>
      </x:c>
      <x:c r="D113" s="11" t="n">
        <x:v>0.4474524410928309</x:v>
      </x:c>
      <x:c r="E113" s="11" t="n">
        <x:v>-0.0102272696038741</x:v>
      </x:c>
      <x:c r="F113" s="11" t="n">
        <x:v>0.227492327475606</x:v>
      </x:c>
      <x:c r="G113" s="11" t="n">
        <x:v>0.5725843760472915</x:v>
      </x:c>
      <x:c r="H113" s="11" t="n">
        <x:v>0.6567951854502211</x:v>
      </x:c>
    </x:row>
    <x:row r="114" ht="22" customHeight="1">
      <x:c r="A114" s="17" t="str">
        <x:f>"02246000"</x:f>
        <x:v>02246000</x:v>
      </x:c>
      <x:c r="B114" s="11" t="n">
        <x:v>0.6634418526396739</x:v>
      </x:c>
      <x:c r="C114" s="11" t="n">
        <x:v>0.624611143896292</x:v>
      </x:c>
      <x:c r="D114" s="11" t="n">
        <x:v>0.6030081130801459</x:v>
      </x:c>
      <x:c r="E114" s="11" t="n">
        <x:v>0.0388307087433819</x:v>
      </x:c>
      <x:c r="F114" s="11" t="n">
        <x:v>0.06043373955952802</x:v>
      </x:c>
      <x:c r="G114" s="11" t="n">
        <x:v>0.6157436672506001</x:v>
      </x:c>
      <x:c r="H114" s="11" t="n">
        <x:v>0.7309212407739063</x:v>
      </x:c>
    </x:row>
    <x:row r="115" ht="22" customHeight="1">
      <x:c r="A115" s="17" t="str">
        <x:f>"02296500"</x:f>
        <x:v>02296500</x:v>
      </x:c>
      <x:c r="B115" s="11" t="n">
        <x:v>0.969646772964638</x:v>
      </x:c>
      <x:c r="C115" s="11" t="n">
        <x:v>0.9736488479383801</x:v>
      </x:c>
      <x:c r="D115" s="11" t="n">
        <x:v>0.272969585831368</x:v>
      </x:c>
      <x:c r="E115" s="11" t="n">
        <x:v>-0.004002074973742165</x:v>
      </x:c>
      <x:c r="F115" s="11" t="n">
        <x:v>0.69667718713327</x:v>
      </x:c>
      <x:c r="G115" s="11" t="n">
        <x:v>0.9651110558311204</x:v>
      </x:c>
      <x:c r="H115" s="11" t="n">
        <x:v>0.9776568768509939</x:v>
      </x:c>
    </x:row>
    <x:row r="116" ht="22" customHeight="1">
      <x:c r="A116" s="17" t="str">
        <x:f>"02297155"</x:f>
        <x:v>02297155</x:v>
      </x:c>
      <x:c r="B116" s="11" t="n">
        <x:v>0.8228766529145366</x:v>
      </x:c>
      <x:c r="C116" s="11" t="n">
        <x:v>0.8484899349463495</x:v>
      </x:c>
      <x:c r="D116" s="11" t="n">
        <x:v>0.43377056420475135</x:v>
      </x:c>
      <x:c r="E116" s="11" t="n">
        <x:v>-0.0256132820318129</x:v>
      </x:c>
      <x:c r="F116" s="11" t="n">
        <x:v>0.38910608870978525</x:v>
      </x:c>
      <x:c r="G116" s="11" t="n">
        <x:v>0.8320319706210297</x:v>
      </x:c>
      <x:c r="H116" s="11" t="n">
        <x:v>0.8326218248024921</x:v>
      </x:c>
    </x:row>
    <x:row r="117" ht="22" customHeight="1">
      <x:c r="A117" s="17" t="str">
        <x:f>"02297310"</x:f>
        <x:v>02297310</x:v>
      </x:c>
      <x:c r="B117" s="11" t="n">
        <x:v>0.9271023055275979</x:v>
      </x:c>
      <x:c r="C117" s="11" t="n">
        <x:v>0.9181969157230607</x:v>
      </x:c>
      <x:c r="D117" s="11" t="n">
        <x:v>0.1015126742183794</x:v>
      </x:c>
      <x:c r="E117" s="11" t="n">
        <x:v>0.008905389804537145</x:v>
      </x:c>
      <x:c r="F117" s="11" t="n">
        <x:v>0.8255896313092185</x:v>
      </x:c>
      <x:c r="G117" s="11" t="n">
        <x:v>0.9227652455000941</x:v>
      </x:c>
      <x:c r="H117" s="11" t="n">
        <x:v>0.9401380285329869</x:v>
      </x:c>
    </x:row>
    <x:row r="118" ht="22" customHeight="1">
      <x:c r="A118" s="17" t="str">
        <x:f>"02298123"</x:f>
        <x:v>02298123</x:v>
      </x:c>
      <x:c r="B118" s="11" t="n">
        <x:v>0.9785132030364794</x:v>
      </x:c>
      <x:c r="C118" s="11" t="n">
        <x:v>0.9779940492577482</x:v>
      </x:c>
      <x:c r="D118" s="11" t="n">
        <x:v>0.7127577244252734</x:v>
      </x:c>
      <x:c r="E118" s="11" t="n">
        <x:v>0.0005191537787311296</x:v>
      </x:c>
      <x:c r="F118" s="11" t="n">
        <x:v>0.26575547861120596</x:v>
      </x:c>
      <x:c r="G118" s="11" t="n">
        <x:v>0.9651148322633839</x:v>
      </x:c>
      <x:c r="H118" s="11" t="n">
        <x:v>0.9779057045994594</x:v>
      </x:c>
    </x:row>
    <x:row r="119" ht="22" customHeight="1">
      <x:c r="A119" s="17" t="str">
        <x:f>"02298608"</x:f>
        <x:v>02298608</x:v>
      </x:c>
      <x:c r="B119" s="11" t="n">
        <x:v>0.9212667637235353</x:v>
      </x:c>
      <x:c r="C119" s="11" t="n">
        <x:v>0.9105539923562052</x:v>
      </x:c>
      <x:c r="D119" s="11" t="n">
        <x:v>0.5401227562543487</x:v>
      </x:c>
      <x:c r="E119" s="11" t="n">
        <x:v>0.010712771367330176</x:v>
      </x:c>
      <x:c r="F119" s="11" t="n">
        <x:v>0.38114400746918664</x:v>
      </x:c>
      <x:c r="G119" s="11" t="n">
        <x:v>0.8613118692967807</x:v>
      </x:c>
      <x:c r="H119" s="11" t="n">
        <x:v>0.9061895409221523</x:v>
      </x:c>
    </x:row>
    <x:row r="120" ht="22" customHeight="1">
      <x:c r="A120" s="17" t="str">
        <x:f>"02299950"</x:f>
        <x:v>02299950</x:v>
      </x:c>
      <x:c r="B120" s="11" t="n">
        <x:v>0.8121635513527966</x:v>
      </x:c>
      <x:c r="C120" s="11" t="n">
        <x:v>0.7844306633749374</x:v>
      </x:c>
      <x:c r="D120" s="11" t="n">
        <x:v>0.6899907416571767</x:v>
      </x:c>
      <x:c r="E120" s="11" t="n">
        <x:v>0.027732887977859222</x:v>
      </x:c>
      <x:c r="F120" s="11" t="n">
        <x:v>0.12217280969561994</x:v>
      </x:c>
      <x:c r="G120" s="11" t="n">
        <x:v>0.6058594364051475</x:v>
      </x:c>
      <x:c r="H120" s="11" t="n">
        <x:v>0.6483400412596805</x:v>
      </x:c>
    </x:row>
    <x:row r="121" ht="22" customHeight="1">
      <x:c r="A121" s="17" t="str">
        <x:f>"02300700"</x:f>
        <x:v>02300700</x:v>
      </x:c>
      <x:c r="B121" s="11" t="n">
        <x:v>0.7561190304850558</x:v>
      </x:c>
      <x:c r="C121" s="11" t="n">
        <x:v>0.7014843431849399</x:v>
      </x:c>
      <x:c r="D121" s="11" t="n">
        <x:v>0.35722178680356553</x:v>
      </x:c>
      <x:c r="E121" s="11" t="n">
        <x:v>0.05463468730011589</x:v>
      </x:c>
      <x:c r="F121" s="11" t="n">
        <x:v>0.39889724368149027</x:v>
      </x:c>
      <x:c r="G121" s="11" t="n">
        <x:v>0.592694486391301</x:v>
      </x:c>
      <x:c r="H121" s="11" t="n">
        <x:v>0.6888710122273177</x:v>
      </x:c>
    </x:row>
    <x:row r="122" ht="22" customHeight="1">
      <x:c r="A122" s="17" t="str">
        <x:f>"02312200"</x:f>
        <x:v>02312200</x:v>
      </x:c>
      <x:c r="B122" s="11" t="n">
        <x:v>0.9709920684272458</x:v>
      </x:c>
      <x:c r="C122" s="11" t="n">
        <x:v>0.9717282407032853</x:v>
      </x:c>
      <x:c r="D122" s="11" t="n">
        <x:v>-2.9185082863308343</x:v>
      </x:c>
      <x:c r="E122" s="11" t="n">
        <x:v>-0.000736172276039504</x:v>
      </x:c>
      <x:c r="F122" s="11" t="n">
        <x:v>3.88950035475808</x:v>
      </x:c>
      <x:c r="G122" s="11" t="n">
        <x:v>0.9640672787875664</x:v>
      </x:c>
      <x:c r="H122" s="11" t="n">
        <x:v>0.9763298824470857</x:v>
      </x:c>
    </x:row>
    <x:row r="123" ht="22" customHeight="1">
      <x:c r="A123" s="17" t="str">
        <x:f>"02314500"</x:f>
        <x:v>02314500</x:v>
      </x:c>
      <x:c r="B123" s="11" t="n">
        <x:v>0.9943644668005958</x:v>
      </x:c>
      <x:c r="C123" s="11" t="n">
        <x:v>0.9953596729054066</x:v>
      </x:c>
      <x:c r="D123" s="11" t="n">
        <x:v>0.3469423299679374</x:v>
      </x:c>
      <x:c r="E123" s="11" t="n">
        <x:v>-0.000995206104810853</x:v>
      </x:c>
      <x:c r="F123" s="11" t="n">
        <x:v>0.6474221368326584</x:v>
      </x:c>
      <x:c r="G123" s="11" t="n">
        <x:v>0.9915232554531542</x:v>
      </x:c>
      <x:c r="H123" s="11" t="n">
        <x:v>0.9960416547710405</x:v>
      </x:c>
    </x:row>
    <x:row r="124" ht="22" customHeight="1">
      <x:c r="A124" s="17" t="str">
        <x:f>"02315500"</x:f>
        <x:v>02315500</x:v>
      </x:c>
      <x:c r="B124" s="11" t="n">
        <x:v>0.9709739878876774</x:v>
      </x:c>
      <x:c r="C124" s="11" t="n">
        <x:v>0.9716351308919059</x:v>
      </x:c>
      <x:c r="D124" s="11" t="n">
        <x:v>0.5998293364560231</x:v>
      </x:c>
      <x:c r="E124" s="11" t="n">
        <x:v>-0.0006611430042284816</x:v>
      </x:c>
      <x:c r="F124" s="11" t="n">
        <x:v>0.3711446514316543</x:v>
      </x:c>
      <x:c r="G124" s="11" t="n">
        <x:v>0.9675286443398208</x:v>
      </x:c>
      <x:c r="H124" s="11" t="n">
        <x:v>0.9807262701865209</x:v>
      </x:c>
    </x:row>
    <x:row r="125" ht="22" customHeight="1">
      <x:c r="A125" s="17" t="str">
        <x:f>"02324400"</x:f>
        <x:v>02324400</x:v>
      </x:c>
      <x:c r="B125" s="11" t="n">
        <x:v>0.9340778169865032</x:v>
      </x:c>
      <x:c r="C125" s="11" t="n">
        <x:v>0.9225018493821558</x:v>
      </x:c>
      <x:c r="D125" s="11" t="n">
        <x:v>0.3960438598657753</x:v>
      </x:c>
      <x:c r="E125" s="11" t="n">
        <x:v>0.011575967604347315</x:v>
      </x:c>
      <x:c r="F125" s="11" t="n">
        <x:v>0.5380339571207279</x:v>
      </x:c>
      <x:c r="G125" s="11" t="n">
        <x:v>0.9193948118156429</x:v>
      </x:c>
      <x:c r="H125" s="11" t="n">
        <x:v>0.929556278838447</x:v>
      </x:c>
    </x:row>
    <x:row r="126" ht="22" customHeight="1">
      <x:c r="A126" s="17" t="str">
        <x:f>"02327100"</x:f>
        <x:v>02327100</x:v>
      </x:c>
      <x:c r="B126" s="11" t="n">
        <x:v>0.7190761181382206</x:v>
      </x:c>
      <x:c r="C126" s="11" t="n">
        <x:v>0.732750527290475</x:v>
      </x:c>
      <x:c r="D126" s="11" t="n">
        <x:v>0.4737781562005755</x:v>
      </x:c>
      <x:c r="E126" s="11" t="n">
        <x:v>-0.013674409152254374</x:v>
      </x:c>
      <x:c r="F126" s="11" t="n">
        <x:v>0.24529796193764508</x:v>
      </x:c>
      <x:c r="G126" s="11" t="n">
        <x:v>0.5698631998646038</x:v>
      </x:c>
      <x:c r="H126" s="11" t="n">
        <x:v>0.3966598497687337</x:v>
      </x:c>
    </x:row>
    <x:row r="127" ht="22" customHeight="1">
      <x:c r="A127" s="17" t="str">
        <x:f>"02349900"</x:f>
        <x:v>02349900</x:v>
      </x:c>
      <x:c r="B127" s="11" t="n">
        <x:v>0.6294259099536754</x:v>
      </x:c>
      <x:c r="C127" s="11" t="n">
        <x:v>0.627742695356271</x:v>
      </x:c>
      <x:c r="D127" s="11" t="n">
        <x:v>0.3643539699912167</x:v>
      </x:c>
      <x:c r="E127" s="11" t="n">
        <x:v>0.0016832145974043922</x:v>
      </x:c>
      <x:c r="F127" s="11" t="n">
        <x:v>0.2650719399624587</x:v>
      </x:c>
      <x:c r="G127" s="11" t="n">
        <x:v>0.47077838733458544</x:v>
      </x:c>
      <x:c r="H127" s="11" t="n">
        <x:v>0.5643743688510073</x:v>
      </x:c>
    </x:row>
    <x:row r="128" ht="22" customHeight="1">
      <x:c r="A128" s="17" t="str">
        <x:f>"02361000"</x:f>
        <x:v>02361000</x:v>
      </x:c>
      <x:c r="B128" s="11" t="n">
        <x:v>0.8522776466461562</x:v>
      </x:c>
      <x:c r="C128" s="11" t="n">
        <x:v>0.8536372657449042</x:v>
      </x:c>
      <x:c r="D128" s="11" t="n">
        <x:v>0.5702731248831147</x:v>
      </x:c>
      <x:c r="E128" s="11" t="n">
        <x:v>-0.0013596190987479329</x:v>
      </x:c>
      <x:c r="F128" s="11" t="n">
        <x:v>0.2820045217630416</x:v>
      </x:c>
      <x:c r="G128" s="11" t="n">
        <x:v>0.7826151990064598</x:v>
      </x:c>
      <x:c r="H128" s="11" t="n">
        <x:v>0.8323972373179914</x:v>
      </x:c>
    </x:row>
    <x:row r="129" ht="22" customHeight="1">
      <x:c r="A129" s="17" t="str">
        <x:f>"02369800"</x:f>
        <x:v>02369800</x:v>
      </x:c>
      <x:c r="B129" s="11" t="n">
        <x:v>0.7445339114474867</x:v>
      </x:c>
      <x:c r="C129" s="11" t="n">
        <x:v>0.7433815820089911</x:v>
      </x:c>
      <x:c r="D129" s="11" t="n">
        <x:v>0.5921962905477487</x:v>
      </x:c>
      <x:c r="E129" s="11" t="n">
        <x:v>0.0011523294384956362</x:v>
      </x:c>
      <x:c r="F129" s="11" t="n">
        <x:v>0.152337620899738</x:v>
      </x:c>
      <x:c r="G129" s="11" t="n">
        <x:v>0.5651296774634559</x:v>
      </x:c>
      <x:c r="H129" s="11" t="n">
        <x:v>0.6354070558341337</x:v>
      </x:c>
    </x:row>
    <x:row r="130" ht="22" customHeight="1">
      <x:c r="A130" s="17" t="str">
        <x:f>"02371500"</x:f>
        <x:v>02371500</x:v>
      </x:c>
      <x:c r="B130" s="11" t="n">
        <x:v>0.9353649314476558</x:v>
      </x:c>
      <x:c r="C130" s="11" t="n">
        <x:v>0.9426333495211648</x:v>
      </x:c>
      <x:c r="D130" s="11" t="n">
        <x:v>0.7549629145033949</x:v>
      </x:c>
      <x:c r="E130" s="11" t="n">
        <x:v>-0.007268418073509086</x:v>
      </x:c>
      <x:c r="F130" s="11" t="n">
        <x:v>0.18040201694426083</x:v>
      </x:c>
      <x:c r="G130" s="11" t="n">
        <x:v>0.9044350611154695</x:v>
      </x:c>
      <x:c r="H130" s="11" t="n">
        <x:v>0.9329692226561056</x:v>
      </x:c>
    </x:row>
    <x:row r="131" ht="22" customHeight="1">
      <x:c r="A131" s="17" t="str">
        <x:f>"02372250"</x:f>
        <x:v>02372250</x:v>
      </x:c>
      <x:c r="B131" s="11" t="n">
        <x:v>0.9240581316792659</x:v>
      </x:c>
      <x:c r="C131" s="11" t="n">
        <x:v>0.9276016978721131</x:v>
      </x:c>
      <x:c r="D131" s="11" t="n">
        <x:v>0.6788357517366405</x:v>
      </x:c>
      <x:c r="E131" s="11" t="n">
        <x:v>-0.003543566192847236</x:v>
      </x:c>
      <x:c r="F131" s="11" t="n">
        <x:v>0.2452223799426254</x:v>
      </x:c>
      <x:c r="G131" s="11" t="n">
        <x:v>0.8422352765810197</x:v>
      </x:c>
      <x:c r="H131" s="11" t="n">
        <x:v>0.890403418053475</x:v>
      </x:c>
    </x:row>
    <x:row r="132" ht="22" customHeight="1">
      <x:c r="A132" s="17" t="str">
        <x:f>"02374500"</x:f>
        <x:v>02374500</x:v>
      </x:c>
      <x:c r="B132" s="11" t="n">
        <x:v>0.7220778843679068</x:v>
      </x:c>
      <x:c r="C132" s="11" t="n">
        <x:v>0.6954405556631942</x:v>
      </x:c>
      <x:c r="D132" s="11" t="n">
        <x:v>0.576073535544734</x:v>
      </x:c>
      <x:c r="E132" s="11" t="n">
        <x:v>0.026637328704712582</x:v>
      </x:c>
      <x:c r="F132" s="11" t="n">
        <x:v>0.1460043488231728</x:v>
      </x:c>
      <x:c r="G132" s="11" t="n">
        <x:v>0.6141695938026701</x:v>
      </x:c>
      <x:c r="H132" s="11" t="n">
        <x:v>0.644800593494012</x:v>
      </x:c>
    </x:row>
    <x:row r="133" ht="22" customHeight="1">
      <x:c r="A133" s="17" t="str">
        <x:f>"02381600"</x:f>
        <x:v>02381600</x:v>
      </x:c>
      <x:c r="B133" s="11" t="n">
        <x:v>0.18848412626452316</x:v>
      </x:c>
      <x:c r="C133" s="11" t="n">
        <x:v>0.19411280071134795</x:v>
      </x:c>
      <x:c r="D133" s="11" t="n">
        <x:v>0.08402448119419048</x:v>
      </x:c>
      <x:c r="E133" s="11" t="n">
        <x:v>-0.0056286744468247996</x:v>
      </x:c>
      <x:c r="F133" s="11" t="n">
        <x:v>0.10445964507033267</x:v>
      </x:c>
      <x:c r="G133" s="11" t="n">
        <x:v>-0.29827600515463093</x:v>
      </x:c>
      <x:c r="H133" s="11" t="n">
        <x:v>0.16138094627291144</x:v>
      </x:c>
    </x:row>
    <x:row r="134" ht="22" customHeight="1">
      <x:c r="A134" s="17" t="str">
        <x:f>"02422500"</x:f>
        <x:v>02422500</x:v>
      </x:c>
      <x:c r="B134" s="11" t="n">
        <x:v>0.44451831063013036</x:v>
      </x:c>
      <x:c r="C134" s="11" t="n">
        <x:v>0.4251261487556294</x:v>
      </x:c>
      <x:c r="D134" s="11" t="n">
        <x:v>0.3532057338531909</x:v>
      </x:c>
      <x:c r="E134" s="11" t="n">
        <x:v>0.01939216187450099</x:v>
      </x:c>
      <x:c r="F134" s="11" t="n">
        <x:v>0.09131257677693949</x:v>
      </x:c>
      <x:c r="G134" s="11" t="n">
        <x:v>0.24820182327243878</x:v>
      </x:c>
      <x:c r="H134" s="11" t="n">
        <x:v>0.4267269885922903</x:v>
      </x:c>
    </x:row>
    <x:row r="135" ht="22" customHeight="1">
      <x:c r="A135" s="17" t="str">
        <x:f>"02430085"</x:f>
        <x:v>02430085</x:v>
      </x:c>
      <x:c r="B135" s="11" t="n">
        <x:v>0.21643998420543797</x:v>
      </x:c>
      <x:c r="C135" s="11" t="n">
        <x:v>0.18698887525624752</x:v>
      </x:c>
      <x:c r="D135" s="11" t="n">
        <x:v>0.08296332978748244</x:v>
      </x:c>
      <x:c r="E135" s="11" t="n">
        <x:v>0.029451108949190452</x:v>
      </x:c>
      <x:c r="F135" s="11" t="n">
        <x:v>0.13347665441795553</x:v>
      </x:c>
      <x:c r="G135" s="11" t="n">
        <x:v>-0.14635123867570798</x:v>
      </x:c>
      <x:c r="H135" s="11" t="n">
        <x:v>0.18214877315486766</x:v>
      </x:c>
    </x:row>
    <x:row r="136" ht="22" customHeight="1">
      <x:c r="A136" s="17" t="str">
        <x:f>"02450250"</x:f>
        <x:v>02450250</x:v>
      </x:c>
      <x:c r="B136" s="11" t="n">
        <x:v>0.39731276203212684</x:v>
      </x:c>
      <x:c r="C136" s="11" t="n">
        <x:v>0.3707512410535505</x:v>
      </x:c>
      <x:c r="D136" s="11" t="n">
        <x:v>0.3164008523325481</x:v>
      </x:c>
      <x:c r="E136" s="11" t="n">
        <x:v>0.026561520978576336</x:v>
      </x:c>
      <x:c r="F136" s="11" t="n">
        <x:v>0.08091190969957873</x:v>
      </x:c>
      <x:c r="G136" s="11" t="n">
        <x:v>0.050639693721236</x:v>
      </x:c>
      <x:c r="H136" s="11" t="n">
        <x:v>0.28382618723312436</x:v>
      </x:c>
    </x:row>
    <x:row r="137" ht="22" customHeight="1">
      <x:c r="A137" s="17" t="str">
        <x:f>"02464000"</x:f>
        <x:v>02464000</x:v>
      </x:c>
      <x:c r="B137" s="11" t="n">
        <x:v>0.4265449558086416</x:v>
      </x:c>
      <x:c r="C137" s="11" t="n">
        <x:v>0.3795469421032239</x:v>
      </x:c>
      <x:c r="D137" s="11" t="n">
        <x:v>0.36556767925416545</x:v>
      </x:c>
      <x:c r="E137" s="11" t="n">
        <x:v>0.046998013705417674</x:v>
      </x:c>
      <x:c r="F137" s="11" t="n">
        <x:v>0.060977276554476156</x:v>
      </x:c>
      <x:c r="G137" s="11" t="n">
        <x:v>0.24283229203178436</x:v>
      </x:c>
      <x:c r="H137" s="11" t="n">
        <x:v>0.4148625885568408</x:v>
      </x:c>
    </x:row>
    <x:row r="138" ht="22" customHeight="1">
      <x:c r="A138" s="17" t="str">
        <x:f>"02465493"</x:f>
        <x:v>02465493</x:v>
      </x:c>
      <x:c r="B138" s="11" t="n">
        <x:v>0.6662238839828776</x:v>
      </x:c>
      <x:c r="C138" s="11" t="n">
        <x:v>0.6948009720291264</x:v>
      </x:c>
      <x:c r="D138" s="11" t="n">
        <x:v>0.535417815683604</x:v>
      </x:c>
      <x:c r="E138" s="11" t="n">
        <x:v>-0.02857708804624881</x:v>
      </x:c>
      <x:c r="F138" s="11" t="n">
        <x:v>0.13080606829927355</x:v>
      </x:c>
      <x:c r="G138" s="11" t="n">
        <x:v>0.46931825726889564</x:v>
      </x:c>
      <x:c r="H138" s="11" t="n">
        <x:v>0.5638302395812572</x:v>
      </x:c>
    </x:row>
    <x:row r="139" ht="22" customHeight="1">
      <x:c r="A139" s="17" t="str">
        <x:f>"02469800"</x:f>
        <x:v>02469800</x:v>
      </x:c>
      <x:c r="B139" s="11" t="n">
        <x:v>0.5698476855304554</x:v>
      </x:c>
      <x:c r="C139" s="11" t="n">
        <x:v>0.6141719483909891</x:v>
      </x:c>
      <x:c r="D139" s="11" t="n">
        <x:v>0.52860636418808</x:v>
      </x:c>
      <x:c r="E139" s="11" t="n">
        <x:v>-0.0443242628605337</x:v>
      </x:c>
      <x:c r="F139" s="11" t="n">
        <x:v>0.04124132134237535</x:v>
      </x:c>
      <x:c r="G139" s="11" t="n">
        <x:v>0.43160243046467395</x:v>
      </x:c>
      <x:c r="H139" s="11" t="n">
        <x:v>0.5671528949470458</x:v>
      </x:c>
    </x:row>
    <x:row r="140" ht="22" customHeight="1">
      <x:c r="A140" s="17" t="str">
        <x:f>"02472000"</x:f>
        <x:v>02472000</x:v>
      </x:c>
      <x:c r="B140" s="11" t="n">
        <x:v>0.8706402868811107</x:v>
      </x:c>
      <x:c r="C140" s="11" t="n">
        <x:v>0.8815852221766486</x:v>
      </x:c>
      <x:c r="D140" s="11" t="n">
        <x:v>0.7716273556780392</x:v>
      </x:c>
      <x:c r="E140" s="11" t="n">
        <x:v>-0.010944935295537861</x:v>
      </x:c>
      <x:c r="F140" s="11" t="n">
        <x:v>0.09901293120307153</x:v>
      </x:c>
      <x:c r="G140" s="11" t="n">
        <x:v>0.7656544722702702</x:v>
      </x:c>
      <x:c r="H140" s="11" t="n">
        <x:v>0.8245492200172178</x:v>
      </x:c>
    </x:row>
    <x:row r="141" ht="22" customHeight="1">
      <x:c r="A141" s="17" t="str">
        <x:f>"02472500"</x:f>
        <x:v>02472500</x:v>
      </x:c>
      <x:c r="B141" s="11" t="n">
        <x:v>0.6684490794389943</x:v>
      </x:c>
      <x:c r="C141" s="11" t="n">
        <x:v>0.6838667844967191</x:v>
      </x:c>
      <x:c r="D141" s="11" t="n">
        <x:v>0.5783807334129947</x:v>
      </x:c>
      <x:c r="E141" s="11" t="n">
        <x:v>-0.015417705057724773</x:v>
      </x:c>
      <x:c r="F141" s="11" t="n">
        <x:v>0.09006834602599967</x:v>
      </x:c>
      <x:c r="G141" s="11" t="n">
        <x:v>0.5771524625892475</x:v>
      </x:c>
      <x:c r="H141" s="11" t="n">
        <x:v>0.6792519599907949</x:v>
      </x:c>
    </x:row>
    <x:row r="142" ht="22" customHeight="1">
      <x:c r="A142" s="17" t="str">
        <x:f>"02479155"</x:f>
        <x:v>02479155</x:v>
      </x:c>
      <x:c r="B142" s="11" t="n">
        <x:v>0.41000035662792933</x:v>
      </x:c>
      <x:c r="C142" s="11" t="n">
        <x:v>0.43322142689444554</x:v>
      </x:c>
      <x:c r="D142" s="11" t="n">
        <x:v>0.31561110109643054</x:v>
      </x:c>
      <x:c r="E142" s="11" t="n">
        <x:v>-0.02322107026651621</x:v>
      </x:c>
      <x:c r="F142" s="11" t="n">
        <x:v>0.0943892555314988</x:v>
      </x:c>
      <x:c r="G142" s="11" t="n">
        <x:v>-0.05908483143384036</x:v>
      </x:c>
      <x:c r="H142" s="11" t="n">
        <x:v>0.23097881768609985</x:v>
      </x:c>
    </x:row>
    <x:row r="143" ht="22" customHeight="1">
      <x:c r="A143" s="17" t="str">
        <x:f>"02479300"</x:f>
        <x:v>02479300</x:v>
      </x:c>
      <x:c r="B143" s="11" t="n">
        <x:v>0.9335384537348796</x:v>
      </x:c>
      <x:c r="C143" s="11" t="n">
        <x:v>0.9356227831027369</x:v>
      </x:c>
      <x:c r="D143" s="11" t="n">
        <x:v>0.7806906887369434</x:v>
      </x:c>
      <x:c r="E143" s="11" t="n">
        <x:v>-0.002084329367857296</x:v>
      </x:c>
      <x:c r="F143" s="11" t="n">
        <x:v>0.1528477649979363</x:v>
      </x:c>
      <x:c r="G143" s="11" t="n">
        <x:v>0.822235516531949</x:v>
      </x:c>
      <x:c r="H143" s="11" t="n">
        <x:v>0.9066429377378592</x:v>
      </x:c>
    </x:row>
    <x:row r="144" ht="22" customHeight="1">
      <x:c r="A144" s="17" t="str">
        <x:f>"02479560"</x:f>
        <x:v>02479560</x:v>
      </x:c>
      <x:c r="B144" s="11" t="n">
        <x:v>0.9094125296813496</x:v>
      </x:c>
      <x:c r="C144" s="11" t="n">
        <x:v>0.9231229637060365</x:v>
      </x:c>
      <x:c r="D144" s="11" t="n">
        <x:v>0.7326469105159379</x:v>
      </x:c>
      <x:c r="E144" s="11" t="n">
        <x:v>-0.013710434024686968</x:v>
      </x:c>
      <x:c r="F144" s="11" t="n">
        <x:v>0.17676561916541167</x:v>
      </x:c>
      <x:c r="G144" s="11" t="n">
        <x:v>0.8217096445892432</x:v>
      </x:c>
      <x:c r="H144" s="11" t="n">
        <x:v>0.878025243440199</x:v>
      </x:c>
    </x:row>
    <x:row r="145" ht="22" customHeight="1">
      <x:c r="A145" s="17" t="str">
        <x:f>"02481000"</x:f>
        <x:v>02481000</x:v>
      </x:c>
      <x:c r="B145" s="11" t="n">
        <x:v>0.6100806782570924</x:v>
      </x:c>
      <x:c r="C145" s="11" t="n">
        <x:v>0.6457414819051862</x:v>
      </x:c>
      <x:c r="D145" s="11" t="n">
        <x:v>0.5862137151926559</x:v>
      </x:c>
      <x:c r="E145" s="11" t="n">
        <x:v>-0.035660803648093764</x:v>
      </x:c>
      <x:c r="F145" s="11" t="n">
        <x:v>0.023866963064436586</x:v>
      </x:c>
      <x:c r="G145" s="11" t="n">
        <x:v>0.4420672915540852</x:v>
      </x:c>
      <x:c r="H145" s="11" t="n">
        <x:v>0.56113137416153</x:v>
      </x:c>
    </x:row>
    <x:row r="146" ht="22" customHeight="1">
      <x:c r="A146" s="17" t="str">
        <x:f>"02481510"</x:f>
        <x:v>02481510</x:v>
      </x:c>
      <x:c r="B146" s="11" t="n">
        <x:v>0.7046590705063212</x:v>
      </x:c>
      <x:c r="C146" s="11" t="n">
        <x:v>0.7137141855146817</x:v>
      </x:c>
      <x:c r="D146" s="11" t="n">
        <x:v>0.5095076306104561</x:v>
      </x:c>
      <x:c r="E146" s="11" t="n">
        <x:v>-0.009055115008360537</x:v>
      </x:c>
      <x:c r="F146" s="11" t="n">
        <x:v>0.19515143989586503</x:v>
      </x:c>
      <x:c r="G146" s="11" t="n">
        <x:v>0.6311795660175068</x:v>
      </x:c>
      <x:c r="H146" s="11" t="n">
        <x:v>0.7238653520974103</x:v>
      </x:c>
    </x:row>
    <x:row r="147" ht="22" customHeight="1">
      <x:c r="A147" s="17" t="str">
        <x:f>"03010655"</x:f>
        <x:v>03010655</x:v>
      </x:c>
      <x:c r="B147" s="11" t="n">
        <x:v>0.752576888196566</x:v>
      </x:c>
      <x:c r="C147" s="11" t="n">
        <x:v>0.7610823260448002</x:v>
      </x:c>
      <x:c r="D147" s="11" t="n">
        <x:v>0.5810718215644333</x:v>
      </x:c>
      <x:c r="E147" s="11" t="n">
        <x:v>-0.00850543784823421</x:v>
      </x:c>
      <x:c r="F147" s="11" t="n">
        <x:v>0.17150506663213272</x:v>
      </x:c>
      <x:c r="G147" s="11" t="n">
        <x:v>0.6849606277728515</x:v>
      </x:c>
      <x:c r="H147" s="11" t="n">
        <x:v>0.7486401286862918</x:v>
      </x:c>
    </x:row>
    <x:row r="148" ht="22" customHeight="1">
      <x:c r="A148" s="17" t="str">
        <x:f>"03011800"</x:f>
        <x:v>03011800</x:v>
      </x:c>
      <x:c r="B148" s="11" t="n">
        <x:v>0.5332414322160011</x:v>
      </x:c>
      <x:c r="C148" s="11" t="n">
        <x:v>0.5379110869820077</x:v>
      </x:c>
      <x:c r="D148" s="11" t="n">
        <x:v>0.39941094204314853</x:v>
      </x:c>
      <x:c r="E148" s="11" t="n">
        <x:v>-0.00466965476600667</x:v>
      </x:c>
      <x:c r="F148" s="11" t="n">
        <x:v>0.13383049017285253</x:v>
      </x:c>
      <x:c r="G148" s="11" t="n">
        <x:v>0.3345946214333265</x:v>
      </x:c>
      <x:c r="H148" s="11" t="n">
        <x:v>0.4481463157831874</x:v>
      </x:c>
    </x:row>
    <x:row r="149" ht="22" customHeight="1">
      <x:c r="A149" s="17" t="str">
        <x:f>"03015500"</x:f>
        <x:v>03015500</x:v>
      </x:c>
      <x:c r="B149" s="11" t="n">
        <x:v>0.7177292050627551</x:v>
      </x:c>
      <x:c r="C149" s="11" t="n">
        <x:v>0.7447990082000315</x:v>
      </x:c>
      <x:c r="D149" s="11" t="n">
        <x:v>0.6019883101328524</x:v>
      </x:c>
      <x:c r="E149" s="11" t="n">
        <x:v>-0.02706980313727647</x:v>
      </x:c>
      <x:c r="F149" s="11" t="n">
        <x:v>0.1157408949299027</x:v>
      </x:c>
      <x:c r="G149" s="11" t="n">
        <x:v>0.6067081114340616</x:v>
      </x:c>
      <x:c r="H149" s="11" t="n">
        <x:v>0.6888855513424421</x:v>
      </x:c>
    </x:row>
    <x:row r="150" ht="22" customHeight="1">
      <x:c r="A150" s="17" t="str">
        <x:f>"03021350"</x:f>
        <x:v>03021350</x:v>
      </x:c>
      <x:c r="B150" s="11" t="n">
        <x:v>0.5199602149727836</x:v>
      </x:c>
      <x:c r="C150" s="11" t="n">
        <x:v>0.5439419005469993</x:v>
      </x:c>
      <x:c r="D150" s="11" t="n">
        <x:v>0.41580145682484004</x:v>
      </x:c>
      <x:c r="E150" s="11" t="n">
        <x:v>-0.02398168557421576</x:v>
      </x:c>
      <x:c r="F150" s="11" t="n">
        <x:v>0.10415875814794351</x:v>
      </x:c>
      <x:c r="G150" s="11" t="n">
        <x:v>0.25968402522863354</x:v>
      </x:c>
      <x:c r="H150" s="11" t="n">
        <x:v>0.42288410270371346</x:v>
      </x:c>
    </x:row>
    <x:row r="151" ht="22" customHeight="1">
      <x:c r="A151" s="17" t="str">
        <x:f>"03026500"</x:f>
        <x:v>03026500</x:v>
      </x:c>
      <x:c r="B151" s="11" t="n">
        <x:v>0.454247034175121</x:v>
      </x:c>
      <x:c r="C151" s="11" t="n">
        <x:v>0.5201738450203983</x:v>
      </x:c>
      <x:c r="D151" s="11" t="n">
        <x:v>0.34379365136842677</x:v>
      </x:c>
      <x:c r="E151" s="11" t="n">
        <x:v>-0.0659268108452773</x:v>
      </x:c>
      <x:c r="F151" s="11" t="n">
        <x:v>0.11045338280669426</x:v>
      </x:c>
      <x:c r="G151" s="11" t="n">
        <x:v>0.2422367674420025</x:v>
      </x:c>
      <x:c r="H151" s="11" t="n">
        <x:v>0.4009930943591511</x:v>
      </x:c>
    </x:row>
    <x:row r="152" ht="22" customHeight="1">
      <x:c r="A152" s="17" t="str">
        <x:f>"03028000"</x:f>
        <x:v>03028000</x:v>
      </x:c>
      <x:c r="B152" s="11" t="n">
        <x:v>0.5768139951289821</x:v>
      </x:c>
      <x:c r="C152" s="11" t="n">
        <x:v>0.5853048668986186</x:v>
      </x:c>
      <x:c r="D152" s="11" t="n">
        <x:v>0.4051455025198596</x:v>
      </x:c>
      <x:c r="E152" s="11" t="n">
        <x:v>-0.008490871769636477</x:v>
      </x:c>
      <x:c r="F152" s="11" t="n">
        <x:v>0.17166849260912254</x:v>
      </x:c>
      <x:c r="G152" s="11" t="n">
        <x:v>0.3922642776845662</x:v>
      </x:c>
      <x:c r="H152" s="11" t="n">
        <x:v>0.486560115348887</x:v>
      </x:c>
    </x:row>
    <x:row r="153" ht="22" customHeight="1">
      <x:c r="A153" s="17" t="str">
        <x:f>"03049000"</x:f>
        <x:v>03049000</x:v>
      </x:c>
      <x:c r="B153" s="11" t="n">
        <x:v>0.5374471552149502</x:v>
      </x:c>
      <x:c r="C153" s="11" t="n">
        <x:v>0.5177033223970355</x:v>
      </x:c>
      <x:c r="D153" s="11" t="n">
        <x:v>0.31520992123833336</x:v>
      </x:c>
      <x:c r="E153" s="11" t="n">
        <x:v>0.019743832817914697</x:v>
      </x:c>
      <x:c r="F153" s="11" t="n">
        <x:v>0.22223723397661688</x:v>
      </x:c>
      <x:c r="G153" s="11" t="n">
        <x:v>0.3673058019071279</x:v>
      </x:c>
      <x:c r="H153" s="11" t="n">
        <x:v>0.47451525825660057</x:v>
      </x:c>
    </x:row>
    <x:row r="154" ht="22" customHeight="1">
      <x:c r="A154" s="17" t="str">
        <x:f>"03049800"</x:f>
        <x:v>03049800</x:v>
      </x:c>
      <x:c r="B154" s="11" t="n">
        <x:v>0.43274421561459475</x:v>
      </x:c>
      <x:c r="C154" s="11" t="n">
        <x:v>0.442475511788201</x:v>
      </x:c>
      <x:c r="D154" s="11" t="n">
        <x:v>0.21918273338130856</x:v>
      </x:c>
      <x:c r="E154" s="11" t="n">
        <x:v>-0.009731296173606241</x:v>
      </x:c>
      <x:c r="F154" s="11" t="n">
        <x:v>0.2135614822332862</x:v>
      </x:c>
      <x:c r="G154" s="11" t="n">
        <x:v>0.26157735779913627</x:v>
      </x:c>
      <x:c r="H154" s="11" t="n">
        <x:v>0.38809190134833993</x:v>
      </x:c>
    </x:row>
    <x:row r="155" ht="22" customHeight="1">
      <x:c r="A155" s="17" t="str">
        <x:f>"03076600"</x:f>
        <x:v>03076600</x:v>
      </x:c>
      <x:c r="B155" s="11" t="n">
        <x:v>0.7035447186330162</x:v>
      </x:c>
      <x:c r="C155" s="11" t="n">
        <x:v>0.7255286985291303</x:v>
      </x:c>
      <x:c r="D155" s="11" t="n">
        <x:v>0.4059170536348691</x:v>
      </x:c>
      <x:c r="E155" s="11" t="n">
        <x:v>-0.021983979896114114</x:v>
      </x:c>
      <x:c r="F155" s="11" t="n">
        <x:v>0.2976276649981471</x:v>
      </x:c>
      <x:c r="G155" s="11" t="n">
        <x:v>0.6165400213543466</x:v>
      </x:c>
      <x:c r="H155" s="11" t="n">
        <x:v>0.6668106622565516</x:v>
      </x:c>
    </x:row>
    <x:row r="156" ht="22" customHeight="1">
      <x:c r="A156" s="17" t="str">
        <x:f>"03078000"</x:f>
        <x:v>03078000</x:v>
      </x:c>
      <x:c r="B156" s="11" t="n">
        <x:v>0.625286191613013</x:v>
      </x:c>
      <x:c r="C156" s="11" t="n">
        <x:v>0.6413739860856302</x:v>
      </x:c>
      <x:c r="D156" s="11" t="n">
        <x:v>0.4010222136922639</x:v>
      </x:c>
      <x:c r="E156" s="11" t="n">
        <x:v>-0.016087794472617212</x:v>
      </x:c>
      <x:c r="F156" s="11" t="n">
        <x:v>0.22426397792074915</x:v>
      </x:c>
      <x:c r="G156" s="11" t="n">
        <x:v>0.4970804242693404</x:v>
      </x:c>
      <x:c r="H156" s="11" t="n">
        <x:v>0.5728292617470201</x:v>
      </x:c>
    </x:row>
    <x:row r="157" ht="22" customHeight="1">
      <x:c r="A157" s="17" t="str">
        <x:f>"03140000"</x:f>
        <x:v>03140000</x:v>
      </x:c>
      <x:c r="B157" s="11" t="n">
        <x:v>0.3421712727784668</x:v>
      </x:c>
      <x:c r="C157" s="11" t="n">
        <x:v>0.35020194218473977</x:v>
      </x:c>
      <x:c r="D157" s="11" t="n">
        <x:v>0.27281819662676565</x:v>
      </x:c>
      <x:c r="E157" s="11" t="n">
        <x:v>-0.00803066940627295</x:v>
      </x:c>
      <x:c r="F157" s="11" t="n">
        <x:v>0.06935307615170117</x:v>
      </x:c>
      <x:c r="G157" s="11" t="n">
        <x:v>0.03723325630598884</x:v>
      </x:c>
      <x:c r="H157" s="11" t="n">
        <x:v>0.28543462584167134</x:v>
      </x:c>
    </x:row>
    <x:row r="158" ht="22" customHeight="1">
      <x:c r="A158" s="17" t="str">
        <x:f>"03144000"</x:f>
        <x:v>03144000</x:v>
      </x:c>
      <x:c r="B158" s="11" t="n">
        <x:v>0.5858853663309649</x:v>
      </x:c>
      <x:c r="C158" s="11" t="n">
        <x:v>0.5165069557249964</x:v>
      </x:c>
      <x:c r="D158" s="11" t="n">
        <x:v>0.4612694302505249</x:v>
      </x:c>
      <x:c r="E158" s="11" t="n">
        <x:v>0.0693784106059685</x:v>
      </x:c>
      <x:c r="F158" s="11" t="n">
        <x:v>0.12461593608043997</x:v>
      </x:c>
      <x:c r="G158" s="11" t="n">
        <x:v>0.3259517357255858</x:v>
      </x:c>
      <x:c r="H158" s="11" t="n">
        <x:v>0.4606365952561099</x:v>
      </x:c>
    </x:row>
    <x:row r="159" ht="22" customHeight="1">
      <x:c r="A159" s="17" t="str">
        <x:f>"03159540"</x:f>
        <x:v>03159540</x:v>
      </x:c>
      <x:c r="B159" s="11" t="n">
        <x:v>0.4232406231646506</x:v>
      </x:c>
      <x:c r="C159" s="11" t="n">
        <x:v>0.4800065233275109</x:v>
      </x:c>
      <x:c r="D159" s="11" t="n">
        <x:v>0.3325745120256097</x:v>
      </x:c>
      <x:c r="E159" s="11" t="n">
        <x:v>-0.05676590016286032</x:v>
      </x:c>
      <x:c r="F159" s="11" t="n">
        <x:v>0.09066611113904088</x:v>
      </x:c>
      <x:c r="G159" s="11" t="n">
        <x:v>0.1710419882597033</x:v>
      </x:c>
      <x:c r="H159" s="11" t="n">
        <x:v>0.3796264624822151</x:v>
      </x:c>
    </x:row>
    <x:row r="160" ht="22" customHeight="1">
      <x:c r="A160" s="17" t="str">
        <x:f>"03161000"</x:f>
        <x:v>03161000</x:v>
      </x:c>
      <x:c r="B160" s="11" t="n">
        <x:v>0.5168826668035311</x:v>
      </x:c>
      <x:c r="C160" s="11" t="n">
        <x:v>0.535441924473073</x:v>
      </x:c>
      <x:c r="D160" s="11" t="n">
        <x:v>0.2931626161623262</x:v>
      </x:c>
      <x:c r="E160" s="11" t="n">
        <x:v>-0.018559257669541918</x:v>
      </x:c>
      <x:c r="F160" s="11" t="n">
        <x:v>0.22372005064120493</x:v>
      </x:c>
      <x:c r="G160" s="11" t="n">
        <x:v>0.34784229000880773</x:v>
      </x:c>
      <x:c r="H160" s="11" t="n">
        <x:v>0.47954380194634616</x:v>
      </x:c>
    </x:row>
    <x:row r="161" ht="22" customHeight="1">
      <x:c r="A161" s="17" t="str">
        <x:f>"03164000"</x:f>
        <x:v>03164000</x:v>
      </x:c>
      <x:c r="B161" s="11" t="n">
        <x:v>0.6699387442178257</x:v>
      </x:c>
      <x:c r="C161" s="11" t="n">
        <x:v>0.6606070016195439</x:v>
      </x:c>
      <x:c r="D161" s="11" t="n">
        <x:v>0.5470224794036704</x:v>
      </x:c>
      <x:c r="E161" s="11" t="n">
        <x:v>0.009331742598281845</x:v>
      </x:c>
      <x:c r="F161" s="11" t="n">
        <x:v>0.1229162648141553</x:v>
      </x:c>
      <x:c r="G161" s="11" t="n">
        <x:v>0.5178261448979993</x:v>
      </x:c>
      <x:c r="H161" s="11" t="n">
        <x:v>0.5951387613416469</x:v>
      </x:c>
    </x:row>
    <x:row r="162" ht="22" customHeight="1">
      <x:c r="A162" s="17" t="str">
        <x:f>"03165000"</x:f>
        <x:v>03165000</x:v>
      </x:c>
      <x:c r="B162" s="11" t="n">
        <x:v>0.3609090905850313</x:v>
      </x:c>
      <x:c r="C162" s="11" t="n">
        <x:v>0.30036084257980356</x:v>
      </x:c>
      <x:c r="D162" s="11" t="n">
        <x:v>0.13288480570958638</x:v>
      </x:c>
      <x:c r="E162" s="11" t="n">
        <x:v>0.060548248005227734</x:v>
      </x:c>
      <x:c r="F162" s="11" t="n">
        <x:v>0.2280242848754449</x:v>
      </x:c>
      <x:c r="G162" s="11" t="n">
        <x:v>0.02813962771132006</x:v>
      </x:c>
      <x:c r="H162" s="11" t="n">
        <x:v>0.30495474815623946</x:v>
      </x:c>
    </x:row>
    <x:row r="163" ht="22" customHeight="1">
      <x:c r="A163" s="17" t="str">
        <x:f>"03170000"</x:f>
        <x:v>03170000</x:v>
      </x:c>
      <x:c r="B163" s="11" t="n">
        <x:v>0.4569857253969669</x:v>
      </x:c>
      <x:c r="C163" s="11" t="n">
        <x:v>0.48296204005609433</x:v>
      </x:c>
      <x:c r="D163" s="11" t="n">
        <x:v>0.2819197520116189</x:v>
      </x:c>
      <x:c r="E163" s="11" t="n">
        <x:v>-0.02597631465912742</x:v>
      </x:c>
      <x:c r="F163" s="11" t="n">
        <x:v>0.17506597338534802</x:v>
      </x:c>
      <x:c r="G163" s="11" t="n">
        <x:v>0.22645859529243195</x:v>
      </x:c>
      <x:c r="H163" s="11" t="n">
        <x:v>0.3911940033857356</x:v>
      </x:c>
    </x:row>
    <x:row r="164" ht="22" customHeight="1">
      <x:c r="A164" s="17" t="str">
        <x:f>"03173000"</x:f>
        <x:v>03173000</x:v>
      </x:c>
      <x:c r="B164" s="11" t="n">
        <x:v>0.517540465085365</x:v>
      </x:c>
      <x:c r="C164" s="11" t="n">
        <x:v>0.509154101726922</x:v>
      </x:c>
      <x:c r="D164" s="11" t="n">
        <x:v>0.3379681033777363</x:v>
      </x:c>
      <x:c r="E164" s="11" t="n">
        <x:v>0.008386363358443005</x:v>
      </x:c>
      <x:c r="F164" s="11" t="n">
        <x:v>0.1795723617076287</x:v>
      </x:c>
      <x:c r="G164" s="11" t="n">
        <x:v>0.28084319468710095</x:v>
      </x:c>
      <x:c r="H164" s="11" t="n">
        <x:v>0.41751280469899343</x:v>
      </x:c>
    </x:row>
    <x:row r="165" ht="22" customHeight="1">
      <x:c r="A165" s="17" t="str">
        <x:f>"03237280"</x:f>
        <x:v>03237280</x:v>
      </x:c>
      <x:c r="B165" s="11" t="n">
        <x:v>0.25393990282574264</x:v>
      </x:c>
      <x:c r="C165" s="11" t="n">
        <x:v>0.19919919515223394</x:v>
      </x:c>
      <x:c r="D165" s="11" t="n">
        <x:v>0.1662050196827186</x:v>
      </x:c>
      <x:c r="E165" s="11" t="n">
        <x:v>0.05474070767350869</x:v>
      </x:c>
      <x:c r="F165" s="11" t="n">
        <x:v>0.08773488314302402</x:v>
      </x:c>
      <x:c r="G165" s="11" t="n">
        <x:v>-0.12831271457989257</x:v>
      </x:c>
      <x:c r="H165" s="11" t="n">
        <x:v>0.22644008525568726</x:v>
      </x:c>
    </x:row>
    <x:row r="166" ht="22" customHeight="1">
      <x:c r="A166" s="17" t="str">
        <x:f>"03237500"</x:f>
        <x:v>03237500</x:v>
      </x:c>
      <x:c r="B166" s="11" t="n">
        <x:v>0.26421548047380305</x:v>
      </x:c>
      <x:c r="C166" s="11" t="n">
        <x:v>0.27630368894617074</x:v>
      </x:c>
      <x:c r="D166" s="11" t="n">
        <x:v>0.1604789955704291</x:v>
      </x:c>
      <x:c r="E166" s="11" t="n">
        <x:v>-0.01208820847236769</x:v>
      </x:c>
      <x:c r="F166" s="11" t="n">
        <x:v>0.10373648490337395</x:v>
      </x:c>
      <x:c r="G166" s="11" t="n">
        <x:v>-0.16487716147776532</x:v>
      </x:c>
      <x:c r="H166" s="11" t="n">
        <x:v>0.20118989534323728</x:v>
      </x:c>
    </x:row>
    <x:row r="167" ht="22" customHeight="1">
      <x:c r="A167" s="17" t="str">
        <x:f>"03241500"</x:f>
        <x:v>03241500</x:v>
      </x:c>
      <x:c r="B167" s="11" t="n">
        <x:v>0.578989405955501</x:v>
      </x:c>
      <x:c r="C167" s="11" t="n">
        <x:v>0.6469069758599553</x:v>
      </x:c>
      <x:c r="D167" s="11" t="n">
        <x:v>0.3815408516910055</x:v>
      </x:c>
      <x:c r="E167" s="11" t="n">
        <x:v>-0.0679175699044543</x:v>
      </x:c>
      <x:c r="F167" s="11" t="n">
        <x:v>0.19744855426449548</x:v>
      </x:c>
      <x:c r="G167" s="11" t="n">
        <x:v>0.3914251918849695</x:v>
      </x:c>
      <x:c r="H167" s="11" t="n">
        <x:v>0.5360471229982535</x:v>
      </x:c>
    </x:row>
    <x:row r="168" ht="22" customHeight="1">
      <x:c r="A168" s="17" t="str">
        <x:f>"03291780"</x:f>
        <x:v>03291780</x:v>
      </x:c>
      <x:c r="B168" s="11" t="n">
        <x:v>0.28762096083550226</x:v>
      </x:c>
      <x:c r="C168" s="11" t="n">
        <x:v>0.27413449935138245</x:v>
      </x:c>
      <x:c r="D168" s="11" t="n">
        <x:v>0.22994739496355032</x:v>
      </x:c>
      <x:c r="E168" s="11" t="n">
        <x:v>0.013486461484119805</x:v>
      </x:c>
      <x:c r="F168" s="11" t="n">
        <x:v>0.05767356587195194</x:v>
      </x:c>
      <x:c r="G168" s="11" t="n">
        <x:v>-0.11077336508725977</x:v>
      </x:c>
      <x:c r="H168" s="11" t="n">
        <x:v>0.22468406951783737</x:v>
      </x:c>
    </x:row>
    <x:row r="169" ht="22" customHeight="1">
      <x:c r="A169" s="17" t="str">
        <x:f>"03346000"</x:f>
        <x:v>03346000</x:v>
      </x:c>
      <x:c r="B169" s="11" t="n">
        <x:v>0.7393969380351153</x:v>
      </x:c>
      <x:c r="C169" s="11" t="n">
        <x:v>0.7068536682534694</x:v>
      </x:c>
      <x:c r="D169" s="11" t="n">
        <x:v>0.5657158521227672</x:v>
      </x:c>
      <x:c r="E169" s="11" t="n">
        <x:v>0.0325432697816459</x:v>
      </x:c>
      <x:c r="F169" s="11" t="n">
        <x:v>0.1736810859123481</x:v>
      </x:c>
      <x:c r="G169" s="11" t="n">
        <x:v>0.49448387737682187</x:v>
      </x:c>
      <x:c r="H169" s="11" t="n">
        <x:v>0.6586581223093713</x:v>
      </x:c>
    </x:row>
    <x:row r="170" ht="22" customHeight="1">
      <x:c r="A170" s="17" t="str">
        <x:f>"03384450"</x:f>
        <x:v>03384450</x:v>
      </x:c>
      <x:c r="B170" s="11" t="n">
        <x:v>0.21092957712983262</x:v>
      </x:c>
      <x:c r="C170" s="11" t="n">
        <x:v>0.22157254931410786</x:v>
      </x:c>
      <x:c r="D170" s="11" t="n">
        <x:v>0.17883714536101103</x:v>
      </x:c>
      <x:c r="E170" s="11" t="n">
        <x:v>-0.010642972184275235</x:v>
      </x:c>
      <x:c r="F170" s="11" t="n">
        <x:v>0.032092431768821594</x:v>
      </x:c>
      <x:c r="G170" s="11" t="n">
        <x:v>-0.2056293256491628</x:v>
      </x:c>
      <x:c r="H170" s="11" t="n">
        <x:v>0.17455629615121182</x:v>
      </x:c>
    </x:row>
    <x:row r="171" ht="22" customHeight="1">
      <x:c r="A171" s="17" t="str">
        <x:f>"03439000"</x:f>
        <x:v>03439000</x:v>
      </x:c>
      <x:c r="B171" s="11" t="n">
        <x:v>0.5428022823470768</x:v>
      </x:c>
      <x:c r="C171" s="11" t="n">
        <x:v>0.38392408132208167</x:v>
      </x:c>
      <x:c r="D171" s="11" t="n">
        <x:v>0.3108111880494012</x:v>
      </x:c>
      <x:c r="E171" s="11" t="n">
        <x:v>0.15887820102499517</x:v>
      </x:c>
      <x:c r="F171" s="11" t="n">
        <x:v>0.23199109429767562</x:v>
      </x:c>
      <x:c r="G171" s="11" t="n">
        <x:v>0.40676843604060187</x:v>
      </x:c>
      <x:c r="H171" s="11" t="n">
        <x:v>0.5206542044618092</x:v>
      </x:c>
    </x:row>
    <x:row r="172" ht="22" customHeight="1">
      <x:c r="A172" s="17" t="str">
        <x:f>"03455500"</x:f>
        <x:v>03455500</x:v>
      </x:c>
      <x:c r="B172" s="11" t="n">
        <x:v>0.41119119417476657</x:v>
      </x:c>
      <x:c r="C172" s="11" t="n">
        <x:v>0.3753574211080398</x:v>
      </x:c>
      <x:c r="D172" s="11" t="n">
        <x:v>0.23866148164295486</x:v>
      </x:c>
      <x:c r="E172" s="11" t="n">
        <x:v>0.03583377306672675</x:v>
      </x:c>
      <x:c r="F172" s="11" t="n">
        <x:v>0.1725297125318117</x:v>
      </x:c>
      <x:c r="G172" s="11" t="n">
        <x:v>0.24846951088747415</x:v>
      </x:c>
      <x:c r="H172" s="11" t="n">
        <x:v>0.4060712136111273</x:v>
      </x:c>
    </x:row>
    <x:row r="173" ht="22" customHeight="1">
      <x:c r="A173" s="17" t="str">
        <x:f>"03456500"</x:f>
        <x:v>03456500</x:v>
      </x:c>
      <x:c r="B173" s="11" t="n">
        <x:v>0.4861972050228621</x:v>
      </x:c>
      <x:c r="C173" s="11" t="n">
        <x:v>0.43326193336068286</x:v>
      </x:c>
      <x:c r="D173" s="11" t="n">
        <x:v>0.35181089313276703</x:v>
      </x:c>
      <x:c r="E173" s="11" t="n">
        <x:v>0.05293527166217926</x:v>
      </x:c>
      <x:c r="F173" s="11" t="n">
        <x:v>0.1343863118900951</x:v>
      </x:c>
      <x:c r="G173" s="11" t="n">
        <x:v>0.393037640832815</x:v>
      </x:c>
      <x:c r="H173" s="11" t="n">
        <x:v>0.4975368415335901</x:v>
      </x:c>
    </x:row>
    <x:row r="174" ht="22" customHeight="1">
      <x:c r="A174" s="17" t="str">
        <x:f>"03460000"</x:f>
        <x:v>03460000</x:v>
      </x:c>
      <x:c r="B174" s="11" t="n">
        <x:v>0.5778471683397373</x:v>
      </x:c>
      <x:c r="C174" s="11" t="n">
        <x:v>0.6121320201553646</x:v>
      </x:c>
      <x:c r="D174" s="11" t="n">
        <x:v>0.39749549618335</x:v>
      </x:c>
      <x:c r="E174" s="11" t="n">
        <x:v>-0.03428485181562735</x:v>
      </x:c>
      <x:c r="F174" s="11" t="n">
        <x:v>0.18035167215638725</x:v>
      </x:c>
      <x:c r="G174" s="11" t="n">
        <x:v>0.614215172897019</x:v>
      </x:c>
      <x:c r="H174" s="11" t="n">
        <x:v>0.6521875811017724</x:v>
      </x:c>
    </x:row>
    <x:row r="175" ht="22" customHeight="1">
      <x:c r="A175" s="17" t="str">
        <x:f>"03463300"</x:f>
        <x:v>03463300</x:v>
      </x:c>
      <x:c r="B175" s="11" t="n">
        <x:v>0.4315152825000661</x:v>
      </x:c>
      <x:c r="C175" s="11" t="n">
        <x:v>0.48492450030009226</x:v>
      </x:c>
      <x:c r="D175" s="11" t="n">
        <x:v>0.24312726722308697</x:v>
      </x:c>
      <x:c r="E175" s="11" t="n">
        <x:v>-0.053409217800026165</x:v>
      </x:c>
      <x:c r="F175" s="11" t="n">
        <x:v>0.18838801527697913</x:v>
      </x:c>
      <x:c r="G175" s="11" t="n">
        <x:v>0.30293048697656133</x:v>
      </x:c>
      <x:c r="H175" s="11" t="n">
        <x:v>0.42386497107531806</x:v>
      </x:c>
    </x:row>
    <x:row r="176" ht="22" customHeight="1">
      <x:c r="A176" s="17" t="str">
        <x:f>"03471500"</x:f>
        <x:v>03471500</x:v>
      </x:c>
      <x:c r="B176" s="11" t="n">
        <x:v>0.6392956921569549</x:v>
      </x:c>
      <x:c r="C176" s="11" t="n">
        <x:v>0.6219242723415119</x:v>
      </x:c>
      <x:c r="D176" s="11" t="n">
        <x:v>0.424792053378908</x:v>
      </x:c>
      <x:c r="E176" s="11" t="n">
        <x:v>0.01737141981544299</x:v>
      </x:c>
      <x:c r="F176" s="11" t="n">
        <x:v>0.2145036387780469</x:v>
      </x:c>
      <x:c r="G176" s="11" t="n">
        <x:v>0.5647384542469084</x:v>
      </x:c>
      <x:c r="H176" s="11" t="n">
        <x:v>0.6259555072760147</x:v>
      </x:c>
    </x:row>
    <x:row r="177" ht="22" customHeight="1">
      <x:c r="A177" s="17" t="str">
        <x:f>"03473000"</x:f>
        <x:v>03473000</x:v>
      </x:c>
      <x:c r="B177" s="11" t="n">
        <x:v>0.6484070613663884</x:v>
      </x:c>
      <x:c r="C177" s="11" t="n">
        <x:v>0.6845544036822084</x:v>
      </x:c>
      <x:c r="D177" s="11" t="n">
        <x:v>0.45572797824606226</x:v>
      </x:c>
      <x:c r="E177" s="11" t="n">
        <x:v>-0.036147342315820064</x:v>
      </x:c>
      <x:c r="F177" s="11" t="n">
        <x:v>0.1926790831203261</x:v>
      </x:c>
      <x:c r="G177" s="11" t="n">
        <x:v>0.5806367199060825</x:v>
      </x:c>
      <x:c r="H177" s="11" t="n">
        <x:v>0.6455274425794096</x:v>
      </x:c>
    </x:row>
    <x:row r="178" ht="22" customHeight="1">
      <x:c r="A178" s="17" t="str">
        <x:f>"03479000"</x:f>
        <x:v>03479000</x:v>
      </x:c>
      <x:c r="B178" s="11" t="n">
        <x:v>0.49207103281977815</x:v>
      </x:c>
      <x:c r="C178" s="11" t="n">
        <x:v>0.4005886840337852</x:v>
      </x:c>
      <x:c r="D178" s="11" t="n">
        <x:v>0.19603390914960983</x:v>
      </x:c>
      <x:c r="E178" s="11" t="n">
        <x:v>0.09148234878599293</x:v>
      </x:c>
      <x:c r="F178" s="11" t="n">
        <x:v>0.2960371236701683</x:v>
      </x:c>
      <x:c r="G178" s="11" t="n">
        <x:v>0.27675650632620474</x:v>
      </x:c>
      <x:c r="H178" s="11" t="n">
        <x:v>0.40730055500952334</x:v>
      </x:c>
    </x:row>
    <x:row r="179" ht="22" customHeight="1">
      <x:c r="A179" s="17" t="str">
        <x:f>"03488000"</x:f>
        <x:v>03488000</x:v>
      </x:c>
      <x:c r="B179" s="11" t="n">
        <x:v>0.5974822172698071</x:v>
      </x:c>
      <x:c r="C179" s="11" t="n">
        <x:v>0.6448905395793125</x:v>
      </x:c>
      <x:c r="D179" s="11" t="n">
        <x:v>0.43564675830535227</x:v>
      </x:c>
      <x:c r="E179" s="11" t="n">
        <x:v>-0.047408322309505424</x:v>
      </x:c>
      <x:c r="F179" s="11" t="n">
        <x:v>0.16183545896445484</x:v>
      </x:c>
      <x:c r="G179" s="11" t="n">
        <x:v>0.4791187456639755</x:v>
      </x:c>
      <x:c r="H179" s="11" t="n">
        <x:v>0.5585658557061799</x:v>
      </x:c>
    </x:row>
    <x:row r="180" ht="22" customHeight="1">
      <x:c r="A180" s="17" t="str">
        <x:f>"03498500"</x:f>
        <x:v>03498500</x:v>
      </x:c>
      <x:c r="B180" s="11" t="n">
        <x:v>0.45940585823810076</x:v>
      </x:c>
      <x:c r="C180" s="11" t="n">
        <x:v>0.4891764512663842</x:v>
      </x:c>
      <x:c r="D180" s="11" t="n">
        <x:v>0.34019085406039584</x:v>
      </x:c>
      <x:c r="E180" s="11" t="n">
        <x:v>-0.029770593028283443</x:v>
      </x:c>
      <x:c r="F180" s="11" t="n">
        <x:v>0.11921500417770492</x:v>
      </x:c>
      <x:c r="G180" s="11" t="n">
        <x:v>0.38198538409667115</x:v>
      </x:c>
      <x:c r="H180" s="11" t="n">
        <x:v>0.48778724941534435</x:v>
      </x:c>
    </x:row>
    <x:row r="181" ht="22" customHeight="1">
      <x:c r="A181" s="17" t="str">
        <x:f>"03500000"</x:f>
        <x:v>03500000</x:v>
      </x:c>
      <x:c r="B181" s="11" t="n">
        <x:v>0.6579026740678917</x:v>
      </x:c>
      <x:c r="C181" s="11" t="n">
        <x:v>0.665647624821856</x:v>
      </x:c>
      <x:c r="D181" s="11" t="n">
        <x:v>0.45943934953585464</x:v>
      </x:c>
      <x:c r="E181" s="11" t="n">
        <x:v>-0.007744950753964308</x:v>
      </x:c>
      <x:c r="F181" s="11" t="n">
        <x:v>0.19846332453203708</x:v>
      </x:c>
      <x:c r="G181" s="11" t="n">
        <x:v>0.5863218411990936</x:v>
      </x:c>
      <x:c r="H181" s="11" t="n">
        <x:v>0.6448700693880957</x:v>
      </x:c>
    </x:row>
    <x:row r="182" ht="22" customHeight="1">
      <x:c r="A182" s="17" t="str">
        <x:f>"03500240"</x:f>
        <x:v>03500240</x:v>
      </x:c>
      <x:c r="B182" s="11" t="n">
        <x:v>0.5837425240004954</x:v>
      </x:c>
      <x:c r="C182" s="11" t="n">
        <x:v>0.6061249674611351</x:v>
      </x:c>
      <x:c r="D182" s="11" t="n">
        <x:v>0.39417755450567327</x:v>
      </x:c>
      <x:c r="E182" s="11" t="n">
        <x:v>-0.022382443460639667</x:v>
      </x:c>
      <x:c r="F182" s="11" t="n">
        <x:v>0.18956496949482216</x:v>
      </x:c>
      <x:c r="G182" s="11" t="n">
        <x:v>0.5263258522049481</x:v>
      </x:c>
      <x:c r="H182" s="11" t="n">
        <x:v>0.6024456143238753</x:v>
      </x:c>
    </x:row>
    <x:row r="183" ht="22" customHeight="1">
      <x:c r="A183" s="17" t="str">
        <x:f>"03504000"</x:f>
        <x:v>03504000</x:v>
      </x:c>
      <x:c r="B183" s="11" t="n">
        <x:v>0.6276698469957904</x:v>
      </x:c>
      <x:c r="C183" s="11" t="n">
        <x:v>0.6156919392150455</x:v>
      </x:c>
      <x:c r="D183" s="11" t="n">
        <x:v>0.40723525967590213</x:v>
      </x:c>
      <x:c r="E183" s="11" t="n">
        <x:v>0.011977907780744923</x:v>
      </x:c>
      <x:c r="F183" s="11" t="n">
        <x:v>0.2204345873198883</x:v>
      </x:c>
      <x:c r="G183" s="11" t="n">
        <x:v>0.6062309905535358</x:v>
      </x:c>
      <x:c r="H183" s="11" t="n">
        <x:v>0.6561135494521662</x:v>
      </x:c>
    </x:row>
    <x:row r="184" ht="22" customHeight="1">
      <x:c r="A184" s="17" t="str">
        <x:f>"03574500"</x:f>
        <x:v>03574500</x:v>
      </x:c>
      <x:c r="B184" s="11" t="n">
        <x:v>0.8825813589425417</x:v>
      </x:c>
      <x:c r="C184" s="11" t="n">
        <x:v>0.8642820875092244</x:v>
      </x:c>
      <x:c r="D184" s="11" t="n">
        <x:v>0.7525406471646973</x:v>
      </x:c>
      <x:c r="E184" s="11" t="n">
        <x:v>0.018299271433317332</x:v>
      </x:c>
      <x:c r="F184" s="11" t="n">
        <x:v>0.1300407117778445</x:v>
      </x:c>
      <x:c r="G184" s="11" t="n">
        <x:v>0.5530935633499157</x:v>
      </x:c>
      <x:c r="H184" s="11" t="n">
        <x:v>0.6836371251682751</x:v>
      </x:c>
    </x:row>
    <x:row r="185" ht="22" customHeight="1">
      <x:c r="A185" s="17" t="str">
        <x:f>"03604000"</x:f>
        <x:v>03604000</x:v>
      </x:c>
      <x:c r="B185" s="11" t="n">
        <x:v>0.3802135803330612</x:v>
      </x:c>
      <x:c r="C185" s="11" t="n">
        <x:v>0.5295984888140282</x:v>
      </x:c>
      <x:c r="D185" s="11" t="n">
        <x:v>0.3437615491720497</x:v>
      </x:c>
      <x:c r="E185" s="11" t="n">
        <x:v>-0.14938490848096697</x:v>
      </x:c>
      <x:c r="F185" s="11" t="n">
        <x:v>0.03645203116101148</x:v>
      </x:c>
      <x:c r="G185" s="11" t="n">
        <x:v>0.17630976740875037</x:v>
      </x:c>
      <x:c r="H185" s="11" t="n">
        <x:v>0.38846784785125577</x:v>
      </x:c>
    </x:row>
    <x:row r="186" ht="22" customHeight="1">
      <x:c r="A186" s="17" t="str">
        <x:f>"04015330"</x:f>
        <x:v>04015330</x:v>
      </x:c>
      <x:c r="B186" s="11" t="n">
        <x:v>0.3951844986252744</x:v>
      </x:c>
      <x:c r="C186" s="11" t="n">
        <x:v>0.4079882407750469</x:v>
      </x:c>
      <x:c r="D186" s="11" t="n">
        <x:v>0.2546581532542177</x:v>
      </x:c>
      <x:c r="E186" s="11" t="n">
        <x:v>-0.012803742149772535</x:v>
      </x:c>
      <x:c r="F186" s="11" t="n">
        <x:v>0.14052634537105668</x:v>
      </x:c>
      <x:c r="G186" s="11" t="n">
        <x:v>0.18941691710885977</x:v>
      </x:c>
      <x:c r="H186" s="11" t="n">
        <x:v>0.34893635129024325</x:v>
      </x:c>
    </x:row>
    <x:row r="187" ht="22" customHeight="1">
      <x:c r="A187" s="17" t="str">
        <x:f>"04024430"</x:f>
        <x:v>04024430</x:v>
      </x:c>
      <x:c r="B187" s="11" t="n">
        <x:v>0.7167715869585827</x:v>
      </x:c>
      <x:c r="C187" s="11" t="n">
        <x:v>0.7150348708470656</x:v>
      </x:c>
      <x:c r="D187" s="11" t="n">
        <x:v>0.4686539980097224</x:v>
      </x:c>
      <x:c r="E187" s="11" t="n">
        <x:v>0.0017367161115170449</x:v>
      </x:c>
      <x:c r="F187" s="11" t="n">
        <x:v>0.24811758894886027</x:v>
      </x:c>
      <x:c r="G187" s="11" t="n">
        <x:v>0.5637874732231944</x:v>
      </x:c>
      <x:c r="H187" s="11" t="n">
        <x:v>0.6386462477488124</x:v>
      </x:c>
    </x:row>
    <x:row r="188" ht="22" customHeight="1">
      <x:c r="A188" s="17" t="str">
        <x:f>"04027000"</x:f>
        <x:v>04027000</x:v>
      </x:c>
      <x:c r="B188" s="11" t="n">
        <x:v>0.8674038721500453</x:v>
      </x:c>
      <x:c r="C188" s="11" t="n">
        <x:v>0.8725205436833154</x:v>
      </x:c>
      <x:c r="D188" s="11" t="n">
        <x:v>0.5840261450185247</x:v>
      </x:c>
      <x:c r="E188" s="11" t="n">
        <x:v>-0.005116671533270112</x:v>
      </x:c>
      <x:c r="F188" s="11" t="n">
        <x:v>0.28337772713152065</x:v>
      </x:c>
      <x:c r="G188" s="11" t="n">
        <x:v>0.8576486532675853</x:v>
      </x:c>
      <x:c r="H188" s="11" t="n">
        <x:v>0.8895214530389082</x:v>
      </x:c>
    </x:row>
    <x:row r="189" ht="22" customHeight="1">
      <x:c r="A189" s="17" t="str">
        <x:f>"04040500"</x:f>
        <x:v>04040500</x:v>
      </x:c>
      <x:c r="B189" s="11" t="n">
        <x:v>0.9514215423444362</x:v>
      </x:c>
      <x:c r="C189" s="11" t="n">
        <x:v>0.9584992891709664</x:v>
      </x:c>
      <x:c r="D189" s="11" t="n">
        <x:v>0.6508119935478315</x:v>
      </x:c>
      <x:c r="E189" s="11" t="n">
        <x:v>-0.0070777468265301735</x:v>
      </x:c>
      <x:c r="F189" s="11" t="n">
        <x:v>0.30060954879660473</x:v>
      </x:c>
      <x:c r="G189" s="11" t="n">
        <x:v>0.9353783411093675</x:v>
      </x:c>
      <x:c r="H189" s="11" t="n">
        <x:v>0.9550086905391433</x:v>
      </x:c>
    </x:row>
    <x:row r="190" ht="22" customHeight="1">
      <x:c r="A190" s="17" t="str">
        <x:f>"04043050"</x:f>
        <x:v>04043050</x:v>
      </x:c>
      <x:c r="B190" s="11" t="n">
        <x:v>0.8222791412171961</x:v>
      </x:c>
      <x:c r="C190" s="11" t="n">
        <x:v>0.823487851749387</x:v>
      </x:c>
      <x:c r="D190" s="11" t="n">
        <x:v>0.5292422937463209</x:v>
      </x:c>
      <x:c r="E190" s="11" t="n">
        <x:v>-0.0012087105321908487</x:v>
      </x:c>
      <x:c r="F190" s="11" t="n">
        <x:v>0.2930368474708752</x:v>
      </x:c>
      <x:c r="G190" s="11" t="n">
        <x:v>0.7792092106293808</x:v>
      </x:c>
      <x:c r="H190" s="11" t="n">
        <x:v>0.7974617111770023</x:v>
      </x:c>
    </x:row>
    <x:row r="191" ht="22" customHeight="1">
      <x:c r="A191" s="17" t="str">
        <x:f>"04045500"</x:f>
        <x:v>04045500</x:v>
      </x:c>
      <x:c r="B191" s="11" t="n">
        <x:v>0.9959957062529589</x:v>
      </x:c>
      <x:c r="C191" s="11" t="n">
        <x:v>0.9976257090191776</x:v>
      </x:c>
      <x:c r="D191" s="11" t="n">
        <x:v>0.5902829566988981</x:v>
      </x:c>
      <x:c r="E191" s="11" t="n">
        <x:v>-0.0016300027662187189</x:v>
      </x:c>
      <x:c r="F191" s="11" t="n">
        <x:v>0.4057127495540608</x:v>
      </x:c>
      <x:c r="G191" s="11" t="n">
        <x:v>0.9900693922253107</x:v>
      </x:c>
      <x:c r="H191" s="11" t="n">
        <x:v>0.9975136586693845</x:v>
      </x:c>
    </x:row>
    <x:row r="192" ht="22" customHeight="1">
      <x:c r="A192" s="17" t="str">
        <x:f>"04056500"</x:f>
        <x:v>04056500</x:v>
      </x:c>
      <x:c r="B192" s="11" t="n">
        <x:v>0.9953146937998775</x:v>
      </x:c>
      <x:c r="C192" s="11" t="n">
        <x:v>0.995576597496117</x:v>
      </x:c>
      <x:c r="D192" s="11" t="n">
        <x:v>0.47857830665544876</x:v>
      </x:c>
      <x:c r="E192" s="11" t="n">
        <x:v>-0.00026190369623957377</x:v>
      </x:c>
      <x:c r="F192" s="11" t="n">
        <x:v>0.5167363871444287</x:v>
      </x:c>
      <x:c r="G192" s="11" t="n">
        <x:v>0.9881726499821323</x:v>
      </x:c>
      <x:c r="H192" s="11" t="n">
        <x:v>0.9966672926806259</x:v>
      </x:c>
    </x:row>
    <x:row r="193" ht="22" customHeight="1">
      <x:c r="A193" s="17" t="str">
        <x:f>"04057510"</x:f>
        <x:v>04057510</x:v>
      </x:c>
      <x:c r="B193" s="11" t="n">
        <x:v>0.9489968235381137</x:v>
      </x:c>
      <x:c r="C193" s="11" t="n">
        <x:v>0.9510110294161248</x:v>
      </x:c>
      <x:c r="D193" s="11" t="n">
        <x:v>0.5525788801397244</x:v>
      </x:c>
      <x:c r="E193" s="11" t="n">
        <x:v>-0.002014205878011155</x:v>
      </x:c>
      <x:c r="F193" s="11" t="n">
        <x:v>0.3964179433983892</x:v>
      </x:c>
      <x:c r="G193" s="11" t="n">
        <x:v>0.939650988267979</x:v>
      </x:c>
      <x:c r="H193" s="11" t="n">
        <x:v>0.9499783624524832</x:v>
      </x:c>
    </x:row>
    <x:row r="194" ht="22" customHeight="1">
      <x:c r="A194" s="17" t="str">
        <x:f>"04057800"</x:f>
        <x:v>04057800</x:v>
      </x:c>
      <x:c r="B194" s="11" t="n">
        <x:v>0.9343205436108913</x:v>
      </x:c>
      <x:c r="C194" s="11" t="n">
        <x:v>0.9470407450134746</x:v>
      </x:c>
      <x:c r="D194" s="11" t="n">
        <x:v>0.5135577733540173</x:v>
      </x:c>
      <x:c r="E194" s="11" t="n">
        <x:v>-0.012720201402583231</x:v>
      </x:c>
      <x:c r="F194" s="11" t="n">
        <x:v>0.42076277025687403</x:v>
      </x:c>
      <x:c r="G194" s="11" t="n">
        <x:v>0.899168256073023</x:v>
      </x:c>
      <x:c r="H194" s="11" t="n">
        <x:v>0.9363201260534251</x:v>
      </x:c>
    </x:row>
    <x:row r="195" ht="22" customHeight="1">
      <x:c r="A195" s="17" t="str">
        <x:f>"04059500"</x:f>
        <x:v>04059500</x:v>
      </x:c>
      <x:c r="B195" s="11" t="n">
        <x:v>0.9590311866151259</x:v>
      </x:c>
      <x:c r="C195" s="11" t="n">
        <x:v>0.9584593603312778</x:v>
      </x:c>
      <x:c r="D195" s="11" t="n">
        <x:v>0.5829510105885187</x:v>
      </x:c>
      <x:c r="E195" s="11" t="n">
        <x:v>0.0005718262838481092</x:v>
      </x:c>
      <x:c r="F195" s="11" t="n">
        <x:v>0.37608017602660715</x:v>
      </x:c>
      <x:c r="G195" s="11" t="n">
        <x:v>0.9497621593757003</x:v>
      </x:c>
      <x:c r="H195" s="11" t="n">
        <x:v>0.9542139894199775</x:v>
      </x:c>
    </x:row>
    <x:row r="196" ht="22" customHeight="1">
      <x:c r="A196" s="17" t="str">
        <x:f>"04063700"</x:f>
        <x:v>04063700</x:v>
      </x:c>
      <x:c r="B196" s="11" t="n">
        <x:v>0.9815332097635944</x:v>
      </x:c>
      <x:c r="C196" s="11" t="n">
        <x:v>0.9836867142761054</x:v>
      </x:c>
      <x:c r="D196" s="11" t="n">
        <x:v>0.662618887884628</x:v>
      </x:c>
      <x:c r="E196" s="11" t="n">
        <x:v>-0.002153504512511062</x:v>
      </x:c>
      <x:c r="F196" s="11" t="n">
        <x:v>0.3189143218789664</x:v>
      </x:c>
      <x:c r="G196" s="11" t="n">
        <x:v>0.9671422821707488</x:v>
      </x:c>
      <x:c r="H196" s="11" t="n">
        <x:v>0.9845469238909469</x:v>
      </x:c>
    </x:row>
    <x:row r="197" ht="22" customHeight="1">
      <x:c r="A197" s="17" t="str">
        <x:f>"04105700"</x:f>
        <x:v>04105700</x:v>
      </x:c>
      <x:c r="B197" s="11" t="n">
        <x:v>0.8683511258142405</x:v>
      </x:c>
      <x:c r="C197" s="11" t="n">
        <x:v>0.8698127803525318</x:v>
      </x:c>
      <x:c r="D197" s="11" t="n">
        <x:v>0.6344776964973668</x:v>
      </x:c>
      <x:c r="E197" s="11" t="n">
        <x:v>-0.0014616545382913904</x:v>
      </x:c>
      <x:c r="F197" s="11" t="n">
        <x:v>0.2338734293168736</x:v>
      </x:c>
      <x:c r="G197" s="11" t="n">
        <x:v>0.7926949893116186</x:v>
      </x:c>
      <x:c r="H197" s="11" t="n">
        <x:v>0.853566498766143</x:v>
      </x:c>
    </x:row>
    <x:row r="198" ht="22" customHeight="1">
      <x:c r="A198" s="17" t="str">
        <x:f>"04122200"</x:f>
        <x:v>04122200</x:v>
      </x:c>
      <x:c r="B198" s="11" t="n">
        <x:v>0.9339787920310287</x:v>
      </x:c>
      <x:c r="C198" s="11" t="n">
        <x:v>0.9126779254659647</x:v>
      </x:c>
      <x:c r="D198" s="11" t="n">
        <x:v>0.6801023210244181</x:v>
      </x:c>
      <x:c r="E198" s="11" t="n">
        <x:v>0.021300866565064025</x:v>
      </x:c>
      <x:c r="F198" s="11" t="n">
        <x:v>0.2538764710066106</x:v>
      </x:c>
      <x:c r="G198" s="11" t="n">
        <x:v>0.8499513732538448</x:v>
      </x:c>
      <x:c r="H198" s="11" t="n">
        <x:v>0.8562472567058754</x:v>
      </x:c>
    </x:row>
    <x:row r="199" ht="22" customHeight="1">
      <x:c r="A199" s="17" t="str">
        <x:f>"04122500"</x:f>
        <x:v>04122500</x:v>
      </x:c>
      <x:c r="B199" s="11" t="n">
        <x:v>0.975103002855394</x:v>
      </x:c>
      <x:c r="C199" s="11" t="n">
        <x:v>0.984677570239587</x:v>
      </x:c>
      <x:c r="D199" s="11" t="n">
        <x:v>0.703103469109679</x:v>
      </x:c>
      <x:c r="E199" s="11" t="n">
        <x:v>-0.009574567384193045</x:v>
      </x:c>
      <x:c r="F199" s="11" t="n">
        <x:v>0.27199953374571495</x:v>
      </x:c>
      <x:c r="G199" s="11" t="n">
        <x:v>0.9441012169586538</x:v>
      </x:c>
      <x:c r="H199" s="11" t="n">
        <x:v>0.9765134159047371</x:v>
      </x:c>
    </x:row>
    <x:row r="200" ht="22" customHeight="1">
      <x:c r="A200" s="17" t="str">
        <x:f>"04124000"</x:f>
        <x:v>04124000</x:v>
      </x:c>
      <x:c r="B200" s="11" t="n">
        <x:v>0.9535612853640268</x:v>
      </x:c>
      <x:c r="C200" s="11" t="n">
        <x:v>0.9628472856052439</x:v>
      </x:c>
      <x:c r="D200" s="11" t="n">
        <x:v>0.7522346627100012</x:v>
      </x:c>
      <x:c r="E200" s="11" t="n">
        <x:v>-0.009286000241217063</x:v>
      </x:c>
      <x:c r="F200" s="11" t="n">
        <x:v>0.20132662265402568</x:v>
      </x:c>
      <x:c r="G200" s="11" t="n">
        <x:v>0.9285925447816377</x:v>
      </x:c>
      <x:c r="H200" s="11" t="n">
        <x:v>0.9542672013057637</x:v>
      </x:c>
    </x:row>
    <x:row r="201" ht="22" customHeight="1">
      <x:c r="A201" s="17" t="str">
        <x:f>"04127997"</x:f>
        <x:v>04127997</x:v>
      </x:c>
      <x:c r="B201" s="11" t="n">
        <x:v>0.7365267452278687</x:v>
      </x:c>
      <x:c r="C201" s="11" t="n">
        <x:v>0.7593965762228536</x:v>
      </x:c>
      <x:c r="D201" s="11" t="n">
        <x:v>0.5715083241637415</x:v>
      </x:c>
      <x:c r="E201" s="11" t="n">
        <x:v>-0.022869830994984963</x:v>
      </x:c>
      <x:c r="F201" s="11" t="n">
        <x:v>0.16501842106412712</x:v>
      </x:c>
      <x:c r="G201" s="11" t="n">
        <x:v>0.6263570297284292</x:v>
      </x:c>
      <x:c r="H201" s="11" t="n">
        <x:v>0.6865684397624212</x:v>
      </x:c>
    </x:row>
    <x:row r="202" ht="22" customHeight="1">
      <x:c r="A202" s="17" t="str">
        <x:f>"04185000"</x:f>
        <x:v>04185000</x:v>
      </x:c>
      <x:c r="B202" s="11" t="n">
        <x:v>0.9435078519999495</x:v>
      </x:c>
      <x:c r="C202" s="11" t="n">
        <x:v>0.9541660949118507</x:v>
      </x:c>
      <x:c r="D202" s="11" t="n">
        <x:v>0.547791219953885</x:v>
      </x:c>
      <x:c r="E202" s="11" t="n">
        <x:v>-0.010658242911901206</x:v>
      </x:c>
      <x:c r="F202" s="11" t="n">
        <x:v>0.39571663204606444</x:v>
      </x:c>
      <x:c r="G202" s="11" t="n">
        <x:v>0.9136847328378377</x:v>
      </x:c>
      <x:c r="H202" s="11" t="n">
        <x:v>0.9514393793447571</x:v>
      </x:c>
    </x:row>
    <x:row r="203" ht="22" customHeight="1">
      <x:c r="A203" s="17" t="str">
        <x:f>"04196800"</x:f>
        <x:v>04196800</x:v>
      </x:c>
      <x:c r="B203" s="11" t="n">
        <x:v>0.8813160998684477</x:v>
      </x:c>
      <x:c r="C203" s="11" t="n">
        <x:v>0.894764053760079</x:v>
      </x:c>
      <x:c r="D203" s="11" t="n">
        <x:v>0.6425136751312038</x:v>
      </x:c>
      <x:c r="E203" s="11" t="n">
        <x:v>-0.013447953891631226</x:v>
      </x:c>
      <x:c r="F203" s="11" t="n">
        <x:v>0.2388024247372439</x:v>
      </x:c>
      <x:c r="G203" s="11" t="n">
        <x:v>0.6770016754313664</x:v>
      </x:c>
      <x:c r="H203" s="11" t="n">
        <x:v>0.8214937273935146</x:v>
      </x:c>
    </x:row>
    <x:row r="204" ht="22" customHeight="1">
      <x:c r="A204" s="17" t="str">
        <x:f>"04197100"</x:f>
        <x:v>04197100</x:v>
      </x:c>
      <x:c r="B204" s="11" t="n">
        <x:v>0.7329953141293089</x:v>
      </x:c>
      <x:c r="C204" s="11" t="n">
        <x:v>0.7542036308120397</x:v>
      </x:c>
      <x:c r="D204" s="11" t="n">
        <x:v>0.5399275120175119</x:v>
      </x:c>
      <x:c r="E204" s="11" t="n">
        <x:v>-0.02120831668273082</x:v>
      </x:c>
      <x:c r="F204" s="11" t="n">
        <x:v>0.19306780211179697</x:v>
      </x:c>
      <x:c r="G204" s="11" t="n">
        <x:v>0.5542026692629176</x:v>
      </x:c>
      <x:c r="H204" s="11" t="n">
        <x:v>0.6706647033023583</x:v>
      </x:c>
    </x:row>
    <x:row r="205" ht="22" customHeight="1">
      <x:c r="A205" s="17" t="str">
        <x:f>"04213000"</x:f>
        <x:v>04213000</x:v>
      </x:c>
      <x:c r="B205" s="11" t="n">
        <x:v>0.7471773121045007</x:v>
      </x:c>
      <x:c r="C205" s="11" t="n">
        <x:v>0.7173730825404248</x:v>
      </x:c>
      <x:c r="D205" s="11" t="n">
        <x:v>0.6113927532102399</x:v>
      </x:c>
      <x:c r="E205" s="11" t="n">
        <x:v>0.029804229564075913</x:v>
      </x:c>
      <x:c r="F205" s="11" t="n">
        <x:v>0.13578455889426078</x:v>
      </x:c>
      <x:c r="G205" s="11" t="n">
        <x:v>0.3735557178801605</x:v>
      </x:c>
      <x:c r="H205" s="11" t="n">
        <x:v>0.5267732568062916</x:v>
      </x:c>
    </x:row>
    <x:row r="206" ht="22" customHeight="1">
      <x:c r="A206" s="17" t="str">
        <x:f>"04216418"</x:f>
        <x:v>04216418</x:v>
      </x:c>
      <x:c r="B206" s="11" t="n">
        <x:v>0.4805919662464383</x:v>
      </x:c>
      <x:c r="C206" s="11" t="n">
        <x:v>0.46445601864346997</x:v>
      </x:c>
      <x:c r="D206" s="11" t="n">
        <x:v>0.27402324611861384</x:v>
      </x:c>
      <x:c r="E206" s="11" t="n">
        <x:v>0.016135947602968326</x:v>
      </x:c>
      <x:c r="F206" s="11" t="n">
        <x:v>0.20656872012782446</x:v>
      </x:c>
      <x:c r="G206" s="11" t="n">
        <x:v>0.25047887048867856</x:v>
      </x:c>
      <x:c r="H206" s="11" t="n">
        <x:v>0.41032149512096316</x:v>
      </x:c>
    </x:row>
    <x:row r="207" ht="22" customHeight="1">
      <x:c r="A207" s="17" t="str">
        <x:f>"04221000"</x:f>
        <x:v>04221000</x:v>
      </x:c>
      <x:c r="B207" s="11" t="n">
        <x:v>0.5412228872649025</x:v>
      </x:c>
      <x:c r="C207" s="11" t="n">
        <x:v>0.5667632877324964</x:v>
      </x:c>
      <x:c r="D207" s="11" t="n">
        <x:v>0.4335194718457036</x:v>
      </x:c>
      <x:c r="E207" s="11" t="n">
        <x:v>-0.02554040046759387</x:v>
      </x:c>
      <x:c r="F207" s="11" t="n">
        <x:v>0.10770341541919892</x:v>
      </x:c>
      <x:c r="G207" s="11" t="n">
        <x:v>0.38224506971729255</x:v>
      </x:c>
      <x:c r="H207" s="11" t="n">
        <x:v>0.4912332526609542</x:v>
      </x:c>
    </x:row>
    <x:row r="208" ht="22" customHeight="1">
      <x:c r="A208" s="17" t="str">
        <x:f>"04224775"</x:f>
        <x:v>04224775</x:v>
      </x:c>
      <x:c r="B208" s="11" t="n">
        <x:v>0.48740406212655063</x:v>
      </x:c>
      <x:c r="C208" s="11" t="n">
        <x:v>0.4904249718123812</x:v>
      </x:c>
      <x:c r="D208" s="11" t="n">
        <x:v>0.3701100240321754</x:v>
      </x:c>
      <x:c r="E208" s="11" t="n">
        <x:v>-0.003020909685830575</x:v>
      </x:c>
      <x:c r="F208" s="11" t="n">
        <x:v>0.11729403809437522</x:v>
      </x:c>
      <x:c r="G208" s="11" t="n">
        <x:v>0.2667620773164311</x:v>
      </x:c>
      <x:c r="H208" s="11" t="n">
        <x:v>0.4087542890682383</x:v>
      </x:c>
    </x:row>
    <x:row r="209" ht="22" customHeight="1">
      <x:c r="A209" s="17" t="str">
        <x:f>"04256000"</x:f>
        <x:v>04256000</x:v>
      </x:c>
      <x:c r="B209" s="11" t="n">
        <x:v>0.7835466222674361</x:v>
      </x:c>
      <x:c r="C209" s="11" t="n">
        <x:v>0.7892179217436338</x:v>
      </x:c>
      <x:c r="D209" s="11" t="n">
        <x:v>0.5497158652910341</x:v>
      </x:c>
      <x:c r="E209" s="11" t="n">
        <x:v>-0.005671299476197711</x:v>
      </x:c>
      <x:c r="F209" s="11" t="n">
        <x:v>0.233830756976402</x:v>
      </x:c>
      <x:c r="G209" s="11" t="n">
        <x:v>0.6379646058904714</x:v>
      </x:c>
      <x:c r="H209" s="11" t="n">
        <x:v>0.7059109808054732</x:v>
      </x:c>
    </x:row>
    <x:row r="210" ht="22" customHeight="1">
      <x:c r="A210" s="17" t="str">
        <x:f>"04296000"</x:f>
        <x:v>04296000</x:v>
      </x:c>
      <x:c r="B210" s="11" t="n">
        <x:v>0.7751195758152449</x:v>
      </x:c>
      <x:c r="C210" s="11" t="n">
        <x:v>0.7878480622047268</x:v>
      </x:c>
      <x:c r="D210" s="11" t="n">
        <x:v>0.525900918520759</x:v>
      </x:c>
      <x:c r="E210" s="11" t="n">
        <x:v>-0.012728486389481874</x:v>
      </x:c>
      <x:c r="F210" s="11" t="n">
        <x:v>0.2492186572944859</x:v>
      </x:c>
      <x:c r="G210" s="11" t="n">
        <x:v>0.7214006589208743</x:v>
      </x:c>
      <x:c r="H210" s="11" t="n">
        <x:v>0.7552981823456585</x:v>
      </x:c>
    </x:row>
    <x:row r="211" ht="22" customHeight="1">
      <x:c r="A211" s="17" t="str">
        <x:f>"05056000"</x:f>
        <x:v>05056000</x:v>
      </x:c>
      <x:c r="B211" s="11" t="n">
        <x:v>0.9312935913823526</x:v>
      </x:c>
      <x:c r="C211" s="11" t="n">
        <x:v>0.9535089732149319</x:v>
      </x:c>
      <x:c r="D211" s="11" t="n">
        <x:v>0.24293017085030322</x:v>
      </x:c>
      <x:c r="E211" s="11" t="n">
        <x:v>-0.022215381832579317</x:v>
      </x:c>
      <x:c r="F211" s="11" t="n">
        <x:v>0.6883634205320494</x:v>
      </x:c>
      <x:c r="G211" s="11" t="n">
        <x:v>0.9469099721204599</x:v>
      </x:c>
      <x:c r="H211" s="11" t="n">
        <x:v>0.9561595721306739</x:v>
      </x:c>
    </x:row>
    <x:row r="212" ht="22" customHeight="1">
      <x:c r="A212" s="17" t="str">
        <x:f>"05057000"</x:f>
        <x:v>05057000</x:v>
      </x:c>
      <x:c r="B212" s="11" t="n">
        <x:v>0.9492299966576254</x:v>
      </x:c>
      <x:c r="C212" s="11" t="n">
        <x:v>0.9684062484658801</x:v>
      </x:c>
      <x:c r="D212" s="11" t="n">
        <x:v>0.3354265444962168</x:v>
      </x:c>
      <x:c r="E212" s="11" t="n">
        <x:v>-0.019176251808254663</x:v>
      </x:c>
      <x:c r="F212" s="11" t="n">
        <x:v>0.6138034521614086</x:v>
      </x:c>
      <x:c r="G212" s="11" t="n">
        <x:v>0.9693592561149447</x:v>
      </x:c>
      <x:c r="H212" s="11" t="n">
        <x:v>0.9699926752605352</x:v>
      </x:c>
    </x:row>
    <x:row r="213" ht="22" customHeight="1">
      <x:c r="A213" s="17" t="str">
        <x:f>"05057200"</x:f>
        <x:v>05057200</x:v>
      </x:c>
      <x:c r="B213" s="11" t="n">
        <x:v>0.8855027778575552</x:v>
      </x:c>
      <x:c r="C213" s="11" t="n">
        <x:v>0.9101346244012446</x:v>
      </x:c>
      <x:c r="D213" s="11" t="n">
        <x:v>0.21934730199874874</x:v>
      </x:c>
      <x:c r="E213" s="11" t="n">
        <x:v>-0.02463184654368944</x:v>
      </x:c>
      <x:c r="F213" s="11" t="n">
        <x:v>0.6661554758588064</x:v>
      </x:c>
      <x:c r="G213" s="11" t="n">
        <x:v>0.9365697647265703</x:v>
      </x:c>
      <x:c r="H213" s="11" t="n">
        <x:v>0.9501435858935017</x:v>
      </x:c>
    </x:row>
    <x:row r="214" ht="22" customHeight="1">
      <x:c r="A214" s="17" t="str">
        <x:f>"05120500"</x:f>
        <x:v>05120500</x:v>
      </x:c>
      <x:c r="B214" s="11" t="n">
        <x:v>0.9300491543707461</x:v>
      </x:c>
      <x:c r="C214" s="11" t="n">
        <x:v>0.9529288252679763</x:v>
      </x:c>
      <x:c r="D214" s="11" t="n">
        <x:v>0.3074254605461548</x:v>
      </x:c>
      <x:c r="E214" s="11" t="n">
        <x:v>-0.022879670897230198</x:v>
      </x:c>
      <x:c r="F214" s="11" t="n">
        <x:v>0.6226236938245913</x:v>
      </x:c>
      <x:c r="G214" s="11" t="n">
        <x:v>0.9780231761418102</x:v>
      </x:c>
      <x:c r="H214" s="11" t="n">
        <x:v>0.9838235942358038</x:v>
      </x:c>
    </x:row>
    <x:row r="215" ht="22" customHeight="1">
      <x:c r="A215" s="17" t="str">
        <x:f>"05123400"</x:f>
        <x:v>05123400</x:v>
      </x:c>
      <x:c r="B215" s="11" t="n">
        <x:v>0.9758194606024446</x:v>
      </x:c>
      <x:c r="C215" s="11" t="n">
        <x:v>0.9748730857445309</x:v>
      </x:c>
      <x:c r="D215" s="11" t="n">
        <x:v>0.38722684507623684</x:v>
      </x:c>
      <x:c r="E215" s="11" t="n">
        <x:v>0.0009463748579137121</x:v>
      </x:c>
      <x:c r="F215" s="11" t="n">
        <x:v>0.5885926155262078</x:v>
      </x:c>
      <x:c r="G215" s="11" t="n">
        <x:v>0.9777848795081904</x:v>
      </x:c>
      <x:c r="H215" s="11" t="n">
        <x:v>0.9810834184489468</x:v>
      </x:c>
    </x:row>
    <x:row r="216" ht="22" customHeight="1">
      <x:c r="A216" s="17" t="str">
        <x:f>"05129115"</x:f>
        <x:v>05129115</x:v>
      </x:c>
      <x:c r="B216" s="11" t="n">
        <x:v>0.9937974034210135</x:v>
      </x:c>
      <x:c r="C216" s="11" t="n">
        <x:v>0.9957591466185031</x:v>
      </x:c>
      <x:c r="D216" s="11" t="n">
        <x:v>0.5328851799691909</x:v>
      </x:c>
      <x:c r="E216" s="11" t="n">
        <x:v>-0.0019617431974895405</x:v>
      </x:c>
      <x:c r="F216" s="11" t="n">
        <x:v>0.4609122234518226</x:v>
      </x:c>
      <x:c r="G216" s="11" t="n">
        <x:v>0.9861841654953618</x:v>
      </x:c>
      <x:c r="H216" s="11" t="n">
        <x:v>0.9951838317360144</x:v>
      </x:c>
    </x:row>
    <x:row r="217" ht="22" customHeight="1">
      <x:c r="A217" s="17" t="str">
        <x:f>"05131500"</x:f>
        <x:v>05131500</x:v>
      </x:c>
      <x:c r="B217" s="11" t="n">
        <x:v>0.9744063919423135</x:v>
      </x:c>
      <x:c r="C217" s="11" t="n">
        <x:v>0.9820582902458946</x:v>
      </x:c>
      <x:c r="D217" s="11" t="n">
        <x:v>0.6596487869668443</x:v>
      </x:c>
      <x:c r="E217" s="11" t="n">
        <x:v>-0.0076518983035811505</x:v>
      </x:c>
      <x:c r="F217" s="11" t="n">
        <x:v>0.31475760497546923</x:v>
      </x:c>
      <x:c r="G217" s="11" t="n">
        <x:v>0.9450165786546758</x:v>
      </x:c>
      <x:c r="H217" s="11" t="n">
        <x:v>0.9787546492930247</x:v>
      </x:c>
    </x:row>
    <x:row r="218" ht="22" customHeight="1">
      <x:c r="A218" s="17" t="str">
        <x:f>"05291000"</x:f>
        <x:v>05291000</x:v>
      </x:c>
      <x:c r="B218" s="11" t="n">
        <x:v>0.8213223648786185</x:v>
      </x:c>
      <x:c r="C218" s="11" t="n">
        <x:v>0.8048796025254212</x:v>
      </x:c>
      <x:c r="D218" s="11" t="n">
        <x:v>0.3308074442576686</x:v>
      </x:c>
      <x:c r="E218" s="11" t="n">
        <x:v>0.016442762353197304</x:v>
      </x:c>
      <x:c r="F218" s="11" t="n">
        <x:v>0.4905149206209499</x:v>
      </x:c>
      <x:c r="G218" s="11" t="n">
        <x:v>0.742980251297529</x:v>
      </x:c>
      <x:c r="H218" s="11" t="n">
        <x:v>0.7604968886799068</x:v>
      </x:c>
    </x:row>
    <x:row r="219" ht="22" customHeight="1">
      <x:c r="A219" s="17" t="str">
        <x:f>"05362000"</x:f>
        <x:v>05362000</x:v>
      </x:c>
      <x:c r="B219" s="11" t="n">
        <x:v>0.8841929598344291</x:v>
      </x:c>
      <x:c r="C219" s="11" t="n">
        <x:v>0.8884750005473424</x:v>
      </x:c>
      <x:c r="D219" s="11" t="n">
        <x:v>0.6052081098387048</x:v>
      </x:c>
      <x:c r="E219" s="11" t="n">
        <x:v>-0.004282040712913271</x:v>
      </x:c>
      <x:c r="F219" s="11" t="n">
        <x:v>0.27898484999572437</x:v>
      </x:c>
      <x:c r="G219" s="11" t="n">
        <x:v>0.8275921260955744</x:v>
      </x:c>
      <x:c r="H219" s="11" t="n">
        <x:v>0.8695620813325498</x:v>
      </x:c>
    </x:row>
    <x:row r="220" ht="22" customHeight="1">
      <x:c r="A220" s="17" t="str">
        <x:f>"05393500"</x:f>
        <x:v>05393500</x:v>
      </x:c>
      <x:c r="B220" s="11" t="n">
        <x:v>0.8143833419439657</x:v>
      </x:c>
      <x:c r="C220" s="11" t="n">
        <x:v>0.8246013721266854</x:v>
      </x:c>
      <x:c r="D220" s="11" t="n">
        <x:v>0.5887029253403868</x:v>
      </x:c>
      <x:c r="E220" s="11" t="n">
        <x:v>-0.010218030182719717</x:v>
      </x:c>
      <x:c r="F220" s="11" t="n">
        <x:v>0.22568041660357885</x:v>
      </x:c>
      <x:c r="G220" s="11" t="n">
        <x:v>0.7317852489704004</x:v>
      </x:c>
      <x:c r="H220" s="11" t="n">
        <x:v>0.76477118999413</x:v>
      </x:c>
    </x:row>
    <x:row r="221" ht="22" customHeight="1">
      <x:c r="A221" s="17" t="str">
        <x:f>"05399500"</x:f>
        <x:v>05399500</x:v>
      </x:c>
      <x:c r="B221" s="11" t="n">
        <x:v>0.612089418710499</x:v>
      </x:c>
      <x:c r="C221" s="11" t="n">
        <x:v>0.62573722213235</x:v>
      </x:c>
      <x:c r="D221" s="11" t="n">
        <x:v>0.3708355115508153</x:v>
      </x:c>
      <x:c r="E221" s="11" t="n">
        <x:v>-0.013647803421850901</x:v>
      </x:c>
      <x:c r="F221" s="11" t="n">
        <x:v>0.24125390715968376</x:v>
      </x:c>
      <x:c r="G221" s="11" t="n">
        <x:v>0.5255398989941025</x:v>
      </x:c>
      <x:c r="H221" s="11" t="n">
        <x:v>0.5763656055809365</x:v>
      </x:c>
    </x:row>
    <x:row r="222" ht="22" customHeight="1">
      <x:c r="A222" s="17" t="str">
        <x:f>"05408000"</x:f>
        <x:v>05408000</x:v>
      </x:c>
      <x:c r="B222" s="11" t="n">
        <x:v>0.3990645705489101</x:v>
      </x:c>
      <x:c r="C222" s="11" t="n">
        <x:v>0.43691726643353723</x:v>
      </x:c>
      <x:c r="D222" s="11" t="n">
        <x:v>0.20140545013225497</x:v>
      </x:c>
      <x:c r="E222" s="11" t="n">
        <x:v>-0.03785269588462714</x:v>
      </x:c>
      <x:c r="F222" s="11" t="n">
        <x:v>0.19765912041665512</x:v>
      </x:c>
      <x:c r="G222" s="11" t="n">
        <x:v>0.31235945177797064</x:v>
      </x:c>
      <x:c r="H222" s="11" t="n">
        <x:v>0.4589159528523339</x:v>
      </x:c>
    </x:row>
    <x:row r="223" ht="22" customHeight="1">
      <x:c r="A223" s="17" t="str">
        <x:f>"05412500"</x:f>
        <x:v>05412500</x:v>
      </x:c>
      <x:c r="B223" s="11" t="n">
        <x:v>0.783232025174533</x:v>
      </x:c>
      <x:c r="C223" s="11" t="n">
        <x:v>0.7907096200270954</x:v>
      </x:c>
      <x:c r="D223" s="11" t="n">
        <x:v>0.5236800600009911</x:v>
      </x:c>
      <x:c r="E223" s="11" t="n">
        <x:v>-0.007477594852562386</x:v>
      </x:c>
      <x:c r="F223" s="11" t="n">
        <x:v>0.25955196517354195</x:v>
      </x:c>
      <x:c r="G223" s="11" t="n">
        <x:v>0.7317393899240192</x:v>
      </x:c>
      <x:c r="H223" s="11" t="n">
        <x:v>0.77316316975633</x:v>
      </x:c>
    </x:row>
    <x:row r="224" ht="22" customHeight="1">
      <x:c r="A224" s="17" t="str">
        <x:f>"05413500"</x:f>
        <x:v>05413500</x:v>
      </x:c>
      <x:c r="B224" s="11" t="n">
        <x:v>0.41968395655704227</x:v>
      </x:c>
      <x:c r="C224" s="11" t="n">
        <x:v>0.4584754344349379</x:v>
      </x:c>
      <x:c r="D224" s="11" t="n">
        <x:v>0.12382342400645363</x:v>
      </x:c>
      <x:c r="E224" s="11" t="n">
        <x:v>-0.03879147787789561</x:v>
      </x:c>
      <x:c r="F224" s="11" t="n">
        <x:v>0.29586053255058864</x:v>
      </x:c>
      <x:c r="G224" s="11" t="n">
        <x:v>0.23388238378646042</x:v>
      </x:c>
      <x:c r="H224" s="11" t="n">
        <x:v>0.3909776729160689</x:v>
      </x:c>
    </x:row>
    <x:row r="225" ht="22" customHeight="1">
      <x:c r="A225" s="17" t="str">
        <x:f>"05414000"</x:f>
        <x:v>05414000</x:v>
      </x:c>
      <x:c r="B225" s="11" t="n">
        <x:v>0.4369017635756074</x:v>
      </x:c>
      <x:c r="C225" s="11" t="n">
        <x:v>0.429274175199196</x:v>
      </x:c>
      <x:c r="D225" s="11" t="n">
        <x:v>0.17797979765634642</x:v>
      </x:c>
      <x:c r="E225" s="11" t="n">
        <x:v>0.0076275883764114205</x:v>
      </x:c>
      <x:c r="F225" s="11" t="n">
        <x:v>0.258921965919261</x:v>
      </x:c>
      <x:c r="G225" s="11" t="n">
        <x:v>0.2582731088562259</x:v>
      </x:c>
      <x:c r="H225" s="11" t="n">
        <x:v>0.42313584208475186</x:v>
      </x:c>
    </x:row>
    <x:row r="226" ht="22" customHeight="1">
      <x:c r="A226" s="17" t="str">
        <x:f>"05444000"</x:f>
        <x:v>05444000</x:v>
      </x:c>
      <x:c r="B226" s="11" t="n">
        <x:v>0.48907521617773464</x:v>
      </x:c>
      <x:c r="C226" s="11" t="n">
        <x:v>0.4678430928226983</x:v>
      </x:c>
      <x:c r="D226" s="11" t="n">
        <x:v>0.32194347351564956</x:v>
      </x:c>
      <x:c r="E226" s="11" t="n">
        <x:v>0.021232123355036325</x:v>
      </x:c>
      <x:c r="F226" s="11" t="n">
        <x:v>0.16713174266208508</x:v>
      </x:c>
      <x:c r="G226" s="11" t="n">
        <x:v>0.2992421035933339</x:v>
      </x:c>
      <x:c r="H226" s="11" t="n">
        <x:v>0.44877666988372467</x:v>
      </x:c>
    </x:row>
    <x:row r="227" ht="22" customHeight="1">
      <x:c r="A227" s="17" t="str">
        <x:f>"05454000"</x:f>
        <x:v>05454000</x:v>
      </x:c>
      <x:c r="B227" s="11" t="n">
        <x:v>0.2586038364589671</x:v>
      </x:c>
      <x:c r="C227" s="11" t="n">
        <x:v>0.2711669754160112</x:v>
      </x:c>
      <x:c r="D227" s="11" t="n">
        <x:v>0.1757840229950074</x:v>
      </x:c>
      <x:c r="E227" s="11" t="n">
        <x:v>-0.012563138957044084</x:v>
      </x:c>
      <x:c r="F227" s="11" t="n">
        <x:v>0.08281981346395972</x:v>
      </x:c>
      <x:c r="G227" s="11" t="n">
        <x:v>-0.03919490430038741</x:v>
      </x:c>
      <x:c r="H227" s="11" t="n">
        <x:v>0.1978268570372007</x:v>
      </x:c>
    </x:row>
    <x:row r="228" ht="22" customHeight="1">
      <x:c r="A228" s="17" t="str">
        <x:f>"05458000"</x:f>
        <x:v>05458000</x:v>
      </x:c>
      <x:c r="B228" s="11" t="n">
        <x:v>0.7627274241013651</x:v>
      </x:c>
      <x:c r="C228" s="11" t="n">
        <x:v>0.7515134240251682</x:v>
      </x:c>
      <x:c r="D228" s="11" t="n">
        <x:v>0.5426245611920766</x:v>
      </x:c>
      <x:c r="E228" s="11" t="n">
        <x:v>0.011214000076196884</x:v>
      </x:c>
      <x:c r="F228" s="11" t="n">
        <x:v>0.2201028629092885</x:v>
      </x:c>
      <x:c r="G228" s="11" t="n">
        <x:v>0.5103627176658128</x:v>
      </x:c>
      <x:c r="H228" s="11" t="n">
        <x:v>0.5185656719949023</x:v>
      </x:c>
    </x:row>
    <x:row r="229" ht="22" customHeight="1">
      <x:c r="A229" s="17" t="str">
        <x:f>"05466500"</x:f>
        <x:v>05466500</x:v>
      </x:c>
      <x:c r="B229" s="11" t="n">
        <x:v>0.8691736046423646</x:v>
      </x:c>
      <x:c r="C229" s="11" t="n">
        <x:v>0.8525393927711196</x:v>
      </x:c>
      <x:c r="D229" s="11" t="n">
        <x:v>0.6668938443796054</x:v>
      </x:c>
      <x:c r="E229" s="11" t="n">
        <x:v>0.01663421187124503</x:v>
      </x:c>
      <x:c r="F229" s="11" t="n">
        <x:v>0.20227976026275918</x:v>
      </x:c>
      <x:c r="G229" s="11" t="n">
        <x:v>0.8282295823225293</x:v>
      </x:c>
      <x:c r="H229" s="11" t="n">
        <x:v>0.8511107074378499</x:v>
      </x:c>
    </x:row>
    <x:row r="230" ht="22" customHeight="1">
      <x:c r="A230" s="17" t="str">
        <x:f>"05487980"</x:f>
        <x:v>05487980</x:v>
      </x:c>
      <x:c r="B230" s="11" t="n">
        <x:v>0.49860009720369136</x:v>
      </x:c>
      <x:c r="C230" s="11" t="n">
        <x:v>0.5151991880808293</x:v>
      </x:c>
      <x:c r="D230" s="11" t="n">
        <x:v>0.33945499318136796</x:v>
      </x:c>
      <x:c r="E230" s="11" t="n">
        <x:v>-0.016599090877137956</x:v>
      </x:c>
      <x:c r="F230" s="11" t="n">
        <x:v>0.1591451040223234</x:v>
      </x:c>
      <x:c r="G230" s="11" t="n">
        <x:v>0.3299760948132858</x:v>
      </x:c>
      <x:c r="H230" s="11" t="n">
        <x:v>0.4511184259463261</x:v>
      </x:c>
    </x:row>
    <x:row r="231" ht="22" customHeight="1">
      <x:c r="A231" s="17" t="str">
        <x:f>"05489000"</x:f>
        <x:v>05489000</x:v>
      </x:c>
      <x:c r="B231" s="11" t="n">
        <x:v>0.38018838215521633</x:v>
      </x:c>
      <x:c r="C231" s="11" t="n">
        <x:v>0.4258791229926705</x:v>
      </x:c>
      <x:c r="D231" s="11" t="n">
        <x:v>0.25801142881273464</x:v>
      </x:c>
      <x:c r="E231" s="11" t="n">
        <x:v>-0.04569074083745417</x:v>
      </x:c>
      <x:c r="F231" s="11" t="n">
        <x:v>0.12217695334248169</x:v>
      </x:c>
      <x:c r="G231" s="11" t="n">
        <x:v>0.15831029379465456</x:v>
      </x:c>
      <x:c r="H231" s="11" t="n">
        <x:v>0.31295380607007095</x:v>
      </x:c>
    </x:row>
    <x:row r="232" ht="22" customHeight="1">
      <x:c r="A232" s="17" t="str">
        <x:f>"05495000"</x:f>
        <x:v>05495000</x:v>
      </x:c>
      <x:c r="B232" s="11" t="n">
        <x:v>0.646554034038813</x:v>
      </x:c>
      <x:c r="C232" s="11" t="n">
        <x:v>0.6150956377093901</x:v>
      </x:c>
      <x:c r="D232" s="11" t="n">
        <x:v>0.5066074739592179</x:v>
      </x:c>
      <x:c r="E232" s="11" t="n">
        <x:v>0.03145839632942282</x:v>
      </x:c>
      <x:c r="F232" s="11" t="n">
        <x:v>0.13994656007959505</x:v>
      </x:c>
      <x:c r="G232" s="11" t="n">
        <x:v>0.5237885388436475</x:v>
      </x:c>
      <x:c r="H232" s="11" t="n">
        <x:v>0.6483239902288772</x:v>
      </x:c>
    </x:row>
    <x:row r="233" ht="22" customHeight="1">
      <x:c r="A233" s="17" t="str">
        <x:f>"05495500"</x:f>
        <x:v>05495500</x:v>
      </x:c>
      <x:c r="B233" s="11" t="n">
        <x:v>0.35699892935925737</x:v>
      </x:c>
      <x:c r="C233" s="11" t="n">
        <x:v>0.4643580706182374</x:v>
      </x:c>
      <x:c r="D233" s="11" t="n">
        <x:v>0.20282996860048308</x:v>
      </x:c>
      <x:c r="E233" s="11" t="n">
        <x:v>-0.10735914125898005</x:v>
      </x:c>
      <x:c r="F233" s="11" t="n">
        <x:v>0.1541689607587743</x:v>
      </x:c>
      <x:c r="G233" s="11" t="n">
        <x:v>0.21910541342743695</x:v>
      </x:c>
      <x:c r="H233" s="11" t="n">
        <x:v>0.41858912104765855</x:v>
      </x:c>
    </x:row>
    <x:row r="234" ht="22" customHeight="1">
      <x:c r="A234" s="17" t="str">
        <x:f>"05501000"</x:f>
        <x:v>05501000</x:v>
      </x:c>
      <x:c r="B234" s="11" t="n">
        <x:v>0.2968648830828057</x:v>
      </x:c>
      <x:c r="C234" s="11" t="n">
        <x:v>0.300042106558016</x:v>
      </x:c>
      <x:c r="D234" s="11" t="n">
        <x:v>0.21855264541458264</x:v>
      </x:c>
      <x:c r="E234" s="11" t="n">
        <x:v>-0.0031772234752103223</x:v>
      </x:c>
      <x:c r="F234" s="11" t="n">
        <x:v>0.07831223766822304</x:v>
      </x:c>
      <x:c r="G234" s="11" t="n">
        <x:v>0.08249439365696543</x:v>
      </x:c>
      <x:c r="H234" s="11" t="n">
        <x:v>0.298954231200667</x:v>
      </x:c>
    </x:row>
    <x:row r="235" ht="22" customHeight="1">
      <x:c r="A235" s="17" t="str">
        <x:f>"05503800"</x:f>
        <x:v>05503800</x:v>
      </x:c>
      <x:c r="B235" s="11" t="n">
        <x:v>0.2632741101184226</x:v>
      </x:c>
      <x:c r="C235" s="11" t="n">
        <x:v>0.3405071352211747</x:v>
      </x:c>
      <x:c r="D235" s="11" t="n">
        <x:v>0.14743692331676272</x:v>
      </x:c>
      <x:c r="E235" s="11" t="n">
        <x:v>-0.0772330251027521</x:v>
      </x:c>
      <x:c r="F235" s="11" t="n">
        <x:v>0.11583718680165989</x:v>
      </x:c>
      <x:c r="G235" s="11" t="n">
        <x:v>0.015819226596830105</x:v>
      </x:c>
      <x:c r="H235" s="11" t="n">
        <x:v>0.28587713922786173</x:v>
      </x:c>
    </x:row>
    <x:row r="236" ht="22" customHeight="1">
      <x:c r="A236" s="17" t="str">
        <x:f>"05507600"</x:f>
        <x:v>05507600</x:v>
      </x:c>
      <x:c r="B236" s="11" t="n">
        <x:v>0.19523893226090028</x:v>
      </x:c>
      <x:c r="C236" s="11" t="n">
        <x:v>0.2324545756219384</x:v>
      </x:c>
      <x:c r="D236" s="11" t="n">
        <x:v>0.06536393179253508</x:v>
      </x:c>
      <x:c r="E236" s="11" t="n">
        <x:v>-0.03721564336103811</x:v>
      </x:c>
      <x:c r="F236" s="11" t="n">
        <x:v>0.1298750004683652</x:v>
      </x:c>
      <x:c r="G236" s="11" t="n">
        <x:v>-0.20180461863012056</x:v>
      </x:c>
      <x:c r="H236" s="11" t="n">
        <x:v>0.15412100122486794</x:v>
      </x:c>
    </x:row>
    <x:row r="237" ht="22" customHeight="1">
      <x:c r="A237" s="17" t="str">
        <x:f>"05508805"</x:f>
        <x:v>05508805</x:v>
      </x:c>
      <x:c r="B237" s="11" t="n">
        <x:v>0.21386474957958834</x:v>
      </x:c>
      <x:c r="C237" s="11" t="n">
        <x:v>0.022644038899103158</x:v>
      </x:c>
      <x:c r="D237" s="11" t="n">
        <x:v>0.06539123806537439</x:v>
      </x:c>
      <x:c r="E237" s="11" t="n">
        <x:v>0.19122071068048518</x:v>
      </x:c>
      <x:c r="F237" s="11" t="n">
        <x:v>0.14847351151421395</x:v>
      </x:c>
      <x:c r="G237" s="11" t="n">
        <x:v>-0.13630528417882237</x:v>
      </x:c>
      <x:c r="H237" s="11" t="n">
        <x:v>0.18616064057642345</x:v>
      </x:c>
    </x:row>
    <x:row r="238" ht="22" customHeight="1">
      <x:c r="A238" s="17" t="str">
        <x:f>"05514500"</x:f>
        <x:v>05514500</x:v>
      </x:c>
      <x:c r="B238" s="11" t="n">
        <x:v>0.4189198562925246</x:v>
      </x:c>
      <x:c r="C238" s="11" t="n">
        <x:v>0.308932695210152</x:v>
      </x:c>
      <x:c r="D238" s="11" t="n">
        <x:v>0.26428298128043093</x:v>
      </x:c>
      <x:c r="E238" s="11" t="n">
        <x:v>0.10998716108237261</x:v>
      </x:c>
      <x:c r="F238" s="11" t="n">
        <x:v>0.15463687501209367</x:v>
      </x:c>
      <x:c r="G238" s="11" t="n">
        <x:v>0.16571531419547825</x:v>
      </x:c>
      <x:c r="H238" s="11" t="n">
        <x:v>0.36823450426810467</x:v>
      </x:c>
    </x:row>
    <x:row r="239" ht="22" customHeight="1">
      <x:c r="A239" s="17" t="str">
        <x:f>"05525500"</x:f>
        <x:v>05525500</x:v>
      </x:c>
      <x:c r="B239" s="11" t="n">
        <x:v>0.8250258696789201</x:v>
      </x:c>
      <x:c r="C239" s="11" t="n">
        <x:v>0.7649222651121993</x:v>
      </x:c>
      <x:c r="D239" s="11" t="n">
        <x:v>0.608445123379083</x:v>
      </x:c>
      <x:c r="E239" s="11" t="n">
        <x:v>0.060103604566720814</x:v>
      </x:c>
      <x:c r="F239" s="11" t="n">
        <x:v>0.21658074629983715</x:v>
      </x:c>
      <x:c r="G239" s="11" t="n">
        <x:v>0.7390288766025386</x:v>
      </x:c>
      <x:c r="H239" s="11" t="n">
        <x:v>0.7951107204113685</x:v>
      </x:c>
    </x:row>
    <x:row r="240" ht="22" customHeight="1">
      <x:c r="A240" s="17" t="str">
        <x:f>"05556500"</x:f>
        <x:v>05556500</x:v>
      </x:c>
      <x:c r="B240" s="11" t="n">
        <x:v>0.5591014552089016</x:v>
      </x:c>
      <x:c r="C240" s="11" t="n">
        <x:v>0.6073758949708487</x:v>
      </x:c>
      <x:c r="D240" s="11" t="n">
        <x:v>0.3592953731334183</x:v>
      </x:c>
      <x:c r="E240" s="11" t="n">
        <x:v>-0.04827443976194701</x:v>
      </x:c>
      <x:c r="F240" s="11" t="n">
        <x:v>0.19980608207548334</x:v>
      </x:c>
      <x:c r="G240" s="11" t="n">
        <x:v>0.39042144411442015</x:v>
      </x:c>
      <x:c r="H240" s="11" t="n">
        <x:v>0.48797930334400996</x:v>
      </x:c>
    </x:row>
    <x:row r="241" ht="22" customHeight="1">
      <x:c r="A241" s="17" t="str">
        <x:f>"05584500"</x:f>
        <x:v>05584500</x:v>
      </x:c>
      <x:c r="B241" s="11" t="n">
        <x:v>0.8267560293076862</x:v>
      </x:c>
      <x:c r="C241" s="11" t="n">
        <x:v>0.858393152241509</x:v>
      </x:c>
      <x:c r="D241" s="11" t="n">
        <x:v>0.6457905678804354</x:v>
      </x:c>
      <x:c r="E241" s="11" t="n">
        <x:v>-0.031637122933822814</x:v>
      </x:c>
      <x:c r="F241" s="11" t="n">
        <x:v>0.18096546142725078</x:v>
      </x:c>
      <x:c r="G241" s="11" t="n">
        <x:v>0.7157682930518012</x:v>
      </x:c>
      <x:c r="H241" s="11" t="n">
        <x:v>0.8266313381584033</x:v>
      </x:c>
    </x:row>
    <x:row r="242" ht="22" customHeight="1">
      <x:c r="A242" s="17" t="str">
        <x:f>"05585000"</x:f>
        <x:v>05585000</x:v>
      </x:c>
      <x:c r="B242" s="11" t="n">
        <x:v>0.8887646523901936</x:v>
      </x:c>
      <x:c r="C242" s="11" t="n">
        <x:v>0.919796778015737</x:v>
      </x:c>
      <x:c r="D242" s="11" t="n">
        <x:v>0.6000070101383848</x:v>
      </x:c>
      <x:c r="E242" s="11" t="n">
        <x:v>-0.03103212562554336</x:v>
      </x:c>
      <x:c r="F242" s="11" t="n">
        <x:v>0.2887576422518089</x:v>
      </x:c>
      <x:c r="G242" s="11" t="n">
        <x:v>0.8831214334243818</x:v>
      </x:c>
      <x:c r="H242" s="11" t="n">
        <x:v>0.9189743959865897</x:v>
      </x:c>
    </x:row>
    <x:row r="243" ht="22" customHeight="1">
      <x:c r="A243" s="17" t="str">
        <x:f>"05591550"</x:f>
        <x:v>05591550</x:v>
      </x:c>
      <x:c r="B243" s="11" t="n">
        <x:v>0.39466411042183747</x:v>
      </x:c>
      <x:c r="C243" s="11" t="n">
        <x:v>0.419042225992879</x:v>
      </x:c>
      <x:c r="D243" s="11" t="n">
        <x:v>0.2621179657825208</x:v>
      </x:c>
      <x:c r="E243" s="11" t="n">
        <x:v>-0.024378115571041525</x:v>
      </x:c>
      <x:c r="F243" s="11" t="n">
        <x:v>0.1325461446393167</x:v>
      </x:c>
      <x:c r="G243" s="11" t="n">
        <x:v>0.28122389011220916</x:v>
      </x:c>
      <x:c r="H243" s="11" t="n">
        <x:v>0.4049421689464163</x:v>
      </x:c>
    </x:row>
    <x:row r="244" ht="22" customHeight="1">
      <x:c r="A244" s="17" t="str">
        <x:f>"05592050"</x:f>
        <x:v>05592050</x:v>
      </x:c>
      <x:c r="B244" s="11" t="n">
        <x:v>0.37306821123461364</x:v>
      </x:c>
      <x:c r="C244" s="11" t="n">
        <x:v>0.42250882349623653</x:v>
      </x:c>
      <x:c r="D244" s="11" t="n">
        <x:v>0.06755966577977401</x:v>
      </x:c>
      <x:c r="E244" s="11" t="n">
        <x:v>-0.049440612261622885</x:v>
      </x:c>
      <x:c r="F244" s="11" t="n">
        <x:v>0.30550854545483963</x:v>
      </x:c>
      <x:c r="G244" s="11" t="n">
        <x:v>0.22728822648742586</x:v>
      </x:c>
      <x:c r="H244" s="11" t="n">
        <x:v>0.38047708678653824</x:v>
      </x:c>
    </x:row>
    <x:row r="245" ht="22" customHeight="1">
      <x:c r="A245" s="17" t="str">
        <x:f>"05593575"</x:f>
        <x:v>05593575</x:v>
      </x:c>
      <x:c r="B245" s="11" t="n">
        <x:v>0.3437354965777858</x:v>
      </x:c>
      <x:c r="C245" s="11" t="n">
        <x:v>0.29180933573553114</x:v>
      </x:c>
      <x:c r="D245" s="11" t="n">
        <x:v>0.2493384214194262</x:v>
      </x:c>
      <x:c r="E245" s="11" t="n">
        <x:v>0.051926160842254654</x:v>
      </x:c>
      <x:c r="F245" s="11" t="n">
        <x:v>0.0943970751583596</x:v>
      </x:c>
      <x:c r="G245" s="11" t="n">
        <x:v>0.016136943710548746</x:v>
      </x:c>
      <x:c r="H245" s="11" t="n">
        <x:v>0.2521721288822101</x:v>
      </x:c>
    </x:row>
    <x:row r="246" ht="22" customHeight="1">
      <x:c r="A246" s="17" t="str">
        <x:f>"05593900"</x:f>
        <x:v>05593900</x:v>
      </x:c>
      <x:c r="B246" s="11" t="n">
        <x:v>0.2399831733210861</x:v>
      </x:c>
      <x:c r="C246" s="11" t="n">
        <x:v>0.22893443033606842</x:v>
      </x:c>
      <x:c r="D246" s="11" t="n">
        <x:v>0.05458533133362364</x:v>
      </x:c>
      <x:c r="E246" s="11" t="n">
        <x:v>0.011048742985017679</x:v>
      </x:c>
      <x:c r="F246" s="11" t="n">
        <x:v>0.18539784198746245</x:v>
      </x:c>
      <x:c r="G246" s="11" t="n">
        <x:v>-0.043768943035803254</x:v>
      </x:c>
      <x:c r="H246" s="11" t="n">
        <x:v>0.22825723763776873</x:v>
      </x:c>
    </x:row>
    <x:row r="247" ht="22" customHeight="1">
      <x:c r="A247" s="17" t="str">
        <x:f>"05595730"</x:f>
        <x:v>05595730</x:v>
      </x:c>
      <x:c r="B247" s="11" t="n">
        <x:v>0.32809233057769116</x:v>
      </x:c>
      <x:c r="C247" s="11" t="n">
        <x:v>0.3148155905946878</x:v>
      </x:c>
      <x:c r="D247" s="11" t="n">
        <x:v>0.2237913959891562</x:v>
      </x:c>
      <x:c r="E247" s="11" t="n">
        <x:v>0.013276739983003383</x:v>
      </x:c>
      <x:c r="F247" s="11" t="n">
        <x:v>0.10430093458853495</x:v>
      </x:c>
      <x:c r="G247" s="11" t="n">
        <x:v>0.05595845260267318</x:v>
      </x:c>
      <x:c r="H247" s="11" t="n">
        <x:v>0.2843009088531917</x:v>
      </x:c>
    </x:row>
    <x:row r="248" ht="22" customHeight="1">
      <x:c r="A248" s="17" t="str">
        <x:f>"06191500"</x:f>
        <x:v>06191500</x:v>
      </x:c>
      <x:c r="B248" s="11" t="n">
        <x:v>0.9919200038081564</x:v>
      </x:c>
      <x:c r="C248" s="11" t="n">
        <x:v>0.9929040543264339</x:v>
      </x:c>
      <x:c r="D248" s="11" t="n">
        <x:v>0.857254569225613</x:v>
      </x:c>
      <x:c r="E248" s="11" t="n">
        <x:v>-0.000984050518277546</x:v>
      </x:c>
      <x:c r="F248" s="11" t="n">
        <x:v>0.13466543458254332</x:v>
      </x:c>
      <x:c r="G248" s="11" t="n">
        <x:v>0.9820962419937846</x:v>
      </x:c>
      <x:c r="H248" s="11" t="n">
        <x:v>0.9850906661330663</x:v>
      </x:c>
    </x:row>
    <x:row r="249" ht="22" customHeight="1">
      <x:c r="A249" s="17" t="str">
        <x:f>"06224000"</x:f>
        <x:v>06224000</x:v>
      </x:c>
      <x:c r="B249" s="11" t="n">
        <x:v>0.9696128521681745</x:v>
      </x:c>
      <x:c r="C249" s="11" t="n">
        <x:v>0.9788849503314319</x:v>
      </x:c>
      <x:c r="D249" s="11" t="n">
        <x:v>0.7662631850890995</x:v>
      </x:c>
      <x:c r="E249" s="11" t="n">
        <x:v>-0.009272098163257358</x:v>
      </x:c>
      <x:c r="F249" s="11" t="n">
        <x:v>0.20334966707907498</x:v>
      </x:c>
      <x:c r="G249" s="11" t="n">
        <x:v>0.9556713236350621</x:v>
      </x:c>
      <x:c r="H249" s="11" t="n">
        <x:v>0.958615162380886</x:v>
      </x:c>
    </x:row>
    <x:row r="250" ht="22" customHeight="1">
      <x:c r="A250" s="17" t="str">
        <x:f>"06278300"</x:f>
        <x:v>06278300</x:v>
      </x:c>
      <x:c r="B250" s="11" t="n">
        <x:v>0.9049969813643246</x:v>
      </x:c>
      <x:c r="C250" s="11" t="n">
        <x:v>0.9216499978841141</x:v>
      </x:c>
      <x:c r="D250" s="11" t="n">
        <x:v>0.578723469100422</x:v>
      </x:c>
      <x:c r="E250" s="11" t="n">
        <x:v>-0.016653016519789454</x:v>
      </x:c>
      <x:c r="F250" s="11" t="n">
        <x:v>0.32627351226390255</x:v>
      </x:c>
      <x:c r="G250" s="11" t="n">
        <x:v>0.8860435775107018</x:v>
      </x:c>
      <x:c r="H250" s="11" t="n">
        <x:v>0.8989308781694624</x:v>
      </x:c>
    </x:row>
    <x:row r="251" ht="22" customHeight="1">
      <x:c r="A251" s="17" t="str">
        <x:f>"06280300"</x:f>
        <x:v>06280300</x:v>
      </x:c>
      <x:c r="B251" s="11" t="n">
        <x:v>0.9739812925180926</x:v>
      </x:c>
      <x:c r="C251" s="11" t="n">
        <x:v>0.983824860380412</x:v>
      </x:c>
      <x:c r="D251" s="11" t="n">
        <x:v>0.7883170391599807</x:v>
      </x:c>
      <x:c r="E251" s="11" t="n">
        <x:v>-0.009843567862319325</x:v>
      </x:c>
      <x:c r="F251" s="11" t="n">
        <x:v>0.18566425335811187</x:v>
      </x:c>
      <x:c r="G251" s="11" t="n">
        <x:v>0.9648599729421194</x:v>
      </x:c>
      <x:c r="H251" s="11" t="n">
        <x:v>0.9695261247023333</x:v>
      </x:c>
    </x:row>
    <x:row r="252" ht="22" customHeight="1">
      <x:c r="A252" s="17" t="str">
        <x:f>"06289000"</x:f>
        <x:v>06289000</x:v>
      </x:c>
      <x:c r="B252" s="11" t="n">
        <x:v>0.9628410724768202</x:v>
      </x:c>
      <x:c r="C252" s="11" t="n">
        <x:v>0.9757081583470707</x:v>
      </x:c>
      <x:c r="D252" s="11" t="n">
        <x:v>0.6315289157692816</x:v>
      </x:c>
      <x:c r="E252" s="11" t="n">
        <x:v>-0.012867085870250539</x:v>
      </x:c>
      <x:c r="F252" s="11" t="n">
        <x:v>0.33131215670753855</x:v>
      </x:c>
      <x:c r="G252" s="11" t="n">
        <x:v>0.979153634065904</x:v>
      </x:c>
      <x:c r="H252" s="11" t="n">
        <x:v>0.9832400453542292</x:v>
      </x:c>
    </x:row>
    <x:row r="253" ht="22" customHeight="1">
      <x:c r="A253" s="17" t="str">
        <x:f>"06311000"</x:f>
        <x:v>06311000</x:v>
      </x:c>
      <x:c r="B253" s="11" t="n">
        <x:v>0.9161771390252256</x:v>
      </x:c>
      <x:c r="C253" s="11" t="n">
        <x:v>0.9405751209456523</x:v>
      </x:c>
      <x:c r="D253" s="11" t="n">
        <x:v>0.5765981625156824</x:v>
      </x:c>
      <x:c r="E253" s="11" t="n">
        <x:v>-0.024397981920426748</x:v>
      </x:c>
      <x:c r="F253" s="11" t="n">
        <x:v>0.33957897650954316</x:v>
      </x:c>
      <x:c r="G253" s="11" t="n">
        <x:v>0.9443128255123336</x:v>
      </x:c>
      <x:c r="H253" s="11" t="n">
        <x:v>0.9526722061328002</x:v>
      </x:c>
    </x:row>
    <x:row r="254" ht="22" customHeight="1">
      <x:c r="A254" s="17" t="str">
        <x:f>"06332515"</x:f>
        <x:v>06332515</x:v>
      </x:c>
      <x:c r="B254" s="11" t="n">
        <x:v>0.5017795864038694</x:v>
      </x:c>
      <x:c r="C254" s="11" t="n">
        <x:v>0.5248009056817126</x:v>
      </x:c>
      <x:c r="D254" s="11" t="n">
        <x:v>0.12721889452172963</x:v>
      </x:c>
      <x:c r="E254" s="11" t="n">
        <x:v>-0.023021319277843122</x:v>
      </x:c>
      <x:c r="F254" s="11" t="n">
        <x:v>0.3745606918821398</x:v>
      </x:c>
      <x:c r="G254" s="11" t="n">
        <x:v>0.4444539281722798</x:v>
      </x:c>
      <x:c r="H254" s="11" t="n">
        <x:v>0.5258572266304873</x:v>
      </x:c>
    </x:row>
    <x:row r="255" ht="22" customHeight="1">
      <x:c r="A255" s="17" t="str">
        <x:f>"06339100"</x:f>
        <x:v>06339100</x:v>
      </x:c>
      <x:c r="B255" s="11" t="n">
        <x:v>0.6285797895910645</x:v>
      </x:c>
      <x:c r="C255" s="11" t="n">
        <x:v>0.7025759438359943</x:v>
      </x:c>
      <x:c r="D255" s="11" t="n">
        <x:v>0.17847179358944032</x:v>
      </x:c>
      <x:c r="E255" s="11" t="n">
        <x:v>-0.07399615424492978</x:v>
      </x:c>
      <x:c r="F255" s="11" t="n">
        <x:v>0.4501079960016242</x:v>
      </x:c>
      <x:c r="G255" s="11" t="n">
        <x:v>0.5212297524035354</x:v>
      </x:c>
      <x:c r="H255" s="11" t="n">
        <x:v>0.584325179229165</x:v>
      </x:c>
    </x:row>
    <x:row r="256" ht="22" customHeight="1">
      <x:c r="A256" s="17" t="str">
        <x:f>"06339500"</x:f>
        <x:v>06339500</x:v>
      </x:c>
      <x:c r="B256" s="11" t="n">
        <x:v>0.8014982178985</x:v>
      </x:c>
      <x:c r="C256" s="11" t="n">
        <x:v>0.8497187075073271</x:v>
      </x:c>
      <x:c r="D256" s="11" t="n">
        <x:v>0.33160012125851634</x:v>
      </x:c>
      <x:c r="E256" s="11" t="n">
        <x:v>-0.04822048960882719</x:v>
      </x:c>
      <x:c r="F256" s="11" t="n">
        <x:v>0.4698980966399836</x:v>
      </x:c>
      <x:c r="G256" s="11" t="n">
        <x:v>0.7481334259114484</x:v>
      </x:c>
      <x:c r="H256" s="11" t="n">
        <x:v>0.8272658623703002</x:v>
      </x:c>
    </x:row>
    <x:row r="257" ht="22" customHeight="1">
      <x:c r="A257" s="17" t="str">
        <x:f>"06344600"</x:f>
        <x:v>06344600</x:v>
      </x:c>
      <x:c r="B257" s="11" t="n">
        <x:v>0.5467812916439663</x:v>
      </x:c>
      <x:c r="C257" s="11" t="n">
        <x:v>0.5862786407754218</x:v>
      </x:c>
      <x:c r="D257" s="11" t="n">
        <x:v>0.09891836636399942</x:v>
      </x:c>
      <x:c r="E257" s="11" t="n">
        <x:v>-0.03949734913145553</x:v>
      </x:c>
      <x:c r="F257" s="11" t="n">
        <x:v>0.44786292527996685</x:v>
      </x:c>
      <x:c r="G257" s="11" t="n">
        <x:v>0.4834127145755214</x:v>
      </x:c>
      <x:c r="H257" s="11" t="n">
        <x:v>0.5250415677626934</x:v>
      </x:c>
    </x:row>
    <x:row r="258" ht="22" customHeight="1">
      <x:c r="A258" s="17" t="str">
        <x:f>"06350000"</x:f>
        <x:v>06350000</x:v>
      </x:c>
      <x:c r="B258" s="11" t="n">
        <x:v>0.7284615503466176</x:v>
      </x:c>
      <x:c r="C258" s="11" t="n">
        <x:v>0.7577933738875995</x:v>
      </x:c>
      <x:c r="D258" s="11" t="n">
        <x:v>0.14508786816330987</x:v>
      </x:c>
      <x:c r="E258" s="11" t="n">
        <x:v>-0.02933182354098185</x:v>
      </x:c>
      <x:c r="F258" s="11" t="n">
        <x:v>0.5833736821833078</x:v>
      </x:c>
      <x:c r="G258" s="11" t="n">
        <x:v>0.68746960635859</x:v>
      </x:c>
      <x:c r="H258" s="11" t="n">
        <x:v>0.7668822885600354</x:v>
      </x:c>
    </x:row>
    <x:row r="259" ht="22" customHeight="1">
      <x:c r="A259" s="17" t="str">
        <x:f>"06352000"</x:f>
        <x:v>06352000</x:v>
      </x:c>
      <x:c r="B259" s="11" t="n">
        <x:v>0.7795252039117033</x:v>
      </x:c>
      <x:c r="C259" s="11" t="n">
        <x:v>0.6370136189929797</x:v>
      </x:c>
      <x:c r="D259" s="11" t="n">
        <x:v>0.27293591948053053</x:v>
      </x:c>
      <x:c r="E259" s="11" t="n">
        <x:v>0.14251158491872362</x:v>
      </x:c>
      <x:c r="F259" s="11" t="n">
        <x:v>0.5065892844311728</x:v>
      </x:c>
      <x:c r="G259" s="11" t="n">
        <x:v>0.786630884721207</x:v>
      </x:c>
      <x:c r="H259" s="11" t="n">
        <x:v>0.8662648893456676</x:v>
      </x:c>
    </x:row>
    <x:row r="260" ht="22" customHeight="1">
      <x:c r="A260" s="17" t="str">
        <x:f>"06353000"</x:f>
        <x:v>06353000</x:v>
      </x:c>
      <x:c r="B260" s="11" t="n">
        <x:v>0.891553125749573</x:v>
      </x:c>
      <x:c r="C260" s="11" t="n">
        <x:v>0.9138705756749455</x:v>
      </x:c>
      <x:c r="D260" s="11" t="n">
        <x:v>-0.09097528181609804</x:v>
      </x:c>
      <x:c r="E260" s="11" t="n">
        <x:v>-0.022317449925372435</x:v>
      </x:c>
      <x:c r="F260" s="11" t="n">
        <x:v>0.9825284075656711</x:v>
      </x:c>
      <x:c r="G260" s="11" t="n">
        <x:v>0.9080989869400795</x:v>
      </x:c>
      <x:c r="H260" s="11" t="n">
        <x:v>0.9234153070392805</x:v>
      </x:c>
    </x:row>
    <x:row r="261" ht="22" customHeight="1">
      <x:c r="A261" s="17" t="str">
        <x:f>"06354000"</x:f>
        <x:v>06354000</x:v>
      </x:c>
      <x:c r="B261" s="11" t="n">
        <x:v>0.9133190859570748</x:v>
      </x:c>
      <x:c r="C261" s="11" t="n">
        <x:v>0.9135676702899224</x:v>
      </x:c>
      <x:c r="D261" s="11" t="n">
        <x:v>0.49707767780883116</x:v>
      </x:c>
      <x:c r="E261" s="11" t="n">
        <x:v>-0.00024858433284757897</x:v>
      </x:c>
      <x:c r="F261" s="11" t="n">
        <x:v>0.4162414081482436</x:v>
      </x:c>
      <x:c r="G261" s="11" t="n">
        <x:v>0.9045759916993408</x:v>
      </x:c>
      <x:c r="H261" s="11" t="n">
        <x:v>0.9234332079176111</x:v>
      </x:c>
    </x:row>
    <x:row r="262" ht="22" customHeight="1">
      <x:c r="A262" s="17" t="str">
        <x:f>"06360500"</x:f>
        <x:v>06360500</x:v>
      </x:c>
      <x:c r="B262" s="11" t="n">
        <x:v>0.7889653425164436</x:v>
      </x:c>
      <x:c r="C262" s="11" t="n">
        <x:v>0.8726052497667373</x:v>
      </x:c>
      <x:c r="D262" s="11" t="n">
        <x:v>0.1803831206975708</x:v>
      </x:c>
      <x:c r="E262" s="11" t="n">
        <x:v>-0.08363990725029369</x:v>
      </x:c>
      <x:c r="F262" s="11" t="n">
        <x:v>0.6085822218188728</x:v>
      </x:c>
      <x:c r="G262" s="11" t="n">
        <x:v>0.8002703251584249</x:v>
      </x:c>
      <x:c r="H262" s="11" t="n">
        <x:v>0.8467031484381563</x:v>
      </x:c>
    </x:row>
    <x:row r="263" ht="22" customHeight="1">
      <x:c r="A263" s="17" t="str">
        <x:f>"06404000"</x:f>
        <x:v>06404000</x:v>
      </x:c>
      <x:c r="B263" s="11" t="n">
        <x:v>0.7429703338875395</x:v>
      </x:c>
      <x:c r="C263" s="11" t="n">
        <x:v>0.5191121435287471</x:v>
      </x:c>
      <x:c r="D263" s="11" t="n">
        <x:v>0.4276408484106996</x:v>
      </x:c>
      <x:c r="E263" s="11" t="n">
        <x:v>0.2238581903587924</x:v>
      </x:c>
      <x:c r="F263" s="11" t="n">
        <x:v>0.3153294854768399</x:v>
      </x:c>
      <x:c r="G263" s="11" t="n">
        <x:v>0.6870980412707908</x:v>
      </x:c>
      <x:c r="H263" s="11" t="n">
        <x:v>0.7217928464924008</x:v>
      </x:c>
    </x:row>
    <x:row r="264" ht="22" customHeight="1">
      <x:c r="A264" s="17" t="str">
        <x:f>"06406000"</x:f>
        <x:v>06406000</x:v>
      </x:c>
      <x:c r="B264" s="11" t="n">
        <x:v>0.7431148032903678</x:v>
      </x:c>
      <x:c r="C264" s="11" t="n">
        <x:v>0.7674752504388818</x:v>
      </x:c>
      <x:c r="D264" s="11" t="n">
        <x:v>0.12820575429167647</x:v>
      </x:c>
      <x:c r="E264" s="11" t="n">
        <x:v>-0.02436044714851393</x:v>
      </x:c>
      <x:c r="F264" s="11" t="n">
        <x:v>0.6149090489986914</x:v>
      </x:c>
      <x:c r="G264" s="11" t="n">
        <x:v>0.6551562663619848</x:v>
      </x:c>
      <x:c r="H264" s="11" t="n">
        <x:v>0.6959021129158358</x:v>
      </x:c>
    </x:row>
    <x:row r="265" ht="22" customHeight="1">
      <x:c r="A265" s="17" t="str">
        <x:f>"06409000"</x:f>
        <x:v>06409000</x:v>
      </x:c>
      <x:c r="B265" s="11" t="n">
        <x:v>0.8398726086297152</x:v>
      </x:c>
      <x:c r="C265" s="11" t="n">
        <x:v>0.8375185181064431</x:v>
      </x:c>
      <x:c r="D265" s="11" t="n">
        <x:v>0.38837802459461956</x:v>
      </x:c>
      <x:c r="E265" s="11" t="n">
        <x:v>0.0023540905232721787</x:v>
      </x:c>
      <x:c r="F265" s="11" t="n">
        <x:v>0.4514945840350957</x:v>
      </x:c>
      <x:c r="G265" s="11" t="n">
        <x:v>0.7832635170104552</x:v>
      </x:c>
      <x:c r="H265" s="11" t="n">
        <x:v>0.8108227149626731</x:v>
      </x:c>
    </x:row>
    <x:row r="266" ht="22" customHeight="1">
      <x:c r="A266" s="17" t="str">
        <x:f>"06431500"</x:f>
        <x:v>06431500</x:v>
      </x:c>
      <x:c r="B266" s="11" t="n">
        <x:v>0.7324234655590138</x:v>
      </x:c>
      <x:c r="C266" s="11" t="n">
        <x:v>0.7482165034229468</x:v>
      </x:c>
      <x:c r="D266" s="11" t="n">
        <x:v>0.002813830979934817</x:v>
      </x:c>
      <x:c r="E266" s="11" t="n">
        <x:v>-0.015793037863932935</x:v>
      </x:c>
      <x:c r="F266" s="11" t="n">
        <x:v>0.729609634579079</x:v>
      </x:c>
      <x:c r="G266" s="11" t="n">
        <x:v>0.6556001855292567</x:v>
      </x:c>
      <x:c r="H266" s="11" t="n">
        <x:v>0.6503242236997279</x:v>
      </x:c>
    </x:row>
    <x:row r="267" ht="22" customHeight="1">
      <x:c r="A267" s="17" t="str">
        <x:f>"06447000"</x:f>
        <x:v>06447000</x:v>
      </x:c>
      <x:c r="B267" s="11" t="n">
        <x:v>0.6975495143771966</x:v>
      </x:c>
      <x:c r="C267" s="11" t="n">
        <x:v>0.693622958932463</x:v>
      </x:c>
      <x:c r="D267" s="11" t="n">
        <x:v>0.3844649769549304</x:v>
      </x:c>
      <x:c r="E267" s="11" t="n">
        <x:v>0.003926555444733637</x:v>
      </x:c>
      <x:c r="F267" s="11" t="n">
        <x:v>0.31308453742226616</x:v>
      </x:c>
      <x:c r="G267" s="11" t="n">
        <x:v>0.5186741075716492</x:v>
      </x:c>
      <x:c r="H267" s="11" t="n">
        <x:v>0.6073842173346666</x:v>
      </x:c>
    </x:row>
    <x:row r="268" ht="22" customHeight="1">
      <x:c r="A268" s="17" t="str">
        <x:f>"06447500"</x:f>
        <x:v>06447500</x:v>
      </x:c>
      <x:c r="B268" s="11" t="n">
        <x:v>0.8959443575951489</x:v>
      </x:c>
      <x:c r="C268" s="11" t="n">
        <x:v>0.8612486549553561</x:v>
      </x:c>
      <x:c r="D268" s="11" t="n">
        <x:v>0.4804266569493464</x:v>
      </x:c>
      <x:c r="E268" s="11" t="n">
        <x:v>0.034695702639792825</x:v>
      </x:c>
      <x:c r="F268" s="11" t="n">
        <x:v>0.4155177006458025</x:v>
      </x:c>
      <x:c r="G268" s="11" t="n">
        <x:v>0.8724897372779619</x:v>
      </x:c>
      <x:c r="H268" s="11" t="n">
        <x:v>0.8757264751554432</x:v>
      </x:c>
    </x:row>
    <x:row r="269" ht="22" customHeight="1">
      <x:c r="A269" s="17" t="str">
        <x:f>"06450500"</x:f>
        <x:v>06450500</x:v>
      </x:c>
      <x:c r="B269" s="11" t="n">
        <x:v>0.5956875214130961</x:v>
      </x:c>
      <x:c r="C269" s="11" t="n">
        <x:v>0.6501792141308114</x:v>
      </x:c>
      <x:c r="D269" s="11" t="n">
        <x:v>0.26895022469951035</x:v>
      </x:c>
      <x:c r="E269" s="11" t="n">
        <x:v>-0.05449169271771526</x:v>
      </x:c>
      <x:c r="F269" s="11" t="n">
        <x:v>0.32673729671358576</x:v>
      </x:c>
      <x:c r="G269" s="11" t="n">
        <x:v>0.5651508779499055</x:v>
      </x:c>
      <x:c r="H269" s="11" t="n">
        <x:v>0.6553712004294556</x:v>
      </x:c>
    </x:row>
    <x:row r="270" ht="22" customHeight="1">
      <x:c r="A270" s="17" t="str">
        <x:f>"06452000"</x:f>
        <x:v>06452000</x:v>
      </x:c>
      <x:c r="B270" s="11" t="n">
        <x:v>0.7602748163043032</x:v>
      </x:c>
      <x:c r="C270" s="11" t="n">
        <x:v>0.7792115238508385</x:v>
      </x:c>
      <x:c r="D270" s="11" t="n">
        <x:v>0.3979426782829478</x:v>
      </x:c>
      <x:c r="E270" s="11" t="n">
        <x:v>-0.018936707546535314</x:v>
      </x:c>
      <x:c r="F270" s="11" t="n">
        <x:v>0.36233213802135533</x:v>
      </x:c>
      <x:c r="G270" s="11" t="n">
        <x:v>0.766552252884096</x:v>
      </x:c>
      <x:c r="H270" s="11" t="n">
        <x:v>0.8008751677214477</x:v>
      </x:c>
    </x:row>
    <x:row r="271" ht="22" customHeight="1">
      <x:c r="A271" s="17" t="str">
        <x:f>"06453600"</x:f>
        <x:v>06453600</x:v>
      </x:c>
      <x:c r="B271" s="11" t="n">
        <x:v>0.6796165606567197</x:v>
      </x:c>
      <x:c r="C271" s="11" t="n">
        <x:v>0.6539913757567204</x:v>
      </x:c>
      <x:c r="D271" s="11" t="n">
        <x:v>0.29794357414109207</x:v>
      </x:c>
      <x:c r="E271" s="11" t="n">
        <x:v>0.02562518489999932</x:v>
      </x:c>
      <x:c r="F271" s="11" t="n">
        <x:v>0.38167298651562764</x:v>
      </x:c>
      <x:c r="G271" s="11" t="n">
        <x:v>0.7233216582809543</x:v>
      </x:c>
      <x:c r="H271" s="11" t="n">
        <x:v>0.7320152349363602</x:v>
      </x:c>
    </x:row>
    <x:row r="272" ht="22" customHeight="1">
      <x:c r="A272" s="17" t="str">
        <x:f>"06464500"</x:f>
        <x:v>06464500</x:v>
      </x:c>
      <x:c r="B272" s="11" t="n">
        <x:v>0.9608720949100238</x:v>
      </x:c>
      <x:c r="C272" s="11" t="n">
        <x:v>0.9604573561500257</x:v>
      </x:c>
      <x:c r="D272" s="11" t="n">
        <x:v>0.3230730260643485</x:v>
      </x:c>
      <x:c r="E272" s="11" t="n">
        <x:v>0.00041473875999809007</x:v>
      </x:c>
      <x:c r="F272" s="11" t="n">
        <x:v>0.6377990688456753</x:v>
      </x:c>
      <x:c r="G272" s="11" t="n">
        <x:v>0.9299595993846691</x:v>
      </x:c>
      <x:c r="H272" s="11" t="n">
        <x:v>0.948171148474585</x:v>
      </x:c>
    </x:row>
    <x:row r="273" ht="22" customHeight="1">
      <x:c r="A273" s="17" t="str">
        <x:f>"06468170"</x:f>
        <x:v>06468170</x:v>
      </x:c>
      <x:c r="B273" s="11" t="n">
        <x:v>0.8636842160669382</x:v>
      </x:c>
      <x:c r="C273" s="11" t="n">
        <x:v>0.9085128068282878</x:v>
      </x:c>
      <x:c r="D273" s="11" t="n">
        <x:v>0.234662159461691</x:v>
      </x:c>
      <x:c r="E273" s="11" t="n">
        <x:v>-0.044828590761349596</x:v>
      </x:c>
      <x:c r="F273" s="11" t="n">
        <x:v>0.6290220566052472</x:v>
      </x:c>
      <x:c r="G273" s="11" t="n">
        <x:v>0.9266866987377063</x:v>
      </x:c>
      <x:c r="H273" s="11" t="n">
        <x:v>0.9504692731609282</x:v>
      </x:c>
    </x:row>
    <x:row r="274" ht="22" customHeight="1">
      <x:c r="A274" s="17" t="str">
        <x:f>"06470800"</x:f>
        <x:v>06470800</x:v>
      </x:c>
      <x:c r="B274" s="11" t="n">
        <x:v>0.8628602761348023</x:v>
      </x:c>
      <x:c r="C274" s="11" t="n">
        <x:v>0.9155006005118557</x:v>
      </x:c>
      <x:c r="D274" s="11" t="n">
        <x:v>0.20443774065844456</x:v>
      </x:c>
      <x:c r="E274" s="11" t="n">
        <x:v>-0.05264032437705335</x:v>
      </x:c>
      <x:c r="F274" s="11" t="n">
        <x:v>0.6584225354763578</x:v>
      </x:c>
      <x:c r="G274" s="11" t="n">
        <x:v>0.9375988587589481</x:v>
      </x:c>
      <x:c r="H274" s="11" t="n">
        <x:v>0.9527519156207986</x:v>
      </x:c>
    </x:row>
    <x:row r="275" ht="22" customHeight="1">
      <x:c r="A275" s="17" t="str">
        <x:f>"06477500"</x:f>
        <x:v>06477500</x:v>
      </x:c>
      <x:c r="B275" s="11" t="n">
        <x:v>0.801656620373256</x:v>
      </x:c>
      <x:c r="C275" s="11" t="n">
        <x:v>0.8311850927635128</x:v>
      </x:c>
      <x:c r="D275" s="11" t="n">
        <x:v>0.3244746254833092</x:v>
      </x:c>
      <x:c r="E275" s="11" t="n">
        <x:v>-0.0295284723902568</x:v>
      </x:c>
      <x:c r="F275" s="11" t="n">
        <x:v>0.47718199488994684</x:v>
      </x:c>
      <x:c r="G275" s="11" t="n">
        <x:v>0.7485085119423758</x:v>
      </x:c>
      <x:c r="H275" s="11" t="n">
        <x:v>0.8057572978427148</x:v>
      </x:c>
    </x:row>
    <x:row r="276" ht="22" customHeight="1">
      <x:c r="A276" s="17" t="str">
        <x:f>"06479438"</x:f>
        <x:v>06479438</x:v>
      </x:c>
      <x:c r="B276" s="11" t="n">
        <x:v>0.8738483366267853</x:v>
      </x:c>
      <x:c r="C276" s="11" t="n">
        <x:v>0.7736029296687431</x:v>
      </x:c>
      <x:c r="D276" s="11" t="n">
        <x:v>0.34584879545456493</x:v>
      </x:c>
      <x:c r="E276" s="11" t="n">
        <x:v>0.10024540695804218</x:v>
      </x:c>
      <x:c r="F276" s="11" t="n">
        <x:v>0.5279995411722204</x:v>
      </x:c>
      <x:c r="G276" s="11" t="n">
        <x:v>0.8514926517602991</x:v>
      </x:c>
      <x:c r="H276" s="11" t="n">
        <x:v>0.8687687195275974</x:v>
      </x:c>
    </x:row>
    <x:row r="277" ht="22" customHeight="1">
      <x:c r="A277" s="17" t="str">
        <x:f>"06601000"</x:f>
        <x:v>06601000</x:v>
      </x:c>
      <x:c r="B277" s="11" t="n">
        <x:v>0.17939077802101333</x:v>
      </x:c>
      <x:c r="C277" s="11" t="n">
        <x:v>0.20333201597518302</x:v>
      </x:c>
      <x:c r="D277" s="11" t="n">
        <x:v>0.08623075398088642</x:v>
      </x:c>
      <x:c r="E277" s="11" t="n">
        <x:v>-0.023941237954169692</x:v>
      </x:c>
      <x:c r="F277" s="11" t="n">
        <x:v>0.09316002404012691</x:v>
      </x:c>
      <x:c r="G277" s="11" t="n">
        <x:v>-0.3986958882748086</x:v>
      </x:c>
      <x:c r="H277" s="11" t="n">
        <x:v>0.14689916774255107</x:v>
      </x:c>
    </x:row>
    <x:row r="278" ht="22" customHeight="1">
      <x:c r="A278" s="17" t="str">
        <x:f>"06614800"</x:f>
        <x:v>06614800</x:v>
      </x:c>
      <x:c r="B278" s="11" t="n">
        <x:v>0.9590829094588376</x:v>
      </x:c>
      <x:c r="C278" s="11" t="n">
        <x:v>0.959154882880061</x:v>
      </x:c>
      <x:c r="D278" s="11" t="n">
        <x:v>0.5791333741921485</x:v>
      </x:c>
      <x:c r="E278" s="11" t="n">
        <x:v>-0.00007197342122344796</x:v>
      </x:c>
      <x:c r="F278" s="11" t="n">
        <x:v>0.37994953526668906</x:v>
      </x:c>
      <x:c r="G278" s="11" t="n">
        <x:v>0.9507441488284534</x:v>
      </x:c>
      <x:c r="H278" s="11" t="n">
        <x:v>0.9486341549829921</x:v>
      </x:c>
    </x:row>
    <x:row r="279" ht="22" customHeight="1">
      <x:c r="A279" s="17" t="str">
        <x:f>"06622700"</x:f>
        <x:v>06622700</x:v>
      </x:c>
      <x:c r="B279" s="11" t="n">
        <x:v>0.9728569824047834</x:v>
      </x:c>
      <x:c r="C279" s="11" t="n">
        <x:v>0.977159800005148</x:v>
      </x:c>
      <x:c r="D279" s="11" t="n">
        <x:v>0.6302230559992047</x:v>
      </x:c>
      <x:c r="E279" s="11" t="n">
        <x:v>-0.004302817600364661</x:v>
      </x:c>
      <x:c r="F279" s="11" t="n">
        <x:v>0.34263392640557866</x:v>
      </x:c>
      <x:c r="G279" s="11" t="n">
        <x:v>0.9684531253884371</x:v>
      </x:c>
      <x:c r="H279" s="11" t="n">
        <x:v>0.9700106705234985</x:v>
      </x:c>
    </x:row>
    <x:row r="280" ht="22" customHeight="1">
      <x:c r="A280" s="17" t="str">
        <x:f>"06623800"</x:f>
        <x:v>06623800</x:v>
      </x:c>
      <x:c r="B280" s="11" t="n">
        <x:v>0.9736183594493937</x:v>
      </x:c>
      <x:c r="C280" s="11" t="n">
        <x:v>0.9870387701399393</x:v>
      </x:c>
      <x:c r="D280" s="11" t="n">
        <x:v>0.7644401201494113</x:v>
      </x:c>
      <x:c r="E280" s="11" t="n">
        <x:v>-0.01342041069054567</x:v>
      </x:c>
      <x:c r="F280" s="11" t="n">
        <x:v>0.20917823929998236</x:v>
      </x:c>
      <x:c r="G280" s="11" t="n">
        <x:v>0.9832702228389024</x:v>
      </x:c>
      <x:c r="H280" s="11" t="n">
        <x:v>0.9860864324067081</x:v>
      </x:c>
    </x:row>
    <x:row r="281" ht="22" customHeight="1">
      <x:c r="A281" s="17" t="str">
        <x:f>"06632400"</x:f>
        <x:v>06632400</x:v>
      </x:c>
      <x:c r="B281" s="11" t="n">
        <x:v>0.9735320581179518</x:v>
      </x:c>
      <x:c r="C281" s="11" t="n">
        <x:v>0.9800414868640915</x:v>
      </x:c>
      <x:c r="D281" s="11" t="n">
        <x:v>0.7535888961691748</x:v>
      </x:c>
      <x:c r="E281" s="11" t="n">
        <x:v>-0.006509428746139689</x:v>
      </x:c>
      <x:c r="F281" s="11" t="n">
        <x:v>0.21994316194877706</x:v>
      </x:c>
      <x:c r="G281" s="11" t="n">
        <x:v>0.9719692591320883</x:v>
      </x:c>
      <x:c r="H281" s="11" t="n">
        <x:v>0.9753389663018671</x:v>
      </x:c>
    </x:row>
    <x:row r="282" ht="22" customHeight="1">
      <x:c r="A282" s="17" t="str">
        <x:f>"06746095"</x:f>
        <x:v>06746095</x:v>
      </x:c>
      <x:c r="B282" s="11" t="n">
        <x:v>0.9861871068684179</x:v>
      </x:c>
      <x:c r="C282" s="11" t="n">
        <x:v>0.9858243782550615</x:v>
      </x:c>
      <x:c r="D282" s="11" t="n">
        <x:v>0.6144771029957523</x:v>
      </x:c>
      <x:c r="E282" s="11" t="n">
        <x:v>0.00036272861335640005</x:v>
      </x:c>
      <x:c r="F282" s="11" t="n">
        <x:v>0.3717100038726656</x:v>
      </x:c>
      <x:c r="G282" s="11" t="n">
        <x:v>0.9827740448374384</x:v>
      </x:c>
      <x:c r="H282" s="11" t="n">
        <x:v>0.9860907083952702</x:v>
      </x:c>
    </x:row>
    <x:row r="283" ht="22" customHeight="1">
      <x:c r="A283" s="17" t="str">
        <x:f>"06784000"</x:f>
        <x:v>06784000</x:v>
      </x:c>
      <x:c r="B283" s="11" t="n">
        <x:v>0.7856156319708384</x:v>
      </x:c>
      <x:c r="C283" s="11" t="n">
        <x:v>0.7241062072013909</x:v>
      </x:c>
      <x:c r="D283" s="11" t="n">
        <x:v>0.39472612258359996</x:v>
      </x:c>
      <x:c r="E283" s="11" t="n">
        <x:v>0.06150942476944754</x:v>
      </x:c>
      <x:c r="F283" s="11" t="n">
        <x:v>0.39088950938723843</x:v>
      </x:c>
      <x:c r="G283" s="11" t="n">
        <x:v>0.7684606494536012</x:v>
      </x:c>
      <x:c r="H283" s="11" t="n">
        <x:v>0.7748876259179356</x:v>
      </x:c>
    </x:row>
    <x:row r="284" ht="22" customHeight="1">
      <x:c r="A284" s="17" t="str">
        <x:f>"06803510"</x:f>
        <x:v>06803510</x:v>
      </x:c>
      <x:c r="B284" s="11" t="n">
        <x:v>0.07555252460583428</x:v>
      </x:c>
      <x:c r="C284" s="11" t="n">
        <x:v>-0.0018974400506281963</x:v>
      </x:c>
      <x:c r="D284" s="11" t="n">
        <x:v>0.04521897882079917</x:v>
      </x:c>
      <x:c r="E284" s="11" t="n">
        <x:v>0.07744996465646248</x:v>
      </x:c>
      <x:c r="F284" s="11" t="n">
        <x:v>0.03033354578503511</x:v>
      </x:c>
      <x:c r="G284" s="11" t="n">
        <x:v>-0.587800130607534</x:v>
      </x:c>
      <x:c r="H284" s="11" t="n">
        <x:v>-0.039927796892202494</x:v>
      </x:c>
    </x:row>
    <x:row r="285" ht="22" customHeight="1">
      <x:c r="A285" s="17" t="str">
        <x:f>"06803530"</x:f>
        <x:v>06803530</x:v>
      </x:c>
      <x:c r="B285" s="11" t="n">
        <x:v>0.186497534905111</x:v>
      </x:c>
      <x:c r="C285" s="11" t="n">
        <x:v>0.1284616534415246</x:v>
      </x:c>
      <x:c r="D285" s="11" t="n">
        <x:v>0.061325549985966066</x:v>
      </x:c>
      <x:c r="E285" s="11" t="n">
        <x:v>0.0580358814635864</x:v>
      </x:c>
      <x:c r="F285" s="11" t="n">
        <x:v>0.12517198491914494</x:v>
      </x:c>
      <x:c r="G285" s="11" t="n">
        <x:v>-0.4000022739097582</x:v>
      </x:c>
      <x:c r="H285" s="11" t="n">
        <x:v>0.08972534478227656</x:v>
      </x:c>
    </x:row>
    <x:row r="286" ht="22" customHeight="1">
      <x:c r="A286" s="17" t="str">
        <x:f>"06814000"</x:f>
        <x:v>06814000</x:v>
      </x:c>
      <x:c r="B286" s="11" t="n">
        <x:v>0.268900274968353</x:v>
      </x:c>
      <x:c r="C286" s="11" t="n">
        <x:v>0.23231206067867782</x:v>
      </x:c>
      <x:c r="D286" s="11" t="n">
        <x:v>0.1162515761067523</x:v>
      </x:c>
      <x:c r="E286" s="11" t="n">
        <x:v>0.03658821428967518</x:v>
      </x:c>
      <x:c r="F286" s="11" t="n">
        <x:v>0.1526486988616007</x:v>
      </x:c>
      <x:c r="G286" s="11" t="n">
        <x:v>0.04135809718515748</x:v>
      </x:c>
      <x:c r="H286" s="11" t="n">
        <x:v>0.2506092308272365</x:v>
      </x:c>
    </x:row>
    <x:row r="287" ht="22" customHeight="1">
      <x:c r="A287" s="17" t="str">
        <x:f>"06847900"</x:f>
        <x:v>06847900</x:v>
      </x:c>
      <x:c r="B287" s="11" t="n">
        <x:v>0.2143796727336863</x:v>
      </x:c>
      <x:c r="C287" s="11" t="n">
        <x:v>0.24200918620918677</x:v>
      </x:c>
      <x:c r="D287" s="11" t="n">
        <x:v>0.034133225459435534</x:v>
      </x:c>
      <x:c r="E287" s="11" t="n">
        <x:v>-0.027629513475500467</x:v>
      </x:c>
      <x:c r="F287" s="11" t="n">
        <x:v>0.18024644727425077</x:v>
      </x:c>
      <x:c r="G287" s="11" t="n">
        <x:v>0.006009905014639938</x:v>
      </x:c>
      <x:c r="H287" s="11" t="n">
        <x:v>0.25097840895416035</x:v>
      </x:c>
    </x:row>
    <x:row r="288" ht="22" customHeight="1">
      <x:c r="A288" s="17" t="str">
        <x:f>"06853800"</x:f>
        <x:v>06853800</x:v>
      </x:c>
      <x:c r="B288" s="11" t="n">
        <x:v>0.3019459548208451</x:v>
      </x:c>
      <x:c r="C288" s="11" t="n">
        <x:v>0.3878996975044715</x:v>
      </x:c>
      <x:c r="D288" s="11" t="n">
        <x:v>0.3024271029857928</x:v>
      </x:c>
      <x:c r="E288" s="11" t="n">
        <x:v>-0.08595374268362643</x:v>
      </x:c>
      <x:c r="F288" s="11" t="n">
        <x:v>-0.00048114816494770896</x:v>
      </x:c>
      <x:c r="G288" s="11" t="n">
        <x:v>0.09241309891306804</x:v>
      </x:c>
      <x:c r="H288" s="11" t="n">
        <x:v>0.34736154801887875</x:v>
      </x:c>
    </x:row>
    <x:row r="289" ht="22" customHeight="1">
      <x:c r="A289" s="17" t="str">
        <x:f>"06876700"</x:f>
        <x:v>06876700</x:v>
      </x:c>
      <x:c r="B289" s="11" t="n">
        <x:v>0.8405301720778277</x:v>
      </x:c>
      <x:c r="C289" s="11" t="n">
        <x:v>0.8850672535251977</x:v>
      </x:c>
      <x:c r="D289" s="11" t="n">
        <x:v>0.618740522499572</x:v>
      </x:c>
      <x:c r="E289" s="11" t="n">
        <x:v>-0.04453708144737001</x:v>
      </x:c>
      <x:c r="F289" s="11" t="n">
        <x:v>0.22178964957825564</x:v>
      </x:c>
      <x:c r="G289" s="11" t="n">
        <x:v>0.8537393248267554</x:v>
      </x:c>
      <x:c r="H289" s="11" t="n">
        <x:v>0.8699336470858818</x:v>
      </x:c>
    </x:row>
    <x:row r="290" ht="22" customHeight="1">
      <x:c r="A290" s="17" t="str">
        <x:f>"06878000"</x:f>
        <x:v>06878000</x:v>
      </x:c>
      <x:c r="B290" s="11" t="n">
        <x:v>0.4697608479575345</x:v>
      </x:c>
      <x:c r="C290" s="11" t="n">
        <x:v>0.4530235133780093</x:v>
      </x:c>
      <x:c r="D290" s="11" t="n">
        <x:v>0.37134227168849154</x:v>
      </x:c>
      <x:c r="E290" s="11" t="n">
        <x:v>0.016737334579525198</x:v>
      </x:c>
      <x:c r="F290" s="11" t="n">
        <x:v>0.09841857626904293</x:v>
      </x:c>
      <x:c r="G290" s="11" t="n">
        <x:v>0.22544323326638382</x:v>
      </x:c>
      <x:c r="H290" s="11" t="n">
        <x:v>0.4454436187611852</x:v>
      </x:c>
    </x:row>
    <x:row r="291" ht="22" customHeight="1">
      <x:c r="A291" s="17" t="str">
        <x:f>"06879650"</x:f>
        <x:v>06879650</x:v>
      </x:c>
      <x:c r="B291" s="11" t="n">
        <x:v>0.2132573500182311</x:v>
      </x:c>
      <x:c r="C291" s="11" t="n">
        <x:v>0.1916868731349003</x:v>
      </x:c>
      <x:c r="D291" s="11" t="n">
        <x:v>-0.01767390954077963</x:v>
      </x:c>
      <x:c r="E291" s="11" t="n">
        <x:v>0.021570476883330802</x:v>
      </x:c>
      <x:c r="F291" s="11" t="n">
        <x:v>0.23093125955901073</x:v>
      </x:c>
      <x:c r="G291" s="11" t="n">
        <x:v>-0.17531510388936145</x:v>
      </x:c>
      <x:c r="H291" s="11" t="n">
        <x:v>0.1771529904668082</x:v>
      </x:c>
    </x:row>
    <x:row r="292" ht="22" customHeight="1">
      <x:c r="A292" s="17" t="str">
        <x:f>"06885500"</x:f>
        <x:v>06885500</x:v>
      </x:c>
      <x:c r="B292" s="11" t="n">
        <x:v>0.31052440409340454</x:v>
      </x:c>
      <x:c r="C292" s="11" t="n">
        <x:v>0.2795090328207165</x:v>
      </x:c>
      <x:c r="D292" s="11" t="n">
        <x:v>0.20699814797623317</x:v>
      </x:c>
      <x:c r="E292" s="11" t="n">
        <x:v>0.031015371272688053</x:v>
      </x:c>
      <x:c r="F292" s="11" t="n">
        <x:v>0.10352625611717137</x:v>
      </x:c>
      <x:c r="G292" s="11" t="n">
        <x:v>0.2405268085625093</x:v>
      </x:c>
      <x:c r="H292" s="11" t="n">
        <x:v>0.37559629668870653</x:v>
      </x:c>
    </x:row>
    <x:row r="293" ht="22" customHeight="1">
      <x:c r="A293" s="17" t="str">
        <x:f>"06888500"</x:f>
        <x:v>06888500</x:v>
      </x:c>
      <x:c r="B293" s="11" t="n">
        <x:v>0.2977936310809427</x:v>
      </x:c>
      <x:c r="C293" s="11" t="n">
        <x:v>0.24820548144922416</x:v>
      </x:c>
      <x:c r="D293" s="11" t="n">
        <x:v>0.09423224884923087</x:v>
      </x:c>
      <x:c r="E293" s="11" t="n">
        <x:v>0.04958814963171854</x:v>
      </x:c>
      <x:c r="F293" s="11" t="n">
        <x:v>0.20356138223171183</x:v>
      </x:c>
      <x:c r="G293" s="11" t="n">
        <x:v>-0.0942980205884334</x:v>
      </x:c>
      <x:c r="H293" s="11" t="n">
        <x:v>0.20813093357560974</x:v>
      </x:c>
    </x:row>
    <x:row r="294" ht="22" customHeight="1">
      <x:c r="A294" s="17" t="str">
        <x:f>"06889200"</x:f>
        <x:v>06889200</x:v>
      </x:c>
      <x:c r="B294" s="11" t="n">
        <x:v>0.18443126596222204</x:v>
      </x:c>
      <x:c r="C294" s="11" t="n">
        <x:v>0.2204292065456409</x:v>
      </x:c>
      <x:c r="D294" s="11" t="n">
        <x:v>0.06417274992578315</x:v>
      </x:c>
      <x:c r="E294" s="11" t="n">
        <x:v>-0.035997940583418875</x:v>
      </x:c>
      <x:c r="F294" s="11" t="n">
        <x:v>0.12025851603643889</x:v>
      </x:c>
      <x:c r="G294" s="11" t="n">
        <x:v>-0.12986548206582849</x:v>
      </x:c>
      <x:c r="H294" s="11" t="n">
        <x:v>0.1957327897649762</x:v>
      </x:c>
    </x:row>
    <x:row r="295" ht="22" customHeight="1">
      <x:c r="A295" s="17" t="str">
        <x:f>"06889500"</x:f>
        <x:v>06889500</x:v>
      </x:c>
      <x:c r="B295" s="11" t="n">
        <x:v>0.12260991319305603</x:v>
      </x:c>
      <x:c r="C295" s="11" t="n">
        <x:v>0.15556817363025843</x:v>
      </x:c>
      <x:c r="D295" s="11" t="n">
        <x:v>-0.06808336205593246</x:v>
      </x:c>
      <x:c r="E295" s="11" t="n">
        <x:v>-0.0329582604372024</x:v>
      </x:c>
      <x:c r="F295" s="11" t="n">
        <x:v>0.1906932752489885</x:v>
      </x:c>
      <x:c r="G295" s="11" t="n">
        <x:v>-0.18097444398179463</x:v>
      </x:c>
      <x:c r="H295" s="11" t="n">
        <x:v>0.1590045461912052</x:v>
      </x:c>
    </x:row>
    <x:row r="296" ht="22" customHeight="1">
      <x:c r="A296" s="17" t="str">
        <x:f>"06892000"</x:f>
        <x:v>06892000</x:v>
      </x:c>
      <x:c r="B296" s="11" t="n">
        <x:v>0.6383899959091992</x:v>
      </x:c>
      <x:c r="C296" s="11" t="n">
        <x:v>0.5314569851585902</x:v>
      </x:c>
      <x:c r="D296" s="11" t="n">
        <x:v>0.3129237981066194</x:v>
      </x:c>
      <x:c r="E296" s="11" t="n">
        <x:v>0.10693301075060901</x:v>
      </x:c>
      <x:c r="F296" s="11" t="n">
        <x:v>0.3254661978025798</x:v>
      </x:c>
      <x:c r="G296" s="11" t="n">
        <x:v>0.5350200909097927</x:v>
      </x:c>
      <x:c r="H296" s="11" t="n">
        <x:v>0.6204226900681867</x:v>
      </x:c>
    </x:row>
    <x:row r="297" ht="22" customHeight="1">
      <x:c r="A297" s="17" t="str">
        <x:f>"06903400"</x:f>
        <x:v>06903400</x:v>
      </x:c>
      <x:c r="B297" s="11" t="n">
        <x:v>0.6182347498079088</x:v>
      </x:c>
      <x:c r="C297" s="11" t="n">
        <x:v>0.6456545405629524</x:v>
      </x:c>
      <x:c r="D297" s="11" t="n">
        <x:v>0.430885044427716</x:v>
      </x:c>
      <x:c r="E297" s="11" t="n">
        <x:v>-0.027419790755043527</x:v>
      </x:c>
      <x:c r="F297" s="11" t="n">
        <x:v>0.1873497053801928</x:v>
      </x:c>
      <x:c r="G297" s="11" t="n">
        <x:v>0.5445310695886179</x:v>
      </x:c>
      <x:c r="H297" s="11" t="n">
        <x:v>0.5827168741514208</x:v>
      </x:c>
    </x:row>
    <x:row r="298" ht="22" customHeight="1">
      <x:c r="A298" s="17" t="str">
        <x:f>"06910800"</x:f>
        <x:v>06910800</x:v>
      </x:c>
      <x:c r="B298" s="11" t="n">
        <x:v>0.1626631154381859</x:v>
      </x:c>
      <x:c r="C298" s="11" t="n">
        <x:v>0.20079037311301529</x:v>
      </x:c>
      <x:c r="D298" s="11" t="n">
        <x:v>0.006063166952070431</x:v>
      </x:c>
      <x:c r="E298" s="11" t="n">
        <x:v>-0.038127257674829385</x:v>
      </x:c>
      <x:c r="F298" s="11" t="n">
        <x:v>0.15659994848611547</x:v>
      </x:c>
      <x:c r="G298" s="11" t="n">
        <x:v>-0.19354929964391787</x:v>
      </x:c>
      <x:c r="H298" s="11" t="n">
        <x:v>0.15135673562514618</x:v>
      </x:c>
    </x:row>
    <x:row r="299" ht="22" customHeight="1">
      <x:c r="A299" s="17" t="str">
        <x:f>"06911900"</x:f>
        <x:v>06911900</x:v>
      </x:c>
      <x:c r="B299" s="11" t="n">
        <x:v>0.14371637459948416</x:v>
      </x:c>
      <x:c r="C299" s="11" t="n">
        <x:v>-0.3751349532989874</x:v>
      </x:c>
      <x:c r="D299" s="11" t="n">
        <x:v>-0.1036800275080898</x:v>
      </x:c>
      <x:c r="E299" s="11" t="n">
        <x:v>0.5188513278984715</x:v>
      </x:c>
      <x:c r="F299" s="11" t="n">
        <x:v>0.24739640210757396</x:v>
      </x:c>
      <x:c r="G299" s="11" t="n">
        <x:v>-0.38370352033471344</x:v>
      </x:c>
      <x:c r="H299" s="11" t="n">
        <x:v>0.10163696488611162</x:v>
      </x:c>
    </x:row>
    <x:row r="300" ht="22" customHeight="1">
      <x:c r="A300" s="17" t="str">
        <x:f>"06917000"</x:f>
        <x:v>06917000</x:v>
      </x:c>
      <x:c r="B300" s="11" t="n">
        <x:v>0.4598836421522199</x:v>
      </x:c>
      <x:c r="C300" s="11" t="n">
        <x:v>0.36069326358279197</x:v>
      </x:c>
      <x:c r="D300" s="11" t="n">
        <x:v>0.28222254430204763</x:v>
      </x:c>
      <x:c r="E300" s="11" t="n">
        <x:v>0.09919037856942792</x:v>
      </x:c>
      <x:c r="F300" s="11" t="n">
        <x:v>0.17766109785017226</x:v>
      </x:c>
      <x:c r="G300" s="11" t="n">
        <x:v>0.336776764363214</x:v>
      </x:c>
      <x:c r="H300" s="11" t="n">
        <x:v>0.46924811947562495</x:v>
      </x:c>
    </x:row>
    <x:row r="301" ht="22" customHeight="1">
      <x:c r="A301" s="17" t="str">
        <x:f>"06918460"</x:f>
        <x:v>06918460</x:v>
      </x:c>
      <x:c r="B301" s="11" t="n">
        <x:v>0.459364736788344</x:v>
      </x:c>
      <x:c r="C301" s="11" t="n">
        <x:v>0.4815819329510985</x:v>
      </x:c>
      <x:c r="D301" s="11" t="n">
        <x:v>0.4094569434712668</x:v>
      </x:c>
      <x:c r="E301" s="11" t="n">
        <x:v>-0.022217196162754527</x:v>
      </x:c>
      <x:c r="F301" s="11" t="n">
        <x:v>0.049907793317077176</x:v>
      </x:c>
      <x:c r="G301" s="11" t="n">
        <x:v>0.232532435734231</x:v>
      </x:c>
      <x:c r="H301" s="11" t="n">
        <x:v>0.401701775321498</x:v>
      </x:c>
    </x:row>
    <x:row r="302" ht="22" customHeight="1">
      <x:c r="A302" s="17" t="str">
        <x:f>"06919500"</x:f>
        <x:v>06919500</x:v>
      </x:c>
      <x:c r="B302" s="11" t="n">
        <x:v>0.6450525522608859</x:v>
      </x:c>
      <x:c r="C302" s="11" t="n">
        <x:v>0.6325323331571582</x:v>
      </x:c>
      <x:c r="D302" s="11" t="n">
        <x:v>0.5275234332440055</x:v>
      </x:c>
      <x:c r="E302" s="11" t="n">
        <x:v>0.012520219103727692</x:v>
      </x:c>
      <x:c r="F302" s="11" t="n">
        <x:v>0.11752911901688035</x:v>
      </x:c>
      <x:c r="G302" s="11" t="n">
        <x:v>0.5141371169395028</x:v>
      </x:c>
      <x:c r="H302" s="11" t="n">
        <x:v>0.6458697002792665</x:v>
      </x:c>
    </x:row>
    <x:row r="303" ht="22" customHeight="1">
      <x:c r="A303" s="17" t="str">
        <x:f>"06921070"</x:f>
        <x:v>06921070</x:v>
      </x:c>
      <x:c r="B303" s="11" t="n">
        <x:v>0.3217077677848853</x:v>
      </x:c>
      <x:c r="C303" s="11" t="n">
        <x:v>0.3152361191299732</x:v>
      </x:c>
      <x:c r="D303" s="11" t="n">
        <x:v>0.24025752050647242</x:v>
      </x:c>
      <x:c r="E303" s="11" t="n">
        <x:v>0.006471648654912121</x:v>
      </x:c>
      <x:c r="F303" s="11" t="n">
        <x:v>0.08145024727841288</x:v>
      </x:c>
      <x:c r="G303" s="11" t="n">
        <x:v>-0.014301883473495147</x:v>
      </x:c>
      <x:c r="H303" s="11" t="n">
        <x:v>0.24095746277839647</x:v>
      </x:c>
    </x:row>
    <x:row r="304" ht="22" customHeight="1">
      <x:c r="A304" s="17" t="str">
        <x:f>"06921200"</x:f>
        <x:v>06921200</x:v>
      </x:c>
      <x:c r="B304" s="11" t="n">
        <x:v>0.20938282381231033</x:v>
      </x:c>
      <x:c r="C304" s="11" t="n">
        <x:v>0.22610612613543668</x:v>
      </x:c>
      <x:c r="D304" s="11" t="n">
        <x:v>0.12941367956896255</x:v>
      </x:c>
      <x:c r="E304" s="11" t="n">
        <x:v>-0.016723302323126354</x:v>
      </x:c>
      <x:c r="F304" s="11" t="n">
        <x:v>0.07996914424334778</x:v>
      </x:c>
      <x:c r="G304" s="11" t="n">
        <x:v>-0.21384066501937227</x:v>
      </x:c>
      <x:c r="H304" s="11" t="n">
        <x:v>0.1585852970254662</x:v>
      </x:c>
    </x:row>
    <x:row r="305" ht="22" customHeight="1">
      <x:c r="A305" s="17" t="str">
        <x:f>"07014500"</x:f>
        <x:v>07014500</x:v>
      </x:c>
      <x:c r="B305" s="11" t="n">
        <x:v>0.7714128700111049</x:v>
      </x:c>
      <x:c r="C305" s="11" t="n">
        <x:v>0.7950886477220442</x:v>
      </x:c>
      <x:c r="D305" s="11" t="n">
        <x:v>0.6670923736441366</x:v>
      </x:c>
      <x:c r="E305" s="11" t="n">
        <x:v>-0.023675777710939316</x:v>
      </x:c>
      <x:c r="F305" s="11" t="n">
        <x:v>0.10432049636696827</x:v>
      </x:c>
      <x:c r="G305" s="11" t="n">
        <x:v>0.6187152515643133</x:v>
      </x:c>
      <x:c r="H305" s="11" t="n">
        <x:v>0.6727719389569159</x:v>
      </x:c>
    </x:row>
    <x:row r="306" ht="22" customHeight="1">
      <x:c r="A306" s="17" t="str">
        <x:f>"07056000"</x:f>
        <x:v>07056000</x:v>
      </x:c>
      <x:c r="B306" s="11" t="n">
        <x:v>0.5628613921712305</x:v>
      </x:c>
      <x:c r="C306" s="11" t="n">
        <x:v>0.378871820117623</x:v>
      </x:c>
      <x:c r="D306" s="11" t="n">
        <x:v>0.594891817848866</x:v>
      </x:c>
      <x:c r="E306" s="11" t="n">
        <x:v>0.18398957205360755</x:v>
      </x:c>
      <x:c r="F306" s="11" t="n">
        <x:v>-0.03203042567763548</x:v>
      </x:c>
      <x:c r="G306" s="11" t="n">
        <x:v>0.4332578838049985</x:v>
      </x:c>
      <x:c r="H306" s="11" t="n">
        <x:v>0.5189088289417421</x:v>
      </x:c>
    </x:row>
    <x:row r="307" ht="22" customHeight="1">
      <x:c r="A307" s="17" t="str">
        <x:f>"07057500"</x:f>
        <x:v>07057500</x:v>
      </x:c>
      <x:c r="B307" s="11" t="n">
        <x:v>0.49282440623768253</x:v>
      </x:c>
      <x:c r="C307" s="11" t="n">
        <x:v>0.44995878164461156</x:v>
      </x:c>
      <x:c r="D307" s="11" t="n">
        <x:v>0.3793647275967813</x:v>
      </x:c>
      <x:c r="E307" s="11" t="n">
        <x:v>0.04286562459307097</x:v>
      </x:c>
      <x:c r="F307" s="11" t="n">
        <x:v>0.11345967864090123</x:v>
      </x:c>
      <x:c r="G307" s="11" t="n">
        <x:v>0.5145412922719499</x:v>
      </x:c>
      <x:c r="H307" s="11" t="n">
        <x:v>0.49767275107697706</x:v>
      </x:c>
    </x:row>
    <x:row r="308" ht="22" customHeight="1">
      <x:c r="A308" s="17" t="str">
        <x:f>"07060710"</x:f>
        <x:v>07060710</x:v>
      </x:c>
      <x:c r="B308" s="11" t="n">
        <x:v>0.14618358055621972</x:v>
      </x:c>
      <x:c r="C308" s="11" t="n">
        <x:v>0.18907660300535323</x:v>
      </x:c>
      <x:c r="D308" s="11" t="n">
        <x:v>0.1130132731728889</x:v>
      </x:c>
      <x:c r="E308" s="11" t="n">
        <x:v>-0.04289302244913351</x:v>
      </x:c>
      <x:c r="F308" s="11" t="n">
        <x:v>0.03317030738333082</x:v>
      </x:c>
      <x:c r="G308" s="11" t="n">
        <x:v>-0.2938704534710308</x:v>
      </x:c>
      <x:c r="H308" s="11" t="n">
        <x:v>0.13299505743228235</x:v>
      </x:c>
    </x:row>
    <x:row r="309" ht="22" customHeight="1">
      <x:c r="A309" s="17" t="str">
        <x:f>"07066000"</x:f>
        <x:v>07066000</x:v>
      </x:c>
      <x:c r="B309" s="11" t="n">
        <x:v>0.5313325453987203</x:v>
      </x:c>
      <x:c r="C309" s="11" t="n">
        <x:v>0.4472530692138579</x:v>
      </x:c>
      <x:c r="D309" s="11" t="n">
        <x:v>0.45135708393162277</x:v>
      </x:c>
      <x:c r="E309" s="11" t="n">
        <x:v>0.08407947618486245</x:v>
      </x:c>
      <x:c r="F309" s="11" t="n">
        <x:v>0.07997546146709755</x:v>
      </x:c>
      <x:c r="G309" s="11" t="n">
        <x:v>0.5708236635281343</x:v>
      </x:c>
      <x:c r="H309" s="11" t="n">
        <x:v>0.5510240293862074</x:v>
      </x:c>
    </x:row>
    <x:row r="310" ht="22" customHeight="1">
      <x:c r="A310" s="17" t="str">
        <x:f>"07067000"</x:f>
        <x:v>07067000</x:v>
      </x:c>
      <x:c r="B310" s="11" t="n">
        <x:v>0.7719055100781811</x:v>
      </x:c>
      <x:c r="C310" s="11" t="n">
        <x:v>0.6851844712126942</x:v>
      </x:c>
      <x:c r="D310" s="11" t="n">
        <x:v>0.572568838197259</x:v>
      </x:c>
      <x:c r="E310" s="11" t="n">
        <x:v>0.08672103886548688</x:v>
      </x:c>
      <x:c r="F310" s="11" t="n">
        <x:v>0.19933667188092208</x:v>
      </x:c>
      <x:c r="G310" s="11" t="n">
        <x:v>0.7528603859392253</x:v>
      </x:c>
      <x:c r="H310" s="11" t="n">
        <x:v>0.7532239565536885</x:v>
      </x:c>
    </x:row>
    <x:row r="311" ht="22" customHeight="1">
      <x:c r="A311" s="17" t="str">
        <x:f>"07068000"</x:f>
        <x:v>07068000</x:v>
      </x:c>
      <x:c r="B311" s="11" t="n">
        <x:v>0.8430958749004969</x:v>
      </x:c>
      <x:c r="C311" s="11" t="n">
        <x:v>0.7970413208210592</x:v>
      </x:c>
      <x:c r="D311" s="11" t="n">
        <x:v>0.7788188263994912</x:v>
      </x:c>
      <x:c r="E311" s="11" t="n">
        <x:v>0.046054554079437704</x:v>
      </x:c>
      <x:c r="F311" s="11" t="n">
        <x:v>0.06427704850100568</x:v>
      </x:c>
      <x:c r="G311" s="11" t="n">
        <x:v>0.7791106743290723</x:v>
      </x:c>
      <x:c r="H311" s="11" t="n">
        <x:v>0.8078682187226506</x:v>
      </x:c>
    </x:row>
    <x:row r="312" ht="22" customHeight="1">
      <x:c r="A312" s="17" t="str">
        <x:f>"07071500"</x:f>
        <x:v>07071500</x:v>
      </x:c>
      <x:c r="B312" s="11" t="n">
        <x:v>0.5122387164457856</x:v>
      </x:c>
      <x:c r="C312" s="11" t="n">
        <x:v>0.4652768249333602</x:v>
      </x:c>
      <x:c r="D312" s="11" t="n">
        <x:v>0.4419602108839099</x:v>
      </x:c>
      <x:c r="E312" s="11" t="n">
        <x:v>0.04696189151242536</x:v>
      </x:c>
      <x:c r="F312" s="11" t="n">
        <x:v>0.07027850556187565</x:v>
      </x:c>
      <x:c r="G312" s="11" t="n">
        <x:v>0.5802099122131411</x:v>
      </x:c>
      <x:c r="H312" s="11" t="n">
        <x:v>0.5914875649517016</x:v>
      </x:c>
    </x:row>
    <x:row r="313" ht="22" customHeight="1">
      <x:c r="A313" s="17" t="str">
        <x:f>"07083000"</x:f>
        <x:v>07083000</x:v>
      </x:c>
      <x:c r="B313" s="11" t="n">
        <x:v>0.984821500313114</x:v>
      </x:c>
      <x:c r="C313" s="11" t="n">
        <x:v>0.9853529955141941</x:v>
      </x:c>
      <x:c r="D313" s="11" t="n">
        <x:v>0.7881838393998863</x:v>
      </x:c>
      <x:c r="E313" s="11" t="n">
        <x:v>-0.00053149520108009</x:v>
      </x:c>
      <x:c r="F313" s="11" t="n">
        <x:v>0.19663766091322765</x:v>
      </x:c>
      <x:c r="G313" s="11" t="n">
        <x:v>0.9772069245832996</x:v>
      </x:c>
      <x:c r="H313" s="11" t="n">
        <x:v>0.9835289135639556</x:v>
      </x:c>
    </x:row>
    <x:row r="314" ht="22" customHeight="1">
      <x:c r="A314" s="17" t="str">
        <x:f>"07142300"</x:f>
        <x:v>07142300</x:v>
      </x:c>
      <x:c r="B314" s="11" t="n">
        <x:v>0.5978813980020947</x:v>
      </x:c>
      <x:c r="C314" s="11" t="n">
        <x:v>0.7260899896087469</x:v>
      </x:c>
      <x:c r="D314" s="11" t="n">
        <x:v>-0.4308836710017869</x:v>
      </x:c>
      <x:c r="E314" s="11" t="n">
        <x:v>-0.1282085916066522</x:v>
      </x:c>
      <x:c r="F314" s="11" t="n">
        <x:v>1.0287650690038816</x:v>
      </x:c>
      <x:c r="G314" s="11" t="n">
        <x:v>0.6608231214237887</x:v>
      </x:c>
      <x:c r="H314" s="11" t="n">
        <x:v>0.6826804692548624</x:v>
      </x:c>
    </x:row>
    <x:row r="315" ht="22" customHeight="1">
      <x:c r="A315" s="17" t="str">
        <x:f>"07145700"</x:f>
        <x:v>07145700</x:v>
      </x:c>
      <x:c r="B315" s="11" t="n">
        <x:v>0.39691786938064</x:v>
      </x:c>
      <x:c r="C315" s="11" t="n">
        <x:v>0.28199284771222843</x:v>
      </x:c>
      <x:c r="D315" s="11" t="n">
        <x:v>-0.22366648426260194</x:v>
      </x:c>
      <x:c r="E315" s="11" t="n">
        <x:v>0.11492502166841156</x:v>
      </x:c>
      <x:c r="F315" s="11" t="n">
        <x:v>0.6205843536432419</x:v>
      </x:c>
      <x:c r="G315" s="11" t="n">
        <x:v>-0.02203365149280434</x:v>
      </x:c>
      <x:c r="H315" s="11" t="n">
        <x:v>0.26636273888129525</x:v>
      </x:c>
    </x:row>
    <x:row r="316" ht="22" customHeight="1">
      <x:c r="A316" s="17" t="str">
        <x:f>"07148400"</x:f>
        <x:v>07148400</x:v>
      </x:c>
      <x:c r="B316" s="11" t="n">
        <x:v>0.29520985700086955</x:v>
      </x:c>
      <x:c r="C316" s="11" t="n">
        <x:v>0.14885960702972267</x:v>
      </x:c>
      <x:c r="D316" s="11" t="n">
        <x:v>-0.45440695021964306</x:v>
      </x:c>
      <x:c r="E316" s="11" t="n">
        <x:v>0.14635024997114687</x:v>
      </x:c>
      <x:c r="F316" s="11" t="n">
        <x:v>0.7496168072205126</x:v>
      </x:c>
      <x:c r="G316" s="11" t="n">
        <x:v>0.23595488708180667</x:v>
      </x:c>
      <x:c r="H316" s="11" t="n">
        <x:v>0.33418327996083075</x:v>
      </x:c>
    </x:row>
    <x:row r="317" ht="22" customHeight="1">
      <x:c r="A317" s="17" t="str">
        <x:f>"07149000"</x:f>
        <x:v>07149000</x:v>
      </x:c>
      <x:c r="B317" s="11" t="n">
        <x:v>0.7403940692194256</x:v>
      </x:c>
      <x:c r="C317" s="11" t="n">
        <x:v>0.6839458898867419</x:v>
      </x:c>
      <x:c r="D317" s="11" t="n">
        <x:v>-1.3326076768593276</x:v>
      </x:c>
      <x:c r="E317" s="11" t="n">
        <x:v>0.05644817933268376</x:v>
      </x:c>
      <x:c r="F317" s="11" t="n">
        <x:v>2.073001746078753</x:v>
      </x:c>
      <x:c r="G317" s="11" t="n">
        <x:v>0.6168954961164637</x:v>
      </x:c>
      <x:c r="H317" s="11" t="n">
        <x:v>0.6596981813651831</x:v>
      </x:c>
    </x:row>
    <x:row r="318" ht="22" customHeight="1">
      <x:c r="A318" s="17" t="str">
        <x:f>"07151500"</x:f>
        <x:v>07151500</x:v>
      </x:c>
      <x:c r="B318" s="11" t="n">
        <x:v>0.32576844609458333</x:v>
      </x:c>
      <x:c r="C318" s="11" t="n">
        <x:v>0.12278667804092058</x:v>
      </x:c>
      <x:c r="D318" s="11" t="n">
        <x:v>-0.896014349407996</x:v>
      </x:c>
      <x:c r="E318" s="11" t="n">
        <x:v>0.20298176805366275</x:v>
      </x:c>
      <x:c r="F318" s="11" t="n">
        <x:v>1.2217827955025793</x:v>
      </x:c>
      <x:c r="G318" s="11" t="n">
        <x:v>-0.13968120123623584</x:v>
      </x:c>
      <x:c r="H318" s="11" t="n">
        <x:v>0.12724976508370123</x:v>
      </x:c>
    </x:row>
    <x:row r="319" ht="22" customHeight="1">
      <x:c r="A319" s="17" t="str">
        <x:f>"07167500"</x:f>
        <x:v>07167500</x:v>
      </x:c>
      <x:c r="B319" s="11" t="n">
        <x:v>0.06046731542094996</x:v>
      </x:c>
      <x:c r="C319" s="11" t="n">
        <x:v>-0.3283666961997296</x:v>
      </x:c>
      <x:c r="D319" s="11" t="n">
        <x:v>-1.4321716581777144</x:v>
      </x:c>
      <x:c r="E319" s="11" t="n">
        <x:v>0.38883401162067954</x:v>
      </x:c>
      <x:c r="F319" s="11" t="n">
        <x:v>1.4926389735986643</x:v>
      </x:c>
      <x:c r="G319" s="11" t="n">
        <x:v>-0.06884287662653099</x:v>
      </x:c>
      <x:c r="H319" s="11" t="n">
        <x:v>0.1828512513692192</x:v>
      </x:c>
    </x:row>
    <x:row r="320" ht="22" customHeight="1">
      <x:c r="A320" s="17" t="str">
        <x:f>"07180500"</x:f>
        <x:v>07180500</x:v>
      </x:c>
      <x:c r="B320" s="11" t="n">
        <x:v>0.18672595221471544</x:v>
      </x:c>
      <x:c r="C320" s="11" t="n">
        <x:v>0.24081084184048962</x:v>
      </x:c>
      <x:c r="D320" s="11" t="n">
        <x:v>0.0407869155585564</x:v>
      </x:c>
      <x:c r="E320" s="11" t="n">
        <x:v>-0.05408488962577418</x:v>
      </x:c>
      <x:c r="F320" s="11" t="n">
        <x:v>0.14593903665615904</x:v>
      </x:c>
      <x:c r="G320" s="11" t="n">
        <x:v>-0.3186696950339809</x:v>
      </x:c>
      <x:c r="H320" s="11" t="n">
        <x:v>0.14490087469747115</x:v>
      </x:c>
    </x:row>
    <x:row r="321" ht="22" customHeight="1">
      <x:c r="A321" s="17" t="str">
        <x:f>"07184000"</x:f>
        <x:v>07184000</x:v>
      </x:c>
      <x:c r="B321" s="11" t="n">
        <x:v>0.5742477927094813</x:v>
      </x:c>
      <x:c r="C321" s="11" t="n">
        <x:v>0.5857882086645629</x:v>
      </x:c>
      <x:c r="D321" s="11" t="n">
        <x:v>0.44787631285721974</x:v>
      </x:c>
      <x:c r="E321" s="11" t="n">
        <x:v>-0.011540415955081595</x:v>
      </x:c>
      <x:c r="F321" s="11" t="n">
        <x:v>0.1263714798522616</x:v>
      </x:c>
      <x:c r="G321" s="11" t="n">
        <x:v>0.25083248930787816</x:v>
      </x:c>
      <x:c r="H321" s="11" t="n">
        <x:v>0.40177827421018675</x:v>
      </x:c>
    </x:row>
    <x:row r="322" ht="22" customHeight="1">
      <x:c r="A322" s="17" t="str">
        <x:f>"07195800"</x:f>
        <x:v>07195800</x:v>
      </x:c>
      <x:c r="B322" s="11" t="n">
        <x:v>0.3815158777995523</x:v>
      </x:c>
      <x:c r="C322" s="11" t="n">
        <x:v>0.36496753315366715</x:v>
      </x:c>
      <x:c r="D322" s="11" t="n">
        <x:v>0.18267534562140164</x:v>
      </x:c>
      <x:c r="E322" s="11" t="n">
        <x:v>0.01654834464588517</x:v>
      </x:c>
      <x:c r="F322" s="11" t="n">
        <x:v>0.19884053217815068</x:v>
      </x:c>
      <x:c r="G322" s="11" t="n">
        <x:v>0.06551510070075506</x:v>
      </x:c>
      <x:c r="H322" s="11" t="n">
        <x:v>0.2853404414548256</x:v>
      </x:c>
    </x:row>
    <x:row r="323" ht="22" customHeight="1">
      <x:c r="A323" s="17" t="str">
        <x:f>"07196900"</x:f>
        <x:v>07196900</x:v>
      </x:c>
      <x:c r="B323" s="11" t="n">
        <x:v>0.212505005618439</x:v>
      </x:c>
      <x:c r="C323" s="11" t="n">
        <x:v>0.23124519030280755</x:v>
      </x:c>
      <x:c r="D323" s="11" t="n">
        <x:v>0.1005928928869072</x:v>
      </x:c>
      <x:c r="E323" s="11" t="n">
        <x:v>-0.018740184684368555</x:v>
      </x:c>
      <x:c r="F323" s="11" t="n">
        <x:v>0.11191211273153179</x:v>
      </x:c>
      <x:c r="G323" s="11" t="n">
        <x:v>0.019890769670666164</x:v>
      </x:c>
      <x:c r="H323" s="11" t="n">
        <x:v>0.2430583059467477</x:v>
      </x:c>
    </x:row>
    <x:row r="324" ht="22" customHeight="1">
      <x:c r="A324" s="17" t="str">
        <x:f>"07197000"</x:f>
        <x:v>07197000</x:v>
      </x:c>
      <x:c r="B324" s="11" t="n">
        <x:v>0.3111522838760291</x:v>
      </x:c>
      <x:c r="C324" s="11" t="n">
        <x:v>0.33403709218570865</x:v>
      </x:c>
      <x:c r="D324" s="11" t="n">
        <x:v>0.2509367490386727</x:v>
      </x:c>
      <x:c r="E324" s="11" t="n">
        <x:v>-0.02288480830967954</x:v>
      </x:c>
      <x:c r="F324" s="11" t="n">
        <x:v>0.06021553483735642</x:v>
      </x:c>
      <x:c r="G324" s="11" t="n">
        <x:v>0.1580791770894462</x:v>
      </x:c>
      <x:c r="H324" s="11" t="n">
        <x:v>0.339521720229666</x:v>
      </x:c>
    </x:row>
    <x:row r="325" ht="22" customHeight="1">
      <x:c r="A325" s="17" t="str">
        <x:f>"07208500"</x:f>
        <x:v>07208500</x:v>
      </x:c>
      <x:c r="B325" s="11" t="n">
        <x:v>0.8358136534191877</x:v>
      </x:c>
      <x:c r="C325" s="11" t="n">
        <x:v>0.8470184223385095</x:v>
      </x:c>
      <x:c r="D325" s="11" t="n">
        <x:v>0.45036858635675303</x:v>
      </x:c>
      <x:c r="E325" s="11" t="n">
        <x:v>-0.011204768919321872</x:v>
      </x:c>
      <x:c r="F325" s="11" t="n">
        <x:v>0.38544506706243464</x:v>
      </x:c>
      <x:c r="G325" s="11" t="n">
        <x:v>0.8141619721870177</x:v>
      </x:c>
      <x:c r="H325" s="11" t="n">
        <x:v>0.8149454098155069</x:v>
      </x:c>
    </x:row>
    <x:row r="326" ht="22" customHeight="1">
      <x:c r="A326" s="17" t="str">
        <x:f>"07261000"</x:f>
        <x:v>07261000</x:v>
      </x:c>
      <x:c r="B326" s="11" t="n">
        <x:v>0.400935621405221</x:v>
      </x:c>
      <x:c r="C326" s="11" t="n">
        <x:v>0.4262130479029683</x:v>
      </x:c>
      <x:c r="D326" s="11" t="n">
        <x:v>0.3087884873136628</x:v>
      </x:c>
      <x:c r="E326" s="11" t="n">
        <x:v>-0.025277426497747335</x:v>
      </x:c>
      <x:c r="F326" s="11" t="n">
        <x:v>0.09214713409155817</x:v>
      </x:c>
      <x:c r="G326" s="11" t="n">
        <x:v>0.1424745237534223</x:v>
      </x:c>
      <x:c r="H326" s="11" t="n">
        <x:v>0.33690612803781006</x:v>
      </x:c>
    </x:row>
    <x:row r="327" ht="22" customHeight="1">
      <x:c r="A327" s="17" t="str">
        <x:f>"07291000"</x:f>
        <x:v>07291000</x:v>
      </x:c>
      <x:c r="B327" s="11" t="n">
        <x:v>0.12651101735806658</x:v>
      </x:c>
      <x:c r="C327" s="11" t="n">
        <x:v>0.15147932043005508</x:v>
      </x:c>
      <x:c r="D327" s="11" t="n">
        <x:v>0.1118496685265934</x:v>
      </x:c>
      <x:c r="E327" s="11" t="n">
        <x:v>-0.024968303071988496</x:v>
      </x:c>
      <x:c r="F327" s="11" t="n">
        <x:v>0.014661348831473187</x:v>
      </x:c>
      <x:c r="G327" s="11" t="n">
        <x:v>-0.3740655312611154</x:v>
      </x:c>
      <x:c r="H327" s="11" t="n">
        <x:v>0.09641435956835265</x:v>
      </x:c>
    </x:row>
    <x:row r="328" ht="22" customHeight="1">
      <x:c r="A328" s="17" t="str">
        <x:f>"07292500"</x:f>
        <x:v>07292500</x:v>
      </x:c>
      <x:c r="B328" s="11" t="n">
        <x:v>0.2962083598195965</x:v>
      </x:c>
      <x:c r="C328" s="11" t="n">
        <x:v>0.30163240680332704</x:v>
      </x:c>
      <x:c r="D328" s="11" t="n">
        <x:v>0.21586721331701197</x:v>
      </x:c>
      <x:c r="E328" s="11" t="n">
        <x:v>-0.005424046983730557</x:v>
      </x:c>
      <x:c r="F328" s="11" t="n">
        <x:v>0.0803411465025845</x:v>
      </x:c>
      <x:c r="G328" s="11" t="n">
        <x:v>0.0035123371588047236</x:v>
      </x:c>
      <x:c r="H328" s="11" t="n">
        <x:v>0.27251492086278395</x:v>
      </x:c>
    </x:row>
    <x:row r="329" ht="22" customHeight="1">
      <x:c r="A329" s="17" t="str">
        <x:f>"07299670"</x:f>
        <x:v>07299670</x:v>
      </x:c>
      <x:c r="B329" s="11" t="n">
        <x:v>0.14149277839475827</x:v>
      </x:c>
      <x:c r="C329" s="11" t="n">
        <x:v>-0.10780090837226575</x:v>
      </x:c>
      <x:c r="D329" s="11" t="n">
        <x:v>0.1267381660133695</x:v>
      </x:c>
      <x:c r="E329" s="11" t="n">
        <x:v>0.24929368676702401</x:v>
      </x:c>
      <x:c r="F329" s="11" t="n">
        <x:v>0.014754612381388754</x:v>
      </x:c>
      <x:c r="G329" s="11" t="n">
        <x:v>-0.21197884550204593</x:v>
      </x:c>
      <x:c r="H329" s="11" t="n">
        <x:v>0.14349877156683422</x:v>
      </x:c>
    </x:row>
    <x:row r="330" ht="22" customHeight="1">
      <x:c r="A330" s="17" t="str">
        <x:f>"07301410"</x:f>
        <x:v>07301410</x:v>
      </x:c>
      <x:c r="B330" s="11" t="n">
        <x:v>0.45792990553455526</x:v>
      </x:c>
      <x:c r="C330" s="11" t="n">
        <x:v>0.36494519609234066</x:v>
      </x:c>
      <x:c r="D330" s="11" t="n">
        <x:v>-0.2686384379443332</x:v>
      </x:c>
      <x:c r="E330" s="11" t="n">
        <x:v>0.0929847094422146</x:v>
      </x:c>
      <x:c r="F330" s="11" t="n">
        <x:v>0.7265683434788884</x:v>
      </x:c>
      <x:c r="G330" s="11" t="n">
        <x:v>0.282833608049064</x:v>
      </x:c>
      <x:c r="H330" s="11" t="n">
        <x:v>0.39403894235178205</x:v>
      </x:c>
    </x:row>
    <x:row r="331" ht="22" customHeight="1">
      <x:c r="A331" s="17" t="str">
        <x:f>"07301500"</x:f>
        <x:v>07301500</x:v>
      </x:c>
      <x:c r="B331" s="11" t="n">
        <x:v>0.5381577189846039</x:v>
      </x:c>
      <x:c r="C331" s="11" t="n">
        <x:v>0.47911592134922554</x:v>
      </x:c>
      <x:c r="D331" s="11" t="n">
        <x:v>-0.138970253562388</x:v>
      </x:c>
      <x:c r="E331" s="11" t="n">
        <x:v>0.05904179763537831</x:v>
      </x:c>
      <x:c r="F331" s="11" t="n">
        <x:v>0.6771279725469919</x:v>
      </x:c>
      <x:c r="G331" s="11" t="n">
        <x:v>0.5504018465632339</x:v>
      </x:c>
      <x:c r="H331" s="11" t="n">
        <x:v>0.5240304580807775</x:v>
      </x:c>
    </x:row>
    <x:row r="332" ht="22" customHeight="1">
      <x:c r="A332" s="17" t="str">
        <x:f>"07315200"</x:f>
        <x:v>07315200</x:v>
      </x:c>
      <x:c r="B332" s="11" t="n">
        <x:v>0.6095822782518432</x:v>
      </x:c>
      <x:c r="C332" s="11" t="n">
        <x:v>0.5987590290173614</x:v>
      </x:c>
      <x:c r="D332" s="11" t="n">
        <x:v>0.10709942076195555</x:v>
      </x:c>
      <x:c r="E332" s="11" t="n">
        <x:v>0.010823249234481747</x:v>
      </x:c>
      <x:c r="F332" s="11" t="n">
        <x:v>0.5024828574898876</x:v>
      </x:c>
      <x:c r="G332" s="11" t="n">
        <x:v>0.36771094157455597</x:v>
      </x:c>
      <x:c r="H332" s="11" t="n">
        <x:v>0.4782540019033662</x:v>
      </x:c>
    </x:row>
    <x:row r="333" ht="22" customHeight="1">
      <x:c r="A333" s="17" t="str">
        <x:f>"07315700"</x:f>
        <x:v>07315700</x:v>
      </x:c>
      <x:c r="B333" s="11" t="n">
        <x:v>0.11077563638014787</x:v>
      </x:c>
      <x:c r="C333" s="11" t="n">
        <x:v>0.09947382699942875</x:v>
      </x:c>
      <x:c r="D333" s="11" t="n">
        <x:v>-0.15833050265393966</x:v>
      </x:c>
      <x:c r="E333" s="11" t="n">
        <x:v>0.011301809380719119</x:v>
      </x:c>
      <x:c r="F333" s="11" t="n">
        <x:v>0.26910613903408753</x:v>
      </x:c>
      <x:c r="G333" s="11" t="n">
        <x:v>0.30317672315130906</x:v>
      </x:c>
      <x:c r="H333" s="11" t="n">
        <x:v>0.407298772535861</x:v>
      </x:c>
    </x:row>
    <x:row r="334" ht="22" customHeight="1">
      <x:c r="A334" s="17" t="str">
        <x:f>"07335700"</x:f>
        <x:v>07335700</x:v>
      </x:c>
      <x:c r="B334" s="11" t="n">
        <x:v>0.25979443597674134</x:v>
      </x:c>
      <x:c r="C334" s="11" t="n">
        <x:v>0.2395866967825192</x:v>
      </x:c>
      <x:c r="D334" s="11" t="n">
        <x:v>0.13229910960724056</x:v>
      </x:c>
      <x:c r="E334" s="11" t="n">
        <x:v>0.02020773919422214</x:v>
      </x:c>
      <x:c r="F334" s="11" t="n">
        <x:v>0.12749532636950078</x:v>
      </x:c>
      <x:c r="G334" s="11" t="n">
        <x:v>-0.01918863511953317</x:v>
      </x:c>
      <x:c r="H334" s="11" t="n">
        <x:v>0.24617816834094752</x:v>
      </x:c>
    </x:row>
    <x:row r="335" ht="22" customHeight="1">
      <x:c r="A335" s="17" t="str">
        <x:f>"07340300"</x:f>
        <x:v>07340300</x:v>
      </x:c>
      <x:c r="B335" s="11" t="n">
        <x:v>0.32229019264497916</x:v>
      </x:c>
      <x:c r="C335" s="11" t="n">
        <x:v>0.33878390088896027</x:v>
      </x:c>
      <x:c r="D335" s="11" t="n">
        <x:v>0.18852477939347478</x:v>
      </x:c>
      <x:c r="E335" s="11" t="n">
        <x:v>-0.01649370824398111</x:v>
      </x:c>
      <x:c r="F335" s="11" t="n">
        <x:v>0.13376541325150437</x:v>
      </x:c>
      <x:c r="G335" s="11" t="n">
        <x:v>0.06149656503588119</x:v>
      </x:c>
      <x:c r="H335" s="11" t="n">
        <x:v>0.27657590084014017</x:v>
      </x:c>
    </x:row>
    <x:row r="336" ht="22" customHeight="1">
      <x:c r="A336" s="17" t="str">
        <x:f>"07346045"</x:f>
        <x:v>07346045</x:v>
      </x:c>
      <x:c r="B336" s="11" t="n">
        <x:v>0.920981565465709</x:v>
      </x:c>
      <x:c r="C336" s="11" t="n">
        <x:v>0.9628561203961998</x:v>
      </x:c>
      <x:c r="D336" s="11" t="n">
        <x:v>0.48249338469348846</x:v>
      </x:c>
      <x:c r="E336" s="11" t="n">
        <x:v>-0.04187455493049086</x:v>
      </x:c>
      <x:c r="F336" s="11" t="n">
        <x:v>0.4384881807722205</x:v>
      </x:c>
      <x:c r="G336" s="11" t="n">
        <x:v>0.8765397880801574</x:v>
      </x:c>
      <x:c r="H336" s="11" t="n">
        <x:v>0.9442657621020497</x:v>
      </x:c>
    </x:row>
    <x:row r="337" ht="22" customHeight="1">
      <x:c r="A337" s="17" t="str">
        <x:f>"07362100"</x:f>
        <x:v>07362100</x:v>
      </x:c>
      <x:c r="B337" s="11" t="n">
        <x:v>0.792737250125075</x:v>
      </x:c>
      <x:c r="C337" s="11" t="n">
        <x:v>0.8237816369926494</x:v>
      </x:c>
      <x:c r="D337" s="11" t="n">
        <x:v>0.5647464980064831</x:v>
      </x:c>
      <x:c r="E337" s="11" t="n">
        <x:v>-0.03104438686757438</x:v>
      </x:c>
      <x:c r="F337" s="11" t="n">
        <x:v>0.22799075211859188</x:v>
      </x:c>
      <x:c r="G337" s="11" t="n">
        <x:v>0.5545089996085864</x:v>
      </x:c>
      <x:c r="H337" s="11" t="n">
        <x:v>0.6900727712559462</x:v>
      </x:c>
    </x:row>
    <x:row r="338" ht="22" customHeight="1">
      <x:c r="A338" s="17" t="str">
        <x:f>"07373000"</x:f>
        <x:v>07373000</x:v>
      </x:c>
      <x:c r="B338" s="11" t="n">
        <x:v>0.3268340785445305</x:v>
      </x:c>
      <x:c r="C338" s="11" t="n">
        <x:v>0.32614086590339997</x:v>
      </x:c>
      <x:c r="D338" s="11" t="n">
        <x:v>0.3359429189152393</x:v>
      </x:c>
      <x:c r="E338" s="11" t="n">
        <x:v>0.0006932126411305362</x:v>
      </x:c>
      <x:c r="F338" s="11" t="n">
        <x:v>-0.009108840370708804</x:v>
      </x:c>
      <x:c r="G338" s="11" t="n">
        <x:v>-0.1090838947231505</x:v>
      </x:c>
      <x:c r="H338" s="11" t="n">
        <x:v>0.1956005269904354</x:v>
      </x:c>
    </x:row>
    <x:row r="339" ht="22" customHeight="1">
      <x:c r="A339" s="17" t="str">
        <x:f>"07375000"</x:f>
        <x:v>07375000</x:v>
      </x:c>
      <x:c r="B339" s="11" t="n">
        <x:v>0.7748955320069084</x:v>
      </x:c>
      <x:c r="C339" s="11" t="n">
        <x:v>0.7520743132868836</x:v>
      </x:c>
      <x:c r="D339" s="11" t="n">
        <x:v>0.5533414384852735</x:v>
      </x:c>
      <x:c r="E339" s="11" t="n">
        <x:v>0.02282121872002485</x:v>
      </x:c>
      <x:c r="F339" s="11" t="n">
        <x:v>0.2215540935216349</x:v>
      </x:c>
      <x:c r="G339" s="11" t="n">
        <x:v>0.5592252984868349</x:v>
      </x:c>
      <x:c r="H339" s="11" t="n">
        <x:v>0.6374159511106771</x:v>
      </x:c>
    </x:row>
    <x:row r="340" ht="22" customHeight="1">
      <x:c r="A340" s="17" t="str">
        <x:f>"08013000"</x:f>
        <x:v>08013000</x:v>
      </x:c>
      <x:c r="B340" s="11" t="n">
        <x:v>0.7880039018202716</x:v>
      </x:c>
      <x:c r="C340" s="11" t="n">
        <x:v>0.8074455771423428</x:v>
      </x:c>
      <x:c r="D340" s="11" t="n">
        <x:v>0.666117021652887</x:v>
      </x:c>
      <x:c r="E340" s="11" t="n">
        <x:v>-0.019441675322071195</x:v>
      </x:c>
      <x:c r="F340" s="11" t="n">
        <x:v>0.12188688016738458</x:v>
      </x:c>
      <x:c r="G340" s="11" t="n">
        <x:v>0.6939888064848031</x:v>
      </x:c>
      <x:c r="H340" s="11" t="n">
        <x:v>0.7139128556047065</x:v>
      </x:c>
    </x:row>
    <x:row r="341" ht="22" customHeight="1">
      <x:c r="A341" s="17" t="str">
        <x:f>"08014500"</x:f>
        <x:v>08014500</x:v>
      </x:c>
      <x:c r="B341" s="11" t="n">
        <x:v>0.9398316269640107</x:v>
      </x:c>
      <x:c r="C341" s="11" t="n">
        <x:v>0.9208026227091175</x:v>
      </x:c>
      <x:c r="D341" s="11" t="n">
        <x:v>0.7457564017892624</x:v>
      </x:c>
      <x:c r="E341" s="11" t="n">
        <x:v>0.019029004254893178</x:v>
      </x:c>
      <x:c r="F341" s="11" t="n">
        <x:v>0.1940752251747483</x:v>
      </x:c>
      <x:c r="G341" s="11" t="n">
        <x:v>0.7817715655813618</x:v>
      </x:c>
      <x:c r="H341" s="11" t="n">
        <x:v>0.8326757804333438</x:v>
      </x:c>
    </x:row>
    <x:row r="342" ht="22" customHeight="1">
      <x:c r="A342" s="17" t="str">
        <x:f>"08023080"</x:f>
        <x:v>08023080</x:v>
      </x:c>
      <x:c r="B342" s="11" t="n">
        <x:v>0.5594529785565909</x:v>
      </x:c>
      <x:c r="C342" s="11" t="n">
        <x:v>0.5202879156979853</x:v>
      </x:c>
      <x:c r="D342" s="11" t="n">
        <x:v>0.28717873164832997</x:v>
      </x:c>
      <x:c r="E342" s="11" t="n">
        <x:v>0.03916506285860566</x:v>
      </x:c>
      <x:c r="F342" s="11" t="n">
        <x:v>0.27227424690826096</x:v>
      </x:c>
      <x:c r="G342" s="11" t="n">
        <x:v>0.25152664771779987</x:v>
      </x:c>
      <x:c r="H342" s="11" t="n">
        <x:v>0.4314006726255579</x:v>
      </x:c>
    </x:row>
    <x:row r="343" ht="22" customHeight="1">
      <x:c r="A343" s="17" t="str">
        <x:f>"08029500"</x:f>
        <x:v>08029500</x:v>
      </x:c>
      <x:c r="B343" s="11" t="n">
        <x:v>0.4306908580653164</x:v>
      </x:c>
      <x:c r="C343" s="11" t="n">
        <x:v>0.2701745463886963</x:v>
      </x:c>
      <x:c r="D343" s="11" t="n">
        <x:v>0.14137349228786245</x:v>
      </x:c>
      <x:c r="E343" s="11" t="n">
        <x:v>0.16051631167662006</x:v>
      </x:c>
      <x:c r="F343" s="11" t="n">
        <x:v>0.2893173657774539</x:v>
      </x:c>
      <x:c r="G343" s="11" t="n">
        <x:v>0.11086832651453082</x:v>
      </x:c>
      <x:c r="H343" s="11" t="n">
        <x:v>0.3214126799177134</x:v>
      </x:c>
    </x:row>
    <x:row r="344" ht="22" customHeight="1">
      <x:c r="A344" s="17" t="str">
        <x:f>"08066200"</x:f>
        <x:v>08066200</x:v>
      </x:c>
      <x:c r="B344" s="11" t="n">
        <x:v>0.21907039007972917</x:v>
      </x:c>
      <x:c r="C344" s="11" t="n">
        <x:v>0.1658810996581751</x:v>
      </x:c>
      <x:c r="D344" s="11" t="n">
        <x:v>0.021861874672490123</x:v>
      </x:c>
      <x:c r="E344" s="11" t="n">
        <x:v>0.05318929042155407</x:v>
      </x:c>
      <x:c r="F344" s="11" t="n">
        <x:v>0.19720851540723905</x:v>
      </x:c>
      <x:c r="G344" s="11" t="n">
        <x:v>-0.2964927585497883</x:v>
      </x:c>
      <x:c r="H344" s="11" t="n">
        <x:v>0.11166186374933196</x:v>
      </x:c>
    </x:row>
    <x:row r="345" ht="22" customHeight="1">
      <x:c r="A345" s="17" t="str">
        <x:f>"08066300"</x:f>
        <x:v>08066300</x:v>
      </x:c>
      <x:c r="B345" s="11" t="n">
        <x:v>0.5639336066877647</x:v>
      </x:c>
      <x:c r="C345" s="11" t="n">
        <x:v>0.02719969193831273</x:v>
      </x:c>
      <x:c r="D345" s="11" t="n">
        <x:v>-0.20239049449037116</x:v>
      </x:c>
      <x:c r="E345" s="11" t="n">
        <x:v>0.536733914749452</x:v>
      </x:c>
      <x:c r="F345" s="11" t="n">
        <x:v>0.7663241011781359</x:v>
      </x:c>
      <x:c r="G345" s="11" t="n">
        <x:v>0.5241294096807694</x:v>
      </x:c>
      <x:c r="H345" s="11" t="n">
        <x:v>0.49612265890389007</x:v>
      </x:c>
    </x:row>
    <x:row r="346" ht="22" customHeight="1">
      <x:c r="A346" s="17" t="str">
        <x:f>"08070000"</x:f>
        <x:v>08070000</x:v>
      </x:c>
      <x:c r="B346" s="11" t="n">
        <x:v>0.8001182062577783</x:v>
      </x:c>
      <x:c r="C346" s="11" t="n">
        <x:v>0.8108274133485158</x:v>
      </x:c>
      <x:c r="D346" s="11" t="n">
        <x:v>-0.18210507021110733</x:v>
      </x:c>
      <x:c r="E346" s="11" t="n">
        <x:v>-0.010709207090737527</x:v>
      </x:c>
      <x:c r="F346" s="11" t="n">
        <x:v>0.9822232764688856</x:v>
      </x:c>
      <x:c r="G346" s="11" t="n">
        <x:v>0.6760348975001441</x:v>
      </x:c>
      <x:c r="H346" s="11" t="n">
        <x:v>0.7100151689112919</x:v>
      </x:c>
    </x:row>
    <x:row r="347" ht="22" customHeight="1">
      <x:c r="A347" s="17" t="str">
        <x:f>"08079600"</x:f>
        <x:v>08079600</x:v>
      </x:c>
      <x:c r="B347" s="11" t="n">
        <x:v>0.07704222894405799</x:v>
      </x:c>
      <x:c r="C347" s="11" t="n">
        <x:v>0.03524114277454926</x:v>
      </x:c>
      <x:c r="D347" s="11" t="n">
        <x:v>0.05012571862265791</x:v>
      </x:c>
      <x:c r="E347" s="11" t="n">
        <x:v>0.04180108616950873</x:v>
      </x:c>
      <x:c r="F347" s="11" t="n">
        <x:v>0.026916510321400078</x:v>
      </x:c>
      <x:c r="G347" s="11" t="n">
        <x:v>-0.4507391042698272</x:v>
      </x:c>
      <x:c r="H347" s="11" t="n">
        <x:v>0.07625717032743928</x:v>
      </x:c>
    </x:row>
    <x:row r="348" ht="22" customHeight="1">
      <x:c r="A348" s="17" t="str">
        <x:f>"08082700"</x:f>
        <x:v>08082700</x:v>
      </x:c>
      <x:c r="B348" s="11" t="n">
        <x:v>-0.39450320531758143</x:v>
      </x:c>
      <x:c r="C348" s="11" t="n">
        <x:v>-0.9533753048743809</x:v>
      </x:c>
      <x:c r="D348" s="11" t="n">
        <x:v>-1.710877071327399</x:v>
      </x:c>
      <x:c r="E348" s="11" t="n">
        <x:v>0.5588720995567995</x:v>
      </x:c>
      <x:c r="F348" s="11" t="n">
        <x:v>1.3163738660098177</x:v>
      </x:c>
      <x:c r="G348" s="11" t="n">
        <x:v>0.23394720958787174</x:v>
      </x:c>
      <x:c r="H348" s="11" t="n">
        <x:v>0.331511479376433</x:v>
      </x:c>
    </x:row>
    <x:row r="349" ht="22" customHeight="1">
      <x:c r="A349" s="17" t="str">
        <x:f>"08086212"</x:f>
        <x:v>08086212</x:v>
      </x:c>
      <x:c r="B349" s="11" t="n">
        <x:v>-0.8132442591929505</x:v>
      </x:c>
      <x:c r="C349" s="11" t="n">
        <x:v>-1.5921796404711084</x:v>
      </x:c>
      <x:c r="D349" s="11" t="n">
        <x:v>-3.331875553168879</x:v>
      </x:c>
      <x:c r="E349" s="11" t="n">
        <x:v>0.7789353812781579</x:v>
      </x:c>
      <x:c r="F349" s="11" t="n">
        <x:v>2.518631293975928</x:v>
      </x:c>
      <x:c r="G349" s="11" t="n">
        <x:v>-0.31903661157749075</x:v>
      </x:c>
      <x:c r="H349" s="11" t="n">
        <x:v>-0.06930898728134038</x:v>
      </x:c>
    </x:row>
    <x:row r="350" ht="22" customHeight="1">
      <x:c r="A350" s="17" t="str">
        <x:f>"08086290"</x:f>
        <x:v>08086290</x:v>
      </x:c>
      <x:c r="B350" s="11" t="n">
        <x:v>0.04322341247784556</x:v>
      </x:c>
      <x:c r="C350" s="11" t="n">
        <x:v>0.10011429166594576</x:v>
      </x:c>
      <x:c r="D350" s="11" t="n">
        <x:v>0.09342892981166118</x:v>
      </x:c>
      <x:c r="E350" s="11" t="n">
        <x:v>-0.05689087918810021</x:v>
      </x:c>
      <x:c r="F350" s="11" t="n">
        <x:v>-0.05020551733381562</x:v>
      </x:c>
      <x:c r="G350" s="11" t="n">
        <x:v>-0.1435976467012423</x:v>
      </x:c>
      <x:c r="H350" s="11" t="n">
        <x:v>0.1544856838025198</x:v>
      </x:c>
    </x:row>
    <x:row r="351" ht="22" customHeight="1">
      <x:c r="A351" s="17" t="str">
        <x:f>"08101000"</x:f>
        <x:v>08101000</x:v>
      </x:c>
      <x:c r="B351" s="11" t="n">
        <x:v>0.07483858842057933</x:v>
      </x:c>
      <x:c r="C351" s="11" t="n">
        <x:v>0.029337290575765507</x:v>
      </x:c>
      <x:c r="D351" s="11" t="n">
        <x:v>-0.033553857331592774</x:v>
      </x:c>
      <x:c r="E351" s="11" t="n">
        <x:v>0.045501297844813826</x:v>
      </x:c>
      <x:c r="F351" s="11" t="n">
        <x:v>0.1083924457521721</x:v>
      </x:c>
      <x:c r="G351" s="11" t="n">
        <x:v>-0.6729593365083826</x:v>
      </x:c>
      <x:c r="H351" s="11" t="n">
        <x:v>-0.04365463309391959</x:v>
      </x:c>
    </x:row>
    <x:row r="352" ht="22" customHeight="1">
      <x:c r="A352" s="17" t="str">
        <x:f>"08103900"</x:f>
        <x:v>08103900</x:v>
      </x:c>
      <x:c r="B352" s="11" t="n">
        <x:v>0.08928374203933431</x:v>
      </x:c>
      <x:c r="C352" s="11" t="n">
        <x:v>0.08297867794180347</x:v>
      </x:c>
      <x:c r="D352" s="11" t="n">
        <x:v>0.0457781712337032</x:v>
      </x:c>
      <x:c r="E352" s="11" t="n">
        <x:v>0.006305064097530844</x:v>
      </x:c>
      <x:c r="F352" s="11" t="n">
        <x:v>0.04350557080563111</x:v>
      </x:c>
      <x:c r="G352" s="11" t="n">
        <x:v>-0.6797453324310365</x:v>
      </x:c>
      <x:c r="H352" s="11" t="n">
        <x:v>0.00875756806249417</x:v>
      </x:c>
    </x:row>
    <x:row r="353" ht="22" customHeight="1">
      <x:c r="A353" s="17" t="str">
        <x:f>"08104900"</x:f>
        <x:v>08104900</x:v>
      </x:c>
      <x:c r="B353" s="11" t="n">
        <x:v>0.07374497035662209</x:v>
      </x:c>
      <x:c r="C353" s="11" t="n">
        <x:v>0.05614377950889515</x:v>
      </x:c>
      <x:c r="D353" s="11" t="n">
        <x:v>-0.13738751153902728</x:v>
      </x:c>
      <x:c r="E353" s="11" t="n">
        <x:v>0.017601190847726933</x:v>
      </x:c>
      <x:c r="F353" s="11" t="n">
        <x:v>0.21113248189564937</x:v>
      </x:c>
      <x:c r="G353" s="11" t="n">
        <x:v>-0.7296831083771536</x:v>
      </x:c>
      <x:c r="H353" s="11" t="n">
        <x:v>0.0014169292851378135</x:v>
      </x:c>
    </x:row>
    <x:row r="354" ht="22" customHeight="1">
      <x:c r="A354" s="17" t="str">
        <x:f>"08109700"</x:f>
        <x:v>08109700</x:v>
      </x:c>
      <x:c r="B354" s="11" t="n">
        <x:v>0.46892851322474116</x:v>
      </x:c>
      <x:c r="C354" s="11" t="n">
        <x:v>0.40806117120888863</x:v>
      </x:c>
      <x:c r="D354" s="11" t="n">
        <x:v>-0.885522797644148</x:v>
      </x:c>
      <x:c r="E354" s="11" t="n">
        <x:v>0.06086734201585253</x:v>
      </x:c>
      <x:c r="F354" s="11" t="n">
        <x:v>1.3544513108688891</x:v>
      </x:c>
      <x:c r="G354" s="11" t="n">
        <x:v>0.5769305952414491</x:v>
      </x:c>
      <x:c r="H354" s="11" t="n">
        <x:v>0.6337804548415715</x:v>
      </x:c>
    </x:row>
    <x:row r="355" ht="22" customHeight="1">
      <x:c r="A355" s="17" t="str">
        <x:f>"08150800"</x:f>
        <x:v>08150800</x:v>
      </x:c>
      <x:c r="B355" s="11" t="n">
        <x:v>0.15483329796148315</x:v>
      </x:c>
      <x:c r="C355" s="11" t="n">
        <x:v>0.17337502838827</x:v>
      </x:c>
      <x:c r="D355" s="11" t="n">
        <x:v>0.05460684662120463</x:v>
      </x:c>
      <x:c r="E355" s="11" t="n">
        <x:v>-0.018541730426786862</x:v>
      </x:c>
      <x:c r="F355" s="11" t="n">
        <x:v>0.10022645134027852</x:v>
      </x:c>
      <x:c r="G355" s="11" t="n">
        <x:v>-0.32668840830624246</x:v>
      </x:c>
      <x:c r="H355" s="11" t="n">
        <x:v>0.10229552910116957</x:v>
      </x:c>
    </x:row>
    <x:row r="356" ht="22" customHeight="1">
      <x:c r="A356" s="17" t="str">
        <x:f>"08158700"</x:f>
        <x:v>08158700</x:v>
      </x:c>
      <x:c r="B356" s="11" t="n">
        <x:v>0.10375866774695353</x:v>
      </x:c>
      <x:c r="C356" s="11" t="n">
        <x:v>0.16145778343717343</x:v>
      </x:c>
      <x:c r="D356" s="11" t="n">
        <x:v>-0.09542189329970063</x:v>
      </x:c>
      <x:c r="E356" s="11" t="n">
        <x:v>-0.057699115690219904</x:v>
      </x:c>
      <x:c r="F356" s="11" t="n">
        <x:v>0.19918056104665416</x:v>
      </x:c>
      <x:c r="G356" s="11" t="n">
        <x:v>-0.5061221424575426</x:v>
      </x:c>
      <x:c r="H356" s="11" t="n">
        <x:v>-0.0030651455084862445</x:v>
      </x:c>
    </x:row>
    <x:row r="357" ht="22" customHeight="1">
      <x:c r="A357" s="17" t="str">
        <x:f>"08158810"</x:f>
        <x:v>08158810</x:v>
      </x:c>
      <x:c r="B357" s="11" t="n">
        <x:v>0.10988012920135293</x:v>
      </x:c>
      <x:c r="C357" s="11" t="n">
        <x:v>0.0806273698932164</x:v>
      </x:c>
      <x:c r="D357" s="11" t="n">
        <x:v>0.01883153654321479</x:v>
      </x:c>
      <x:c r="E357" s="11" t="n">
        <x:v>0.029252759308136533</x:v>
      </x:c>
      <x:c r="F357" s="11" t="n">
        <x:v>0.09104859265813814</x:v>
      </x:c>
      <x:c r="G357" s="11" t="n">
        <x:v>-0.6590196888549069</x:v>
      </x:c>
      <x:c r="H357" s="11" t="n">
        <x:v>-0.11218731330170861</x:v>
      </x:c>
    </x:row>
    <x:row r="358" ht="22" customHeight="1">
      <x:c r="A358" s="17" t="str">
        <x:f>"08164000"</x:f>
        <x:v>08164000</x:v>
      </x:c>
      <x:c r="B358" s="11" t="n">
        <x:v>0.6854798587479798</x:v>
      </x:c>
      <x:c r="C358" s="11" t="n">
        <x:v>0.6884218659792947</x:v>
      </x:c>
      <x:c r="D358" s="11" t="n">
        <x:v>0.062479384869619126</x:v>
      </x:c>
      <x:c r="E358" s="11" t="n">
        <x:v>-0.0029420072313148804</x:v>
      </x:c>
      <x:c r="F358" s="11" t="n">
        <x:v>0.6230004738783607</x:v>
      </x:c>
      <x:c r="G358" s="11" t="n">
        <x:v>0.44632686117481246</x:v>
      </x:c>
      <x:c r="H358" s="11" t="n">
        <x:v>0.5750579893647272</x:v>
      </x:c>
    </x:row>
    <x:row r="359" ht="22" customHeight="1">
      <x:c r="A359" s="17" t="str">
        <x:f>"08164300"</x:f>
        <x:v>08164300</x:v>
      </x:c>
      <x:c r="B359" s="11" t="n">
        <x:v>-0.06280301515123954</x:v>
      </x:c>
      <x:c r="C359" s="11" t="n">
        <x:v>0.22267856813428732</x:v>
      </x:c>
      <x:c r="D359" s="11" t="n">
        <x:v>-0.2788969687512306</x:v>
      </x:c>
      <x:c r="E359" s="11" t="n">
        <x:v>-0.28548158328552686</x:v>
      </x:c>
      <x:c r="F359" s="11" t="n">
        <x:v>0.21609395359999106</x:v>
      </x:c>
      <x:c r="G359" s="11" t="n">
        <x:v>-0.08320751112951119</x:v>
      </x:c>
      <x:c r="H359" s="11" t="n">
        <x:v>0.19860792291401885</x:v>
      </x:c>
    </x:row>
    <x:row r="360" ht="22" customHeight="1">
      <x:c r="A360" s="17" t="str">
        <x:f>"08164600"</x:f>
        <x:v>08164600</x:v>
      </x:c>
      <x:c r="B360" s="11" t="n">
        <x:v>-0.0553896579760107</x:v>
      </x:c>
      <x:c r="C360" s="11" t="n">
        <x:v>0.07808315494323459</x:v>
      </x:c>
      <x:c r="D360" s="11" t="n">
        <x:v>0.019003764074783436</x:v>
      </x:c>
      <x:c r="E360" s="11" t="n">
        <x:v>-0.1334728129192453</x:v>
      </x:c>
      <x:c r="F360" s="11" t="n">
        <x:v>-0.07439342205079413</x:v>
      </x:c>
      <x:c r="G360" s="11" t="n">
        <x:v>0.2342986407794183</x:v>
      </x:c>
      <x:c r="H360" s="11" t="n">
        <x:v>0.3817084262942314</x:v>
      </x:c>
    </x:row>
    <x:row r="361" ht="22" customHeight="1">
      <x:c r="A361" s="17" t="str">
        <x:f>"08165300"</x:f>
        <x:v>08165300</x:v>
      </x:c>
      <x:c r="B361" s="11" t="n">
        <x:v>0.1489966926069234</x:v>
      </x:c>
      <x:c r="C361" s="11" t="n">
        <x:v>0.06153420903476425</x:v>
      </x:c>
      <x:c r="D361" s="11" t="n">
        <x:v>-0.1293527653903761</x:v>
      </x:c>
      <x:c r="E361" s="11" t="n">
        <x:v>0.08746248357215913</x:v>
      </x:c>
      <x:c r="F361" s="11" t="n">
        <x:v>0.2783494579972995</x:v>
      </x:c>
      <x:c r="G361" s="11" t="n">
        <x:v>-0.049742550153385245</x:v>
      </x:c>
      <x:c r="H361" s="11" t="n">
        <x:v>-0.2849082533468561</x:v>
      </x:c>
    </x:row>
    <x:row r="362" ht="22" customHeight="1">
      <x:c r="A362" s="17" t="str">
        <x:f>"08171300"</x:f>
        <x:v>08171300</x:v>
      </x:c>
      <x:c r="B362" s="11" t="n">
        <x:v>0.022626422502037613</x:v>
      </x:c>
      <x:c r="C362" s="11" t="n">
        <x:v>-0.4537376445898589</x:v>
      </x:c>
      <x:c r="D362" s="11" t="n">
        <x:v>-0.12623507259087452</x:v>
      </x:c>
      <x:c r="E362" s="11" t="n">
        <x:v>0.4763640670918965</x:v>
      </x:c>
      <x:c r="F362" s="11" t="n">
        <x:v>0.14886149509291213</x:v>
      </x:c>
      <x:c r="G362" s="11" t="n">
        <x:v>-0.7012544635341729</x:v>
      </x:c>
      <x:c r="H362" s="11" t="n">
        <x:v>-0.07802554564125641</x:v>
      </x:c>
    </x:row>
    <x:row r="363" ht="22" customHeight="1">
      <x:c r="A363" s="17" t="str">
        <x:f>"08175000"</x:f>
        <x:v>08175000</x:v>
      </x:c>
      <x:c r="B363" s="11" t="n">
        <x:v>0.6888998860262925</x:v>
      </x:c>
      <x:c r="C363" s="11" t="n">
        <x:v>0.6966133476591374</x:v>
      </x:c>
      <x:c r="D363" s="11" t="n">
        <x:v>0.43045789313238314</x:v>
      </x:c>
      <x:c r="E363" s="11" t="n">
        <x:v>-0.00771346163284492</x:v>
      </x:c>
      <x:c r="F363" s="11" t="n">
        <x:v>0.25844199289390934</x:v>
      </x:c>
      <x:c r="G363" s="11" t="n">
        <x:v>0.4005685067429683</x:v>
      </x:c>
      <x:c r="H363" s="11" t="n">
        <x:v>0.46514649845901146</x:v>
      </x:c>
    </x:row>
    <x:row r="364" ht="22" customHeight="1">
      <x:c r="A364" s="17" t="str">
        <x:f>"08189500"</x:f>
        <x:v>08189500</x:v>
      </x:c>
      <x:c r="B364" s="11" t="n">
        <x:v>0.8167613812160037</x:v>
      </x:c>
      <x:c r="C364" s="11" t="n">
        <x:v>0.8305945432462529</x:v>
      </x:c>
      <x:c r="D364" s="11" t="n">
        <x:v>0.6407359291470089</x:v>
      </x:c>
      <x:c r="E364" s="11" t="n">
        <x:v>-0.013833162030249202</x:v>
      </x:c>
      <x:c r="F364" s="11" t="n">
        <x:v>0.17602545206899478</x:v>
      </x:c>
      <x:c r="G364" s="11" t="n">
        <x:v>0.5473590643597102</x:v>
      </x:c>
      <x:c r="H364" s="11" t="n">
        <x:v>0.7302831163657992</x:v>
      </x:c>
    </x:row>
    <x:row r="365" ht="22" customHeight="1">
      <x:c r="A365" s="17" t="str">
        <x:f>"08190000"</x:f>
        <x:v>08190000</x:v>
      </x:c>
      <x:c r="B365" s="11" t="n">
        <x:v>-0.14174174473799095</x:v>
      </x:c>
      <x:c r="C365" s="11" t="n">
        <x:v>-2.8599958194934385</x:v>
      </x:c>
      <x:c r="D365" s="11" t="n">
        <x:v>-5.378976468323528</x:v>
      </x:c>
      <x:c r="E365" s="11" t="n">
        <x:v>2.7182540747554476</x:v>
      </x:c>
      <x:c r="F365" s="11" t="n">
        <x:v>5.237234723585537</x:v>
      </x:c>
      <x:c r="G365" s="11" t="n">
        <x:v>0.6668254161340033</x:v>
      </x:c>
      <x:c r="H365" s="11" t="n">
        <x:v>-1.2159615298386077</x:v>
      </x:c>
    </x:row>
    <x:row r="366" ht="22" customHeight="1">
      <x:c r="A366" s="17" t="str">
        <x:f>"08190500"</x:f>
        <x:v>08190500</x:v>
      </x:c>
      <x:c r="B366" s="11" t="n">
        <x:v>-64.76679842663758</x:v>
      </x:c>
      <x:c r="C366" s="11" t="n">
        <x:v>-210.88521508273357</x:v>
      </x:c>
      <x:c r="D366" s="11" t="n">
        <x:v>-169.54855378550386</x:v>
      </x:c>
      <x:c r="E366" s="11" t="n">
        <x:v>146.11841665609597</x:v>
      </x:c>
      <x:c r="F366" s="11" t="n">
        <x:v>104.78175535886628</x:v>
      </x:c>
      <x:c r="G366" s="11" t="n">
        <x:v>-0.08163273174956132</x:v>
      </x:c>
      <x:c r="H366" s="11" t="n">
        <x:v>-41.240071307344834</x:v>
      </x:c>
    </x:row>
    <x:row r="367" ht="22" customHeight="1">
      <x:c r="A367" s="17" t="str">
        <x:f>"08194200"</x:f>
        <x:v>08194200</x:v>
      </x:c>
      <x:c r="B367" s="11" t="n">
        <x:v>0.4061000910339171</x:v>
      </x:c>
      <x:c r="C367" s="11" t="n">
        <x:v>0.43568795734362664</x:v>
      </x:c>
      <x:c r="D367" s="11" t="n">
        <x:v>0.07163220933126169</x:v>
      </x:c>
      <x:c r="E367" s="11" t="n">
        <x:v>-0.029587866309709554</x:v>
      </x:c>
      <x:c r="F367" s="11" t="n">
        <x:v>0.3344678817026554</x:v>
      </x:c>
      <x:c r="G367" s="11" t="n">
        <x:v>0.29322298103316646</x:v>
      </x:c>
      <x:c r="H367" s="11" t="n">
        <x:v>0.4546923081032168</x:v>
      </x:c>
    </x:row>
    <x:row r="368" ht="22" customHeight="1">
      <x:c r="A368" s="17" t="str">
        <x:f>"08195000"</x:f>
        <x:v>08195000</x:v>
      </x:c>
      <x:c r="B368" s="11" t="n">
        <x:v>0.08344999020071564</x:v>
      </x:c>
      <x:c r="C368" s="11" t="n">
        <x:v>-0.58340600190997</x:v>
      </x:c>
      <x:c r="D368" s="11" t="n">
        <x:v>-1.1965226151426158</x:v>
      </x:c>
      <x:c r="E368" s="11" t="n">
        <x:v>0.6668559921106857</x:v>
      </x:c>
      <x:c r="F368" s="11" t="n">
        <x:v>1.2799726053433313</x:v>
      </x:c>
      <x:c r="G368" s="11" t="n">
        <x:v>0.11533772121992114</x:v>
      </x:c>
      <x:c r="H368" s="11" t="n">
        <x:v>-0.3020794315406228</x:v>
      </x:c>
    </x:row>
    <x:row r="369" ht="22" customHeight="1">
      <x:c r="A369" s="17" t="str">
        <x:f>"08196000"</x:f>
        <x:v>08196000</x:v>
      </x:c>
      <x:c r="B369" s="11" t="n">
        <x:v>0.38344012046868936</x:v>
      </x:c>
      <x:c r="C369" s="11" t="n">
        <x:v>0.3739057216852093</x:v>
      </x:c>
      <x:c r="D369" s="11" t="n">
        <x:v>0.0557895184947278</x:v>
      </x:c>
      <x:c r="E369" s="11" t="n">
        <x:v>0.009534398783480058</x:v>
      </x:c>
      <x:c r="F369" s="11" t="n">
        <x:v>0.32765060197396156</x:v>
      </x:c>
      <x:c r="G369" s="11" t="n">
        <x:v>0.30254865348499616</x:v>
      </x:c>
      <x:c r="H369" s="11" t="n">
        <x:v>0.17420400792045987</x:v>
      </x:c>
    </x:row>
    <x:row r="370" ht="22" customHeight="1">
      <x:c r="A370" s="17" t="str">
        <x:f>"08198500"</x:f>
        <x:v>08198500</x:v>
      </x:c>
      <x:c r="B370" s="11" t="n">
        <x:v>-0.05372032744687183</x:v>
      </x:c>
      <x:c r="C370" s="11" t="n">
        <x:v>0.05749043312941293</x:v>
      </x:c>
      <x:c r="D370" s="11" t="n">
        <x:v>-0.09093608210513948</x:v>
      </x:c>
      <x:c r="E370" s="11" t="n">
        <x:v>-0.11121076057628476</x:v>
      </x:c>
      <x:c r="F370" s="11" t="n">
        <x:v>0.03721575465826765</x:v>
      </x:c>
      <x:c r="G370" s="11" t="n">
        <x:v>-0.5526845620299299</x:v>
      </x:c>
      <x:c r="H370" s="11" t="n">
        <x:v>-0.09996574385162416</x:v>
      </x:c>
    </x:row>
    <x:row r="371" ht="22" customHeight="1">
      <x:c r="A371" s="17" t="str">
        <x:f>"08200000"</x:f>
        <x:v>08200000</x:v>
      </x:c>
      <x:c r="B371" s="11" t="n">
        <x:v>0.5668081980861032</x:v>
      </x:c>
      <x:c r="C371" s="11" t="n">
        <x:v>0.518610632213958</x:v>
      </x:c>
      <x:c r="D371" s="11" t="n">
        <x:v>0.016183796744689838</x:v>
      </x:c>
      <x:c r="E371" s="11" t="n">
        <x:v>0.04819756587214519</x:v>
      </x:c>
      <x:c r="F371" s="11" t="n">
        <x:v>0.5506244013414133</x:v>
      </x:c>
      <x:c r="G371" s="11" t="n">
        <x:v>0.6436269285136862</x:v>
      </x:c>
      <x:c r="H371" s="11" t="n">
        <x:v>0.5351620111291013</x:v>
      </x:c>
    </x:row>
    <x:row r="372" ht="22" customHeight="1">
      <x:c r="A372" s="17" t="str">
        <x:f>"08202700"</x:f>
        <x:v>08202700</x:v>
      </x:c>
      <x:c r="B372" s="11" t="n">
        <x:v>0.01175492573691539</x:v>
      </x:c>
      <x:c r="C372" s="11" t="n">
        <x:v>-0.13651465223306625</x:v>
      </x:c>
      <x:c r="D372" s="11" t="n">
        <x:v>-0.0431675543931469</x:v>
      </x:c>
      <x:c r="E372" s="11" t="n">
        <x:v>0.14826957796998164</x:v>
      </x:c>
      <x:c r="F372" s="11" t="n">
        <x:v>0.05492248013006229</x:v>
      </x:c>
      <x:c r="G372" s="11" t="n">
        <x:v>-0.9109040259269858</x:v>
      </x:c>
      <x:c r="H372" s="11" t="n">
        <x:v>-0.03301974118918105</x:v>
      </x:c>
    </x:row>
    <x:row r="373" ht="22" customHeight="1">
      <x:c r="A373" s="17" t="str">
        <x:f>"08267500"</x:f>
        <x:v>08267500</x:v>
      </x:c>
      <x:c r="B373" s="11" t="n">
        <x:v>0.9932875977578587</x:v>
      </x:c>
      <x:c r="C373" s="11" t="n">
        <x:v>0.9910750161725799</x:v>
      </x:c>
      <x:c r="D373" s="11" t="n">
        <x:v>0.5608026526760999</x:v>
      </x:c>
      <x:c r="E373" s="11" t="n">
        <x:v>0.0022125815852788167</x:v>
      </x:c>
      <x:c r="F373" s="11" t="n">
        <x:v>0.43248494508175883</x:v>
      </x:c>
      <x:c r="G373" s="11" t="n">
        <x:v>0.9890433680989807</x:v>
      </x:c>
      <x:c r="H373" s="11" t="n">
        <x:v>0.9921113166279019</x:v>
      </x:c>
    </x:row>
    <x:row r="374" ht="22" customHeight="1">
      <x:c r="A374" s="17" t="str">
        <x:f>"08269000"</x:f>
        <x:v>08269000</x:v>
      </x:c>
      <x:c r="B374" s="11" t="n">
        <x:v>0.9933667609932699</x:v>
      </x:c>
      <x:c r="C374" s="11" t="n">
        <x:v>0.9942196722812693</x:v>
      </x:c>
      <x:c r="D374" s="11" t="n">
        <x:v>0.4961802776235231</x:v>
      </x:c>
      <x:c r="E374" s="11" t="n">
        <x:v>-0.0008529112879993583</x:v>
      </x:c>
      <x:c r="F374" s="11" t="n">
        <x:v>0.4971864833697468</x:v>
      </x:c>
      <x:c r="G374" s="11" t="n">
        <x:v>0.9839781633201061</x:v>
      </x:c>
      <x:c r="H374" s="11" t="n">
        <x:v>0.9880897910860162</x:v>
      </x:c>
    </x:row>
    <x:row r="375" ht="22" customHeight="1">
      <x:c r="A375" s="17" t="str">
        <x:f>"08271000"</x:f>
        <x:v>08271000</x:v>
      </x:c>
      <x:c r="B375" s="11" t="n">
        <x:v>0.9875852790333436</x:v>
      </x:c>
      <x:c r="C375" s="11" t="n">
        <x:v>0.9892366593016089</x:v>
      </x:c>
      <x:c r="D375" s="11" t="n">
        <x:v>0.3910037627586914</x:v>
      </x:c>
      <x:c r="E375" s="11" t="n">
        <x:v>-0.001651380268265279</x:v>
      </x:c>
      <x:c r="F375" s="11" t="n">
        <x:v>0.5965815162746522</x:v>
      </x:c>
      <x:c r="G375" s="11" t="n">
        <x:v>0.9819671172217305</x:v>
      </x:c>
      <x:c r="H375" s="11" t="n">
        <x:v>0.9864487695877177</x:v>
      </x:c>
    </x:row>
    <x:row r="376" ht="22" customHeight="1">
      <x:c r="A376" s="17" t="str">
        <x:f>"08324000"</x:f>
        <x:v>08324000</x:v>
      </x:c>
      <x:c r="B376" s="11" t="n">
        <x:v>0.8662885946250534</x:v>
      </x:c>
      <x:c r="C376" s="11" t="n">
        <x:v>0.8743677121367385</x:v>
      </x:c>
      <x:c r="D376" s="11" t="n">
        <x:v>0.4452554837355378</x:v>
      </x:c>
      <x:c r="E376" s="11" t="n">
        <x:v>-0.008079117511685108</x:v>
      </x:c>
      <x:c r="F376" s="11" t="n">
        <x:v>0.42103311088951556</x:v>
      </x:c>
      <x:c r="G376" s="11" t="n">
        <x:v>0.8378187636459606</x:v>
      </x:c>
      <x:c r="H376" s="11" t="n">
        <x:v>0.847294465698</x:v>
      </x:c>
    </x:row>
    <x:row r="377" ht="22" customHeight="1">
      <x:c r="A377" s="17" t="str">
        <x:f>"08377900"</x:f>
        <x:v>08377900</x:v>
      </x:c>
      <x:c r="B377" s="11" t="n">
        <x:v>0.8989112838278418</x:v>
      </x:c>
      <x:c r="C377" s="11" t="n">
        <x:v>0.8409931863915691</x:v>
      </x:c>
      <x:c r="D377" s="11" t="n">
        <x:v>0.5289369279887971</x:v>
      </x:c>
      <x:c r="E377" s="11" t="n">
        <x:v>0.05791809743627274</x:v>
      </x:c>
      <x:c r="F377" s="11" t="n">
        <x:v>0.3699743558390447</x:v>
      </x:c>
      <x:c r="G377" s="11" t="n">
        <x:v>0.8979576185102728</x:v>
      </x:c>
      <x:c r="H377" s="11" t="n">
        <x:v>0.8781739020419574</x:v>
      </x:c>
    </x:row>
    <x:row r="378" ht="22" customHeight="1">
      <x:c r="A378" s="17" t="str">
        <x:f>"08378500"</x:f>
        <x:v>08378500</x:v>
      </x:c>
      <x:c r="B378" s="11" t="n">
        <x:v>0.836650737961013</x:v>
      </x:c>
      <x:c r="C378" s="11" t="n">
        <x:v>0.7955927247889857</x:v>
      </x:c>
      <x:c r="D378" s="11" t="n">
        <x:v>0.4298559419491944</x:v>
      </x:c>
      <x:c r="E378" s="11" t="n">
        <x:v>0.041058013172027286</x:v>
      </x:c>
      <x:c r="F378" s="11" t="n">
        <x:v>0.40679479601181856</x:v>
      </x:c>
      <x:c r="G378" s="11" t="n">
        <x:v>0.8489239178016244</x:v>
      </x:c>
      <x:c r="H378" s="11" t="n">
        <x:v>0.7609492350906609</x:v>
      </x:c>
    </x:row>
    <x:row r="379" ht="22" customHeight="1">
      <x:c r="A379" s="17" t="str">
        <x:f>"08380500"</x:f>
        <x:v>08380500</x:v>
      </x:c>
      <x:c r="B379" s="11" t="n">
        <x:v>0.4971139270480399</x:v>
      </x:c>
      <x:c r="C379" s="11" t="n">
        <x:v>0.4312025905723409</x:v>
      </x:c>
      <x:c r="D379" s="11" t="n">
        <x:v>0.1780812685825447</x:v>
      </x:c>
      <x:c r="E379" s="11" t="n">
        <x:v>0.06591133647569902</x:v>
      </x:c>
      <x:c r="F379" s="11" t="n">
        <x:v>0.3190326584654952</x:v>
      </x:c>
      <x:c r="G379" s="11" t="n">
        <x:v>0.27298766547344966</x:v>
      </x:c>
      <x:c r="H379" s="11" t="n">
        <x:v>0.3667577251240429</x:v>
      </x:c>
    </x:row>
    <x:row r="380" ht="22" customHeight="1">
      <x:c r="A380" s="17" t="str">
        <x:f>"09034900"</x:f>
        <x:v>09034900</x:v>
      </x:c>
      <x:c r="B380" s="11" t="n">
        <x:v>0.98001102811634</x:v>
      </x:c>
      <x:c r="C380" s="11" t="n">
        <x:v>0.9829942230052712</x:v>
      </x:c>
      <x:c r="D380" s="11" t="n">
        <x:v>0.7736756407469781</x:v>
      </x:c>
      <x:c r="E380" s="11" t="n">
        <x:v>-0.0029831948889311732</x:v>
      </x:c>
      <x:c r="F380" s="11" t="n">
        <x:v>0.20633538736936186</x:v>
      </x:c>
      <x:c r="G380" s="11" t="n">
        <x:v>0.9785357097207763</x:v>
      </x:c>
      <x:c r="H380" s="11" t="n">
        <x:v>0.9822608262619201</x:v>
      </x:c>
    </x:row>
    <x:row r="381" ht="22" customHeight="1">
      <x:c r="A381" s="17" t="str">
        <x:f>"09035900"</x:f>
        <x:v>09035900</x:v>
      </x:c>
      <x:c r="B381" s="11" t="n">
        <x:v>0.9882413292709977</x:v>
      </x:c>
      <x:c r="C381" s="11" t="n">
        <x:v>0.9896128166071232</x:v>
      </x:c>
      <x:c r="D381" s="11" t="n">
        <x:v>0.7907261482851612</x:v>
      </x:c>
      <x:c r="E381" s="11" t="n">
        <x:v>-0.0013714873361254654</x:v>
      </x:c>
      <x:c r="F381" s="11" t="n">
        <x:v>0.19751518098583654</x:v>
      </x:c>
      <x:c r="G381" s="11" t="n">
        <x:v>0.9826140458479806</x:v>
      </x:c>
      <x:c r="H381" s="11" t="n">
        <x:v>0.9848159868987341</x:v>
      </x:c>
    </x:row>
    <x:row r="382" ht="22" customHeight="1">
      <x:c r="A382" s="17" t="str">
        <x:f>"09047700"</x:f>
        <x:v>09047700</x:v>
      </x:c>
      <x:c r="B382" s="11" t="n">
        <x:v>0.9808694414248593</x:v>
      </x:c>
      <x:c r="C382" s="11" t="n">
        <x:v>0.9794194359011873</x:v>
      </x:c>
      <x:c r="D382" s="11" t="n">
        <x:v>0.7303463133753925</x:v>
      </x:c>
      <x:c r="E382" s="11" t="n">
        <x:v>0.0014500055236720266</x:v>
      </x:c>
      <x:c r="F382" s="11" t="n">
        <x:v>0.25052312804946686</x:v>
      </x:c>
      <x:c r="G382" s="11" t="n">
        <x:v>0.9777418391064934</x:v>
      </x:c>
      <x:c r="H382" s="11" t="n">
        <x:v>0.9791111534240303</x:v>
      </x:c>
    </x:row>
    <x:row r="383" ht="22" customHeight="1">
      <x:c r="A383" s="17" t="str">
        <x:f>"09065500"</x:f>
        <x:v>09065500</x:v>
      </x:c>
      <x:c r="B383" s="11" t="n">
        <x:v>0.9737203964043138</x:v>
      </x:c>
      <x:c r="C383" s="11" t="n">
        <x:v>0.9737841765693624</x:v>
      </x:c>
      <x:c r="D383" s="11" t="n">
        <x:v>0.7844889982749657</x:v>
      </x:c>
      <x:c r="E383" s="11" t="n">
        <x:v>-0.00006378016504859918</x:v>
      </x:c>
      <x:c r="F383" s="11" t="n">
        <x:v>0.1892313981293482</x:v>
      </x:c>
      <x:c r="G383" s="11" t="n">
        <x:v>0.9669938859347873</x:v>
      </x:c>
      <x:c r="H383" s="11" t="n">
        <x:v>0.9714796178154012</x:v>
      </x:c>
    </x:row>
    <x:row r="384" ht="22" customHeight="1">
      <x:c r="A384" s="17" t="str">
        <x:f>"09066000"</x:f>
        <x:v>09066000</x:v>
      </x:c>
      <x:c r="B384" s="11" t="n">
        <x:v>0.9854472203966099</x:v>
      </x:c>
      <x:c r="C384" s="11" t="n">
        <x:v>0.993195833697273</x:v>
      </x:c>
      <x:c r="D384" s="11" t="n">
        <x:v>0.6972843884320244</x:v>
      </x:c>
      <x:c r="E384" s="11" t="n">
        <x:v>-0.007748613300663121</x:v>
      </x:c>
      <x:c r="F384" s="11" t="n">
        <x:v>0.2881628319645855</x:v>
      </x:c>
      <x:c r="G384" s="11" t="n">
        <x:v>0.9870460684984593</x:v>
      </x:c>
      <x:c r="H384" s="11" t="n">
        <x:v>0.9909781238491243</x:v>
      </x:c>
    </x:row>
    <x:row r="385" ht="22" customHeight="1">
      <x:c r="A385" s="17" t="str">
        <x:f>"09066200"</x:f>
        <x:v>09066200</x:v>
      </x:c>
      <x:c r="B385" s="11" t="n">
        <x:v>0.9491574950333894</x:v>
      </x:c>
      <x:c r="C385" s="11" t="n">
        <x:v>0.9583303223256099</x:v>
      </x:c>
      <x:c r="D385" s="11" t="n">
        <x:v>0.6401185746266054</x:v>
      </x:c>
      <x:c r="E385" s="11" t="n">
        <x:v>-0.009172827292220465</x:v>
      </x:c>
      <x:c r="F385" s="11" t="n">
        <x:v>0.30903892040678405</x:v>
      </x:c>
      <x:c r="G385" s="11" t="n">
        <x:v>0.9530528864642928</x:v>
      </x:c>
      <x:c r="H385" s="11" t="n">
        <x:v>0.9589858734018147</x:v>
      </x:c>
    </x:row>
    <x:row r="386" ht="22" customHeight="1">
      <x:c r="A386" s="17" t="str">
        <x:f>"09066300"</x:f>
        <x:v>09066300</x:v>
      </x:c>
      <x:c r="B386" s="11" t="n">
        <x:v>0.9915811534699184</x:v>
      </x:c>
      <x:c r="C386" s="11" t="n">
        <x:v>0.9920826467545336</x:v>
      </x:c>
      <x:c r="D386" s="11" t="n">
        <x:v>0.7328536537385506</x:v>
      </x:c>
      <x:c r="E386" s="11" t="n">
        <x:v>-0.0005014932846152398</x:v>
      </x:c>
      <x:c r="F386" s="11" t="n">
        <x:v>0.25872749973136777</x:v>
      </x:c>
      <x:c r="G386" s="11" t="n">
        <x:v>0.9870575642532199</x:v>
      </x:c>
      <x:c r="H386" s="11" t="n">
        <x:v>0.990558199421405</x:v>
      </x:c>
    </x:row>
    <x:row r="387" ht="22" customHeight="1">
      <x:c r="A387" s="17" t="str">
        <x:f>"09081600"</x:f>
        <x:v>09081600</x:v>
      </x:c>
      <x:c r="B387" s="11" t="n">
        <x:v>0.9879294290034561</x:v>
      </x:c>
      <x:c r="C387" s="11" t="n">
        <x:v>0.9893953947355877</x:v>
      </x:c>
      <x:c r="D387" s="11" t="n">
        <x:v>0.7759817946404399</x:v>
      </x:c>
      <x:c r="E387" s="11" t="n">
        <x:v>-0.0014659657321315356</x:v>
      </x:c>
      <x:c r="F387" s="11" t="n">
        <x:v>0.21194763436301622</x:v>
      </x:c>
      <x:c r="G387" s="11" t="n">
        <x:v>0.9801344412246578</x:v>
      </x:c>
      <x:c r="H387" s="11" t="n">
        <x:v>0.9857081322089006</x:v>
      </x:c>
    </x:row>
    <x:row r="388" ht="22" customHeight="1">
      <x:c r="A388" s="17" t="str">
        <x:f>"09210500"</x:f>
        <x:v>09210500</x:v>
      </x:c>
      <x:c r="B388" s="11" t="n">
        <x:v>0.9857782285750841</x:v>
      </x:c>
      <x:c r="C388" s="11" t="n">
        <x:v>0.9884183093071223</x:v>
      </x:c>
      <x:c r="D388" s="11" t="n">
        <x:v>0.6513582638649733</x:v>
      </x:c>
      <x:c r="E388" s="11" t="n">
        <x:v>-0.0026400807320381414</x:v>
      </x:c>
      <x:c r="F388" s="11" t="n">
        <x:v>0.3344199647101108</x:v>
      </x:c>
      <x:c r="G388" s="11" t="n">
        <x:v>0.9783277528854297</x:v>
      </x:c>
      <x:c r="H388" s="11" t="n">
        <x:v>0.9812829857230537</x:v>
      </x:c>
    </x:row>
    <x:row r="389" ht="22" customHeight="1">
      <x:c r="A389" s="17" t="str">
        <x:f>"09223000"</x:f>
        <x:v>09223000</x:v>
      </x:c>
      <x:c r="B389" s="11" t="n">
        <x:v>0.9930315234555959</x:v>
      </x:c>
      <x:c r="C389" s="11" t="n">
        <x:v>0.9932377072291481</x:v>
      </x:c>
      <x:c r="D389" s="11" t="n">
        <x:v>0.695904858010993</x:v>
      </x:c>
      <x:c r="E389" s="11" t="n">
        <x:v>-0.0002061837735521932</x:v>
      </x:c>
      <x:c r="F389" s="11" t="n">
        <x:v>0.29712666544460287</x:v>
      </x:c>
      <x:c r="G389" s="11" t="n">
        <x:v>0.9862468124230495</x:v>
      </x:c>
      <x:c r="H389" s="11" t="n">
        <x:v>0.9894335247976684</x:v>
      </x:c>
    </x:row>
    <x:row r="390" ht="22" customHeight="1">
      <x:c r="A390" s="17" t="str">
        <x:f>"09306242"</x:f>
        <x:v>09306242</x:v>
      </x:c>
      <x:c r="B390" s="11" t="n">
        <x:v>0.9493032615536302</x:v>
      </x:c>
      <x:c r="C390" s="11" t="n">
        <x:v>0.9452240300558445</x:v>
      </x:c>
      <x:c r="D390" s="11" t="n">
        <x:v>-3.9341399327077324</x:v>
      </x:c>
      <x:c r="E390" s="11" t="n">
        <x:v>0.0040792314977856625</x:v>
      </x:c>
      <x:c r="F390" s="11" t="n">
        <x:v>4.883443194261362</x:v>
      </x:c>
      <x:c r="G390" s="11" t="n">
        <x:v>0.9840306860491275</x:v>
      </x:c>
      <x:c r="H390" s="11" t="n">
        <x:v>0.9675010857838987</x:v>
      </x:c>
    </x:row>
    <x:row r="391" ht="22" customHeight="1">
      <x:c r="A391" s="17" t="str">
        <x:f>"09312600"</x:f>
        <x:v>09312600</x:v>
      </x:c>
      <x:c r="B391" s="11" t="n">
        <x:v>0.9921897494220486</x:v>
      </x:c>
      <x:c r="C391" s="11" t="n">
        <x:v>0.993110475806756</x:v>
      </x:c>
      <x:c r="D391" s="11" t="n">
        <x:v>0.29756046222313615</x:v>
      </x:c>
      <x:c r="E391" s="11" t="n">
        <x:v>-0.0009207263847074154</x:v>
      </x:c>
      <x:c r="F391" s="11" t="n">
        <x:v>0.6946292871989125</x:v>
      </x:c>
      <x:c r="G391" s="11" t="n">
        <x:v>0.9862049583808735</x:v>
      </x:c>
      <x:c r="H391" s="11" t="n">
        <x:v>0.9919810497002591</x:v>
      </x:c>
    </x:row>
    <x:row r="392" ht="22" customHeight="1">
      <x:c r="A392" s="17" t="str">
        <x:f>"09352900"</x:f>
        <x:v>09352900</x:v>
      </x:c>
      <x:c r="B392" s="11" t="n">
        <x:v>0.8888649153433194</x:v>
      </x:c>
      <x:c r="C392" s="11" t="n">
        <x:v>0.8900275571192016</x:v>
      </x:c>
      <x:c r="D392" s="11" t="n">
        <x:v>0.7099698921714666</x:v>
      </x:c>
      <x:c r="E392" s="11" t="n">
        <x:v>-0.0011626417758822116</x:v>
      </x:c>
      <x:c r="F392" s="11" t="n">
        <x:v>0.1788950231718528</x:v>
      </x:c>
      <x:c r="G392" s="11" t="n">
        <x:v>0.9102833575968388</x:v>
      </x:c>
      <x:c r="H392" s="11" t="n">
        <x:v>0.914438143023044</x:v>
      </x:c>
    </x:row>
    <x:row r="393" ht="22" customHeight="1">
      <x:c r="A393" s="17" t="str">
        <x:f>"09378630"</x:f>
        <x:v>09378630</x:v>
      </x:c>
      <x:c r="B393" s="11" t="n">
        <x:v>0.9505356195128369</x:v>
      </x:c>
      <x:c r="C393" s="11" t="n">
        <x:v>0.9377166163224792</x:v>
      </x:c>
      <x:c r="D393" s="11" t="n">
        <x:v>0.4398139903994507</x:v>
      </x:c>
      <x:c r="E393" s="11" t="n">
        <x:v>0.01281900319035778</x:v>
      </x:c>
      <x:c r="F393" s="11" t="n">
        <x:v>0.5107216291133863</x:v>
      </x:c>
      <x:c r="G393" s="11" t="n">
        <x:v>0.9354341199013898</x:v>
      </x:c>
      <x:c r="H393" s="11" t="n">
        <x:v>0.9457958502309836</x:v>
      </x:c>
    </x:row>
    <x:row r="394" ht="22" customHeight="1">
      <x:c r="A394" s="17" t="str">
        <x:f>"09386900"</x:f>
        <x:v>09386900</x:v>
      </x:c>
      <x:c r="B394" s="11" t="n">
        <x:v>0.7642456616836604</x:v>
      </x:c>
      <x:c r="C394" s="11" t="n">
        <x:v>0.8259104584449399</x:v>
      </x:c>
      <x:c r="D394" s="11" t="n">
        <x:v>0.1472232991987683</x:v>
      </x:c>
      <x:c r="E394" s="11" t="n">
        <x:v>-0.06166479676127956</x:v>
      </x:c>
      <x:c r="F394" s="11" t="n">
        <x:v>0.6170223624848921</x:v>
      </x:c>
      <x:c r="G394" s="11" t="n">
        <x:v>0.75915347527319</x:v>
      </x:c>
      <x:c r="H394" s="11" t="n">
        <x:v>0.7739568020887947</x:v>
      </x:c>
    </x:row>
    <x:row r="395" ht="22" customHeight="1">
      <x:c r="A395" s="17" t="str">
        <x:f>"09404450"</x:f>
        <x:v>09404450</x:v>
      </x:c>
      <x:c r="B395" s="11" t="n">
        <x:v>0.6038062637564046</x:v>
      </x:c>
      <x:c r="C395" s="11" t="n">
        <x:v>0.48918407678550313</x:v>
      </x:c>
      <x:c r="D395" s="11" t="n">
        <x:v>0.09720065433297731</x:v>
      </x:c>
      <x:c r="E395" s="11" t="n">
        <x:v>0.11462218697090143</x:v>
      </x:c>
      <x:c r="F395" s="11" t="n">
        <x:v>0.5066056094234272</x:v>
      </x:c>
      <x:c r="G395" s="11" t="n">
        <x:v>0.5355978469499978</x:v>
      </x:c>
      <x:c r="H395" s="11" t="n">
        <x:v>0.55699541178413</x:v>
      </x:c>
    </x:row>
    <x:row r="396" ht="22" customHeight="1">
      <x:c r="A396" s="17" t="str">
        <x:f>"09430500"</x:f>
        <x:v>09430500</x:v>
      </x:c>
      <x:c r="B396" s="11" t="n">
        <x:v>0.6845967898911256</x:v>
      </x:c>
      <x:c r="C396" s="11" t="n">
        <x:v>0.754536318515816</x:v>
      </x:c>
      <x:c r="D396" s="11" t="n">
        <x:v>0.39083842337425134</x:v>
      </x:c>
      <x:c r="E396" s="11" t="n">
        <x:v>-0.06993952862469044</x:v>
      </x:c>
      <x:c r="F396" s="11" t="n">
        <x:v>0.29375836651687426</x:v>
      </x:c>
      <x:c r="G396" s="11" t="n">
        <x:v>0.666978718927578</x:v>
      </x:c>
      <x:c r="H396" s="11" t="n">
        <x:v>0.6469532881776139</x:v>
      </x:c>
    </x:row>
    <x:row r="397" ht="22" customHeight="1">
      <x:c r="A397" s="17" t="str">
        <x:f>"09430600"</x:f>
        <x:v>09430600</x:v>
      </x:c>
      <x:c r="B397" s="11" t="n">
        <x:v>0.2777710766963628</x:v>
      </x:c>
      <x:c r="C397" s="11" t="n">
        <x:v>0.3189870573575594</x:v>
      </x:c>
      <x:c r="D397" s="11" t="n">
        <x:v>0.11381559716156353</x:v>
      </x:c>
      <x:c r="E397" s="11" t="n">
        <x:v>-0.04121598066119658</x:v>
      </x:c>
      <x:c r="F397" s="11" t="n">
        <x:v>0.16395547953479928</x:v>
      </x:c>
      <x:c r="G397" s="11" t="n">
        <x:v>0.2828549181906578</x:v>
      </x:c>
      <x:c r="H397" s="11" t="n">
        <x:v>0.3948866047312243</x:v>
      </x:c>
    </x:row>
    <x:row r="398" ht="22" customHeight="1">
      <x:c r="A398" s="17" t="str">
        <x:f>"09492400"</x:f>
        <x:v>09492400</x:v>
      </x:c>
      <x:c r="B398" s="11" t="n">
        <x:v>0.9600175474582703</x:v>
      </x:c>
      <x:c r="C398" s="11" t="n">
        <x:v>0.9632178234791268</x:v>
      </x:c>
      <x:c r="D398" s="11" t="n">
        <x:v>0.6984918588111929</x:v>
      </x:c>
      <x:c r="E398" s="11" t="n">
        <x:v>-0.003200276020856485</x:v>
      </x:c>
      <x:c r="F398" s="11" t="n">
        <x:v>0.26152568864707737</x:v>
      </x:c>
      <x:c r="G398" s="11" t="n">
        <x:v>0.9496525741723808</x:v>
      </x:c>
      <x:c r="H398" s="11" t="n">
        <x:v>0.95243589755761</x:v>
      </x:c>
    </x:row>
    <x:row r="399" ht="22" customHeight="1">
      <x:c r="A399" s="17" t="str">
        <x:f>"09494000"</x:f>
        <x:v>09494000</x:v>
      </x:c>
      <x:c r="B399" s="11" t="n">
        <x:v>0.8962775398474353</x:v>
      </x:c>
      <x:c r="C399" s="11" t="n">
        <x:v>0.8888325017351693</x:v>
      </x:c>
      <x:c r="D399" s="11" t="n">
        <x:v>0.6162878470008132</x:v>
      </x:c>
      <x:c r="E399" s="11" t="n">
        <x:v>0.007445038112266045</x:v>
      </x:c>
      <x:c r="F399" s="11" t="n">
        <x:v>0.2799896928466221</x:v>
      </x:c>
      <x:c r="G399" s="11" t="n">
        <x:v>0.8865371600956222</x:v>
      </x:c>
      <x:c r="H399" s="11" t="n">
        <x:v>0.8886519192280367</x:v>
      </x:c>
    </x:row>
    <x:row r="400" ht="22" customHeight="1">
      <x:c r="A400" s="17" t="str">
        <x:f>"09497980"</x:f>
        <x:v>09497980</x:v>
      </x:c>
      <x:c r="B400" s="11" t="n">
        <x:v>0.3124778763267835</x:v>
      </x:c>
      <x:c r="C400" s="11" t="n">
        <x:v>0.34823981326160125</x:v>
      </x:c>
      <x:c r="D400" s="11" t="n">
        <x:v>0.39379567422966644</x:v>
      </x:c>
      <x:c r="E400" s="11" t="n">
        <x:v>-0.03576193693481777</x:v>
      </x:c>
      <x:c r="F400" s="11" t="n">
        <x:v>-0.08131779790288296</x:v>
      </x:c>
      <x:c r="G400" s="11" t="n">
        <x:v>0.3473002781414547</x:v>
      </x:c>
      <x:c r="H400" s="11" t="n">
        <x:v>0.4499841485085935</x:v>
      </x:c>
    </x:row>
    <x:row r="401" ht="22" customHeight="1">
      <x:c r="A401" s="17" t="str">
        <x:f>"09505350"</x:f>
        <x:v>09505350</x:v>
      </x:c>
      <x:c r="B401" s="11" t="n">
        <x:v>0.5074953646053179</x:v>
      </x:c>
      <x:c r="C401" s="11" t="n">
        <x:v>0.562547191935916</x:v>
      </x:c>
      <x:c r="D401" s="11" t="n">
        <x:v>0.3599214049779038</x:v>
      </x:c>
      <x:c r="E401" s="11" t="n">
        <x:v>-0.0550518273305981</x:v>
      </x:c>
      <x:c r="F401" s="11" t="n">
        <x:v>0.14757395962741404</x:v>
      </x:c>
      <x:c r="G401" s="11" t="n">
        <x:v>0.4525999573169417</x:v>
      </x:c>
      <x:c r="H401" s="11" t="n">
        <x:v>0.5306642670158782</x:v>
      </x:c>
    </x:row>
    <x:row r="402" ht="22" customHeight="1">
      <x:c r="A402" s="17" t="str">
        <x:f>"09505800"</x:f>
        <x:v>09505800</x:v>
      </x:c>
      <x:c r="B402" s="11" t="n">
        <x:v>0.28396813098480034</x:v>
      </x:c>
      <x:c r="C402" s="11" t="n">
        <x:v>0.41234234152939486</x:v>
      </x:c>
      <x:c r="D402" s="11" t="n">
        <x:v>0.15117416126476024</x:v>
      </x:c>
      <x:c r="E402" s="11" t="n">
        <x:v>-0.12837421054459452</x:v>
      </x:c>
      <x:c r="F402" s="11" t="n">
        <x:v>0.1327939697200401</x:v>
      </x:c>
      <x:c r="G402" s="11" t="n">
        <x:v>0.44072471564592497</x:v>
      </x:c>
      <x:c r="H402" s="11" t="n">
        <x:v>0.5243048335026337</x:v>
      </x:c>
    </x:row>
    <x:row r="403" ht="22" customHeight="1">
      <x:c r="A403" s="17" t="str">
        <x:f>"09508300"</x:f>
        <x:v>09508300</x:v>
      </x:c>
      <x:c r="B403" s="11" t="n">
        <x:v>0.28182848457620335</x:v>
      </x:c>
      <x:c r="C403" s="11" t="n">
        <x:v>0.3433818521090096</x:v>
      </x:c>
      <x:c r="D403" s="11" t="n">
        <x:v>0.2540112506222766</x:v>
      </x:c>
      <x:c r="E403" s="11" t="n">
        <x:v>-0.06155336753280627</x:v>
      </x:c>
      <x:c r="F403" s="11" t="n">
        <x:v>0.027817233953926768</x:v>
      </x:c>
      <x:c r="G403" s="11" t="n">
        <x:v>0.30306132267598584</x:v>
      </x:c>
      <x:c r="H403" s="11" t="n">
        <x:v>0.3824810726364257</x:v>
      </x:c>
    </x:row>
    <x:row r="404" ht="22" customHeight="1">
      <x:c r="A404" s="17" t="str">
        <x:f>"09510200"</x:f>
        <x:v>09510200</x:v>
      </x:c>
      <x:c r="B404" s="11" t="n">
        <x:v>0.3467998960642037</x:v>
      </x:c>
      <x:c r="C404" s="11" t="n">
        <x:v>0.252281941082266</x:v>
      </x:c>
      <x:c r="D404" s="11" t="n">
        <x:v>0.2615355135978962</x:v>
      </x:c>
      <x:c r="E404" s="11" t="n">
        <x:v>0.09451795498193771</x:v>
      </x:c>
      <x:c r="F404" s="11" t="n">
        <x:v>0.08526438246630752</x:v>
      </x:c>
      <x:c r="G404" s="11" t="n">
        <x:v>0.17704324618249023</x:v>
      </x:c>
      <x:c r="H404" s="11" t="n">
        <x:v>0.3460907815213723</x:v>
      </x:c>
    </x:row>
    <x:row r="405" ht="22" customHeight="1">
      <x:c r="A405" s="17" t="str">
        <x:f>"09513780"</x:f>
        <x:v>09513780</x:v>
      </x:c>
      <x:c r="B405" s="11" t="n">
        <x:v>0.0700274021710805</x:v>
      </x:c>
      <x:c r="C405" s="11" t="n">
        <x:v>0.11835251259137136</x:v>
      </x:c>
      <x:c r="D405" s="11" t="n">
        <x:v>0.050619058656827365</x:v>
      </x:c>
      <x:c r="E405" s="11" t="n">
        <x:v>-0.04832511042029086</x:v>
      </x:c>
      <x:c r="F405" s="11" t="n">
        <x:v>0.019408343514253135</x:v>
      </x:c>
      <x:c r="G405" s="11" t="n">
        <x:v>-0.3164710724235724</x:v>
      </x:c>
      <x:c r="H405" s="11" t="n">
        <x:v>0.08208206534419227</x:v>
      </x:c>
    </x:row>
    <x:row r="406" ht="22" customHeight="1">
      <x:c r="A406" s="17" t="str">
        <x:f>"10172700"</x:f>
        <x:v>10172700</x:v>
      </x:c>
      <x:c r="B406" s="11" t="n">
        <x:v>0.9182431589083005</x:v>
      </x:c>
      <x:c r="C406" s="11" t="n">
        <x:v>0.9121339309687506</x:v>
      </x:c>
      <x:c r="D406" s="11" t="n">
        <x:v>0.13171024128485365</x:v>
      </x:c>
      <x:c r="E406" s="11" t="n">
        <x:v>0.006109227939549933</x:v>
      </x:c>
      <x:c r="F406" s="11" t="n">
        <x:v>0.7865329176234469</x:v>
      </x:c>
      <x:c r="G406" s="11" t="n">
        <x:v>0.9239149350597603</x:v>
      </x:c>
      <x:c r="H406" s="11" t="n">
        <x:v>0.9200531507535687</x:v>
      </x:c>
    </x:row>
    <x:row r="407" ht="22" customHeight="1">
      <x:c r="A407" s="17" t="str">
        <x:f>"10172800"</x:f>
        <x:v>10172800</x:v>
      </x:c>
      <x:c r="B407" s="11" t="n">
        <x:v>0.9843571510367407</x:v>
      </x:c>
      <x:c r="C407" s="11" t="n">
        <x:v>0.9828488444284043</x:v>
      </x:c>
      <x:c r="D407" s="11" t="n">
        <x:v>0.6335109055115462</x:v>
      </x:c>
      <x:c r="E407" s="11" t="n">
        <x:v>0.0015083066083364516</x:v>
      </x:c>
      <x:c r="F407" s="11" t="n">
        <x:v>0.3508462455251945</x:v>
      </x:c>
      <x:c r="G407" s="11" t="n">
        <x:v>0.9820951995201228</x:v>
      </x:c>
      <x:c r="H407" s="11" t="n">
        <x:v>0.9817910241138043</x:v>
      </x:c>
    </x:row>
    <x:row r="408" ht="22" customHeight="1">
      <x:c r="A408" s="17" t="str">
        <x:f>"10173450"</x:f>
        <x:v>10173450</x:v>
      </x:c>
      <x:c r="B408" s="11" t="n">
        <x:v>0.9915314075749923</x:v>
      </x:c>
      <x:c r="C408" s="11" t="n">
        <x:v>0.9951702295453614</x:v>
      </x:c>
      <x:c r="D408" s="11" t="n">
        <x:v>0.4856107913817914</x:v>
      </x:c>
      <x:c r="E408" s="11" t="n">
        <x:v>-0.0036388219703691327</x:v>
      </x:c>
      <x:c r="F408" s="11" t="n">
        <x:v>0.5059206161932008</x:v>
      </x:c>
      <x:c r="G408" s="11" t="n">
        <x:v>0.9897720730837869</x:v>
      </x:c>
      <x:c r="H408" s="11" t="n">
        <x:v>0.9932383953094438</x:v>
      </x:c>
    </x:row>
    <x:row r="409" ht="22" customHeight="1">
      <x:c r="A409" s="17" t="str">
        <x:f>"10205030"</x:f>
        <x:v>10205030</x:v>
      </x:c>
      <x:c r="B409" s="11" t="n">
        <x:v>0.9848020678896429</x:v>
      </x:c>
      <x:c r="C409" s="11" t="n">
        <x:v>0.9862803290995473</x:v>
      </x:c>
      <x:c r="D409" s="11" t="n">
        <x:v>0.7390182318878294</x:v>
      </x:c>
      <x:c r="E409" s="11" t="n">
        <x:v>-0.0014782612099044634</x:v>
      </x:c>
      <x:c r="F409" s="11" t="n">
        <x:v>0.24578383600181342</x:v>
      </x:c>
      <x:c r="G409" s="11" t="n">
        <x:v>0.982776556294297</x:v>
      </x:c>
      <x:c r="H409" s="11" t="n">
        <x:v>0.9842352765091749</x:v>
      </x:c>
    </x:row>
    <x:row r="410" ht="22" customHeight="1">
      <x:c r="A410" s="17" t="str">
        <x:f>"10234500"</x:f>
        <x:v>10234500</x:v>
      </x:c>
      <x:c r="B410" s="11" t="n">
        <x:v>0.9645894350125002</x:v>
      </x:c>
      <x:c r="C410" s="11" t="n">
        <x:v>0.9687352998412803</x:v>
      </x:c>
      <x:c r="D410" s="11" t="n">
        <x:v>0.780084460780742</x:v>
      </x:c>
      <x:c r="E410" s="11" t="n">
        <x:v>-0.004145864828780099</x:v>
      </x:c>
      <x:c r="F410" s="11" t="n">
        <x:v>0.18450497423175816</x:v>
      </x:c>
      <x:c r="G410" s="11" t="n">
        <x:v>0.9571690518304969</x:v>
      </x:c>
      <x:c r="H410" s="11" t="n">
        <x:v>0.9605906649771627</x:v>
      </x:c>
    </x:row>
    <x:row r="411" ht="22" customHeight="1">
      <x:c r="A411" s="17" t="str">
        <x:f>"10242000"</x:f>
        <x:v>10242000</x:v>
      </x:c>
      <x:c r="B411" s="11" t="n">
        <x:v>0.9462283760578152</x:v>
      </x:c>
      <x:c r="C411" s="11" t="n">
        <x:v>0.9405515835817401</x:v>
      </x:c>
      <x:c r="D411" s="11" t="n">
        <x:v>0.757525410782099</x:v>
      </x:c>
      <x:c r="E411" s="11" t="n">
        <x:v>0.00567679247607511</x:v>
      </x:c>
      <x:c r="F411" s="11" t="n">
        <x:v>0.18870296527571617</x:v>
      </x:c>
      <x:c r="G411" s="11" t="n">
        <x:v>0.9326600038236046</x:v>
      </x:c>
      <x:c r="H411" s="11" t="n">
        <x:v>0.9351066682252118</x:v>
      </x:c>
    </x:row>
    <x:row r="412" ht="22" customHeight="1">
      <x:c r="A412" s="17" t="str">
        <x:f>"10244950"</x:f>
        <x:v>10244950</x:v>
      </x:c>
      <x:c r="B412" s="11" t="n">
        <x:v>0.9950706441542508</x:v>
      </x:c>
      <x:c r="C412" s="11" t="n">
        <x:v>0.9937931371215257</x:v>
      </x:c>
      <x:c r="D412" s="11" t="n">
        <x:v>0.1405609333008011</x:v>
      </x:c>
      <x:c r="E412" s="11" t="n">
        <x:v>0.0012775070327251115</x:v>
      </x:c>
      <x:c r="F412" s="11" t="n">
        <x:v>0.8545097108534497</x:v>
      </x:c>
      <x:c r="G412" s="11" t="n">
        <x:v>0.9945762764165073</x:v>
      </x:c>
      <x:c r="H412" s="11" t="n">
        <x:v>0.9948077447618302</x:v>
      </x:c>
    </x:row>
    <x:row r="413" ht="22" customHeight="1">
      <x:c r="A413" s="17" t="str">
        <x:f>"10249300"</x:f>
        <x:v>10249300</x:v>
      </x:c>
      <x:c r="B413" s="11" t="n">
        <x:v>0.9822668516683246</x:v>
      </x:c>
      <x:c r="C413" s="11" t="n">
        <x:v>0.9603268063290262</x:v>
      </x:c>
      <x:c r="D413" s="11" t="n">
        <x:v>0.4849136704330945</x:v>
      </x:c>
      <x:c r="E413" s="11" t="n">
        <x:v>0.021940045339298386</x:v>
      </x:c>
      <x:c r="F413" s="11" t="n">
        <x:v>0.4973531812352301</x:v>
      </x:c>
      <x:c r="G413" s="11" t="n">
        <x:v>0.972594478423065</x:v>
      </x:c>
      <x:c r="H413" s="11" t="n">
        <x:v>0.9817387825919173</x:v>
      </x:c>
    </x:row>
    <x:row r="414" ht="22" customHeight="1">
      <x:c r="A414" s="17" t="str">
        <x:f>"10258500"</x:f>
        <x:v>10258500</x:v>
      </x:c>
      <x:c r="B414" s="11" t="n">
        <x:v>0.36711073729037824</x:v>
      </x:c>
      <x:c r="C414" s="11" t="n">
        <x:v>0.292671885291124</x:v>
      </x:c>
      <x:c r="D414" s="11" t="n">
        <x:v>0.060514928756879804</x:v>
      </x:c>
      <x:c r="E414" s="11" t="n">
        <x:v>0.07443885199925426</x:v>
      </x:c>
      <x:c r="F414" s="11" t="n">
        <x:v>0.30659580853349844</x:v>
      </x:c>
      <x:c r="G414" s="11" t="n">
        <x:v>0.2296060013135699</x:v>
      </x:c>
      <x:c r="H414" s="11" t="n">
        <x:v>0.3651265295738485</x:v>
      </x:c>
    </x:row>
    <x:row r="415" ht="22" customHeight="1">
      <x:c r="A415" s="17" t="str">
        <x:f>"10259000"</x:f>
        <x:v>10259000</x:v>
      </x:c>
      <x:c r="B415" s="11" t="n">
        <x:v>0.523817463404486</x:v>
      </x:c>
      <x:c r="C415" s="11" t="n">
        <x:v>0.18285658451738462</x:v>
      </x:c>
      <x:c r="D415" s="11" t="n">
        <x:v>0.20196465274161424</x:v>
      </x:c>
      <x:c r="E415" s="11" t="n">
        <x:v>0.34096087888710136</x:v>
      </x:c>
      <x:c r="F415" s="11" t="n">
        <x:v>0.32185281066287175</x:v>
      </x:c>
      <x:c r="G415" s="11" t="n">
        <x:v>0.4531166510598865</x:v>
      </x:c>
      <x:c r="H415" s="11" t="n">
        <x:v>0.4818408134526052</x:v>
      </x:c>
    </x:row>
    <x:row r="416" ht="22" customHeight="1">
      <x:c r="A416" s="17" t="str">
        <x:f>"10259200"</x:f>
        <x:v>10259200</x:v>
      </x:c>
      <x:c r="B416" s="11" t="n">
        <x:v>0.03682569447641926</x:v>
      </x:c>
      <x:c r="C416" s="11" t="n">
        <x:v>-0.021769762658906622</x:v>
      </x:c>
      <x:c r="D416" s="11" t="n">
        <x:v>-0.10711808673967749</x:v>
      </x:c>
      <x:c r="E416" s="11" t="n">
        <x:v>0.05859545713532588</x:v>
      </x:c>
      <x:c r="F416" s="11" t="n">
        <x:v>0.14394378121609674</x:v>
      </x:c>
      <x:c r="G416" s="11" t="n">
        <x:v>-0.4482174377082222</x:v>
      </x:c>
      <x:c r="H416" s="11" t="n">
        <x:v>0.029148515433946587</x:v>
      </x:c>
    </x:row>
    <x:row r="417" ht="22" customHeight="1">
      <x:c r="A417" s="17" t="str">
        <x:f>"10263500"</x:f>
        <x:v>10263500</x:v>
      </x:c>
      <x:c r="B417" s="11" t="n">
        <x:v>0.564449872089827</x:v>
      </x:c>
      <x:c r="C417" s="11" t="n">
        <x:v>0.5753101823547941</x:v>
      </x:c>
      <x:c r="D417" s="11" t="n">
        <x:v>0.2166119930429442</x:v>
      </x:c>
      <x:c r="E417" s="11" t="n">
        <x:v>-0.010860310264967143</x:v>
      </x:c>
      <x:c r="F417" s="11" t="n">
        <x:v>0.3478378790468828</x:v>
      </x:c>
      <x:c r="G417" s="11" t="n">
        <x:v>0.42500952485751065</x:v>
      </x:c>
      <x:c r="H417" s="11" t="n">
        <x:v>0.42055590847164526</x:v>
      </x:c>
    </x:row>
    <x:row r="418" ht="22" customHeight="1">
      <x:c r="A418" s="17" t="str">
        <x:f>"10316500"</x:f>
        <x:v>10316500</x:v>
      </x:c>
      <x:c r="B418" s="11" t="n">
        <x:v>0.9804184105800509</x:v>
      </x:c>
      <x:c r="C418" s="11" t="n">
        <x:v>0.9831583947303009</x:v>
      </x:c>
      <x:c r="D418" s="11" t="n">
        <x:v>0.644930545086182</x:v>
      </x:c>
      <x:c r="E418" s="11" t="n">
        <x:v>-0.0027399841502500077</x:v>
      </x:c>
      <x:c r="F418" s="11" t="n">
        <x:v>0.3354878654938689</x:v>
      </x:c>
      <x:c r="G418" s="11" t="n">
        <x:v>0.9723422571969571</x:v>
      </x:c>
      <x:c r="H418" s="11" t="n">
        <x:v>0.9779210609417429</x:v>
      </x:c>
    </x:row>
    <x:row r="419" ht="22" customHeight="1">
      <x:c r="A419" s="17" t="str">
        <x:f>"10329500"</x:f>
        <x:v>10329500</x:v>
      </x:c>
      <x:c r="B419" s="11" t="n">
        <x:v>0.9204452430656566</x:v>
      </x:c>
      <x:c r="C419" s="11" t="n">
        <x:v>0.8794054104594223</x:v>
      </x:c>
      <x:c r="D419" s="11" t="n">
        <x:v>0.29721550890086623</x:v>
      </x:c>
      <x:c r="E419" s="11" t="n">
        <x:v>0.04103983260623423</x:v>
      </x:c>
      <x:c r="F419" s="11" t="n">
        <x:v>0.6232297341647903</x:v>
      </x:c>
      <x:c r="G419" s="11" t="n">
        <x:v>0.8250500067688227</x:v>
      </x:c>
      <x:c r="H419" s="11" t="n">
        <x:v>0.8418678270746461</x:v>
      </x:c>
    </x:row>
    <x:row r="420" ht="22" customHeight="1">
      <x:c r="A420" s="17" t="str">
        <x:f>"10336660"</x:f>
        <x:v>10336660</x:v>
      </x:c>
      <x:c r="B420" s="11" t="n">
        <x:v>0.9381932476591728</x:v>
      </x:c>
      <x:c r="C420" s="11" t="n">
        <x:v>0.931337343710189</x:v>
      </x:c>
      <x:c r="D420" s="11" t="n">
        <x:v>0.43398358861825426</x:v>
      </x:c>
      <x:c r="E420" s="11" t="n">
        <x:v>0.0068559039489838325</x:v>
      </x:c>
      <x:c r="F420" s="11" t="n">
        <x:v>0.5042096590409185</x:v>
      </x:c>
      <x:c r="G420" s="11" t="n">
        <x:v>0.9080875866987258</x:v>
      </x:c>
      <x:c r="H420" s="11" t="n">
        <x:v>0.8921580809651086</x:v>
      </x:c>
    </x:row>
    <x:row r="421" ht="22" customHeight="1">
      <x:c r="A421" s="17" t="str">
        <x:f>"10343500"</x:f>
        <x:v>10343500</x:v>
      </x:c>
      <x:c r="B421" s="11" t="n">
        <x:v>0.9536265645292651</x:v>
      </x:c>
      <x:c r="C421" s="11" t="n">
        <x:v>0.8818443431963623</x:v>
      </x:c>
      <x:c r="D421" s="11" t="n">
        <x:v>0.45654190626264424</x:v>
      </x:c>
      <x:c r="E421" s="11" t="n">
        <x:v>0.0717822213329028</x:v>
      </x:c>
      <x:c r="F421" s="11" t="n">
        <x:v>0.49708465826662085</x:v>
      </x:c>
      <x:c r="G421" s="11" t="n">
        <x:v>0.9493907804718155</x:v>
      </x:c>
      <x:c r="H421" s="11" t="n">
        <x:v>0.9379088557845914</x:v>
      </x:c>
    </x:row>
    <x:row r="422" ht="22" customHeight="1">
      <x:c r="A422" s="17" t="str">
        <x:f>"10396000"</x:f>
        <x:v>10396000</x:v>
      </x:c>
      <x:c r="B422" s="11" t="n">
        <x:v>0.9148414026879385</x:v>
      </x:c>
      <x:c r="C422" s="11" t="n">
        <x:v>0.8843057129026558</x:v>
      </x:c>
      <x:c r="D422" s="11" t="n">
        <x:v>0.6191698868846814</x:v>
      </x:c>
      <x:c r="E422" s="11" t="n">
        <x:v>0.03053568978528265</x:v>
      </x:c>
      <x:c r="F422" s="11" t="n">
        <x:v>0.295671515803257</x:v>
      </x:c>
      <x:c r="G422" s="11" t="n">
        <x:v>0.8765000753282756</x:v>
      </x:c>
      <x:c r="H422" s="11" t="n">
        <x:v>0.8857656074253899</x:v>
      </x:c>
    </x:row>
    <x:row r="423" ht="22" customHeight="1">
      <x:c r="A423" s="17" t="str">
        <x:f>"11098000"</x:f>
        <x:v>11098000</x:v>
      </x:c>
      <x:c r="B423" s="11" t="n">
        <x:v>-0.15105066950785173</x:v>
      </x:c>
      <x:c r="C423" s="11" t="n">
        <x:v>-0.3787421748973092</x:v>
      </x:c>
      <x:c r="D423" s="11" t="n">
        <x:v>-0.18816054837671414</x:v>
      </x:c>
      <x:c r="E423" s="11" t="n">
        <x:v>0.22769150538945748</x:v>
      </x:c>
      <x:c r="F423" s="11" t="n">
        <x:v>0.03710987886886241</x:v>
      </x:c>
      <x:c r="G423" s="11" t="n">
        <x:v>-0.05539032026948587</x:v>
      </x:c>
      <x:c r="H423" s="11" t="n">
        <x:v>0.11794996872284624</x:v>
      </x:c>
    </x:row>
    <x:row r="424" ht="22" customHeight="1">
      <x:c r="A424" s="17" t="str">
        <x:f>"11124500"</x:f>
        <x:v>11124500</x:v>
      </x:c>
      <x:c r="B424" s="11" t="n">
        <x:v>0.3385258773407046</x:v>
      </x:c>
      <x:c r="C424" s="11" t="n">
        <x:v>0.3321137400864945</x:v>
      </x:c>
      <x:c r="D424" s="11" t="n">
        <x:v>-0.05334391961999185</x:v>
      </x:c>
      <x:c r="E424" s="11" t="n">
        <x:v>0.006412137254210082</x:v>
      </x:c>
      <x:c r="F424" s="11" t="n">
        <x:v>0.39186979696069646</x:v>
      </x:c>
      <x:c r="G424" s="11" t="n">
        <x:v>0.1551523005989821</x:v>
      </x:c>
      <x:c r="H424" s="11" t="n">
        <x:v>0.32041425564575343</x:v>
      </x:c>
    </x:row>
    <x:row r="425" ht="22" customHeight="1">
      <x:c r="A425" s="17" t="str">
        <x:f>"11141280"</x:f>
        <x:v>11141280</x:v>
      </x:c>
      <x:c r="B425" s="11" t="n">
        <x:v>0.40576668405117666</x:v>
      </x:c>
      <x:c r="C425" s="11" t="n">
        <x:v>0.401418988864806</x:v>
      </x:c>
      <x:c r="D425" s="11" t="n">
        <x:v>0.09895202654044388</x:v>
      </x:c>
      <x:c r="E425" s="11" t="n">
        <x:v>0.004347695186370681</x:v>
      </x:c>
      <x:c r="F425" s="11" t="n">
        <x:v>0.3068146575107328</x:v>
      </x:c>
      <x:c r="G425" s="11" t="n">
        <x:v>0.14436644233772344</x:v>
      </x:c>
      <x:c r="H425" s="11" t="n">
        <x:v>0.3437860128588065</x:v>
      </x:c>
    </x:row>
    <x:row r="426" ht="22" customHeight="1">
      <x:c r="A426" s="17" t="str">
        <x:f>"11143000"</x:f>
        <x:v>11143000</x:v>
      </x:c>
      <x:c r="B426" s="11" t="n">
        <x:v>0.7499630486798365</x:v>
      </x:c>
      <x:c r="C426" s="11" t="n">
        <x:v>0.7106807150060841</x:v>
      </x:c>
      <x:c r="D426" s="11" t="n">
        <x:v>0.1254902736122433</x:v>
      </x:c>
      <x:c r="E426" s="11" t="n">
        <x:v>0.039282333673752445</x:v>
      </x:c>
      <x:c r="F426" s="11" t="n">
        <x:v>0.6244727750675932</x:v>
      </x:c>
      <x:c r="G426" s="11" t="n">
        <x:v>0.7188141483351691</x:v>
      </x:c>
      <x:c r="H426" s="11" t="n">
        <x:v>0.7395763694345419</x:v>
      </x:c>
    </x:row>
    <x:row r="427" ht="22" customHeight="1">
      <x:c r="A427" s="17" t="str">
        <x:f>"11148900"</x:f>
        <x:v>11148900</x:v>
      </x:c>
      <x:c r="B427" s="11" t="n">
        <x:v>0.4317380275658066</x:v>
      </x:c>
      <x:c r="C427" s="11" t="n">
        <x:v>0.44063674795923247</x:v>
      </x:c>
      <x:c r="D427" s="11" t="n">
        <x:v>0.27214239650024663</x:v>
      </x:c>
      <x:c r="E427" s="11" t="n">
        <x:v>-0.008898720393425874</x:v>
      </x:c>
      <x:c r="F427" s="11" t="n">
        <x:v>0.15959563106555996</x:v>
      </x:c>
      <x:c r="G427" s="11" t="n">
        <x:v>0.27192439484030895</x:v>
      </x:c>
      <x:c r="H427" s="11" t="n">
        <x:v>0.418144920866639</x:v>
      </x:c>
    </x:row>
    <x:row r="428" ht="22" customHeight="1">
      <x:c r="A428" s="17" t="str">
        <x:f>"11151300"</x:f>
        <x:v>11151300</x:v>
      </x:c>
      <x:c r="B428" s="11" t="n">
        <x:v>0.23301972432704277</x:v>
      </x:c>
      <x:c r="C428" s="11" t="n">
        <x:v>0.22899599291163975</x:v>
      </x:c>
      <x:c r="D428" s="11" t="n">
        <x:v>0.15726746308197737</x:v>
      </x:c>
      <x:c r="E428" s="11" t="n">
        <x:v>0.00402373141540302</x:v>
      </x:c>
      <x:c r="F428" s="11" t="n">
        <x:v>0.0757522612450654</x:v>
      </x:c>
      <x:c r="G428" s="11" t="n">
        <x:v>-0.0361121122663417</x:v>
      </x:c>
      <x:c r="H428" s="11" t="n">
        <x:v>0.23853333990075853</x:v>
      </x:c>
    </x:row>
    <x:row r="429" ht="22" customHeight="1">
      <x:c r="A429" s="17" t="str">
        <x:f>"11162500"</x:f>
        <x:v>11162500</x:v>
      </x:c>
      <x:c r="B429" s="11" t="n">
        <x:v>0.487479278720099</x:v>
      </x:c>
      <x:c r="C429" s="11" t="n">
        <x:v>0.4343005318256009</x:v>
      </x:c>
      <x:c r="D429" s="11" t="n">
        <x:v>0.3087725563453403</x:v>
      </x:c>
      <x:c r="E429" s="11" t="n">
        <x:v>0.053178746894498086</x:v>
      </x:c>
      <x:c r="F429" s="11" t="n">
        <x:v>0.1787067223747587</x:v>
      </x:c>
      <x:c r="G429" s="11" t="n">
        <x:v>0.32277394669764814</x:v>
      </x:c>
      <x:c r="H429" s="11" t="n">
        <x:v>0.43847713331144045</x:v>
      </x:c>
    </x:row>
    <x:row r="430" ht="22" customHeight="1">
      <x:c r="A430" s="17" t="str">
        <x:f>"11176400"</x:f>
        <x:v>11176400</x:v>
      </x:c>
      <x:c r="B430" s="11" t="n">
        <x:v>0.2771172559131514</x:v>
      </x:c>
      <x:c r="C430" s="11" t="n">
        <x:v>0.36544657564683913</x:v>
      </x:c>
      <x:c r="D430" s="11" t="n">
        <x:v>-0.623216584208726</x:v>
      </x:c>
      <x:c r="E430" s="11" t="n">
        <x:v>-0.08832931973368774</x:v>
      </x:c>
      <x:c r="F430" s="11" t="n">
        <x:v>0.9003338401218774</x:v>
      </x:c>
      <x:c r="G430" s="11" t="n">
        <x:v>0.2116473137485838</x:v>
      </x:c>
      <x:c r="H430" s="11" t="n">
        <x:v>0.3777269770655417</x:v>
      </x:c>
    </x:row>
    <x:row r="431" ht="22" customHeight="1">
      <x:c r="A431" s="17" t="str">
        <x:f>"11180500"</x:f>
        <x:v>11180500</x:v>
      </x:c>
      <x:c r="B431" s="11" t="n">
        <x:v>0.3578780082858253</x:v>
      </x:c>
      <x:c r="C431" s="11" t="n">
        <x:v>0.2973094980137365</x:v>
      </x:c>
      <x:c r="D431" s="11" t="n">
        <x:v>0.27241507907591256</x:v>
      </x:c>
      <x:c r="E431" s="11" t="n">
        <x:v>0.06056851027208876</x:v>
      </x:c>
      <x:c r="F431" s="11" t="n">
        <x:v>0.08546292920991272</x:v>
      </x:c>
      <x:c r="G431" s="11" t="n">
        <x:v>0.10528542288343401</x:v>
      </x:c>
      <x:c r="H431" s="11" t="n">
        <x:v>0.30575178841742146</x:v>
      </x:c>
    </x:row>
    <x:row r="432" ht="22" customHeight="1">
      <x:c r="A432" s="17" t="str">
        <x:f>"11180960"</x:f>
        <x:v>11180960</x:v>
      </x:c>
      <x:c r="B432" s="11" t="n">
        <x:v>0.28020407612802956</x:v>
      </x:c>
      <x:c r="C432" s="11" t="n">
        <x:v>0.3567386020077081</x:v>
      </x:c>
      <x:c r="D432" s="11" t="n">
        <x:v>0.15168701170821297</x:v>
      </x:c>
      <x:c r="E432" s="11" t="n">
        <x:v>-0.07653452587967857</x:v>
      </x:c>
      <x:c r="F432" s="11" t="n">
        <x:v>0.12851706441981658</x:v>
      </x:c>
      <x:c r="G432" s="11" t="n">
        <x:v>-0.012169465794822365</x:v>
      </x:c>
      <x:c r="H432" s="11" t="n">
        <x:v>0.22060948935765168</x:v>
      </x:c>
    </x:row>
    <x:row r="433" ht="22" customHeight="1">
      <x:c r="A433" s="17" t="str">
        <x:f>"11224500"</x:f>
        <x:v>11224500</x:v>
      </x:c>
      <x:c r="B433" s="11" t="n">
        <x:v>0.2511402257131259</x:v>
      </x:c>
      <x:c r="C433" s="11" t="n">
        <x:v>0.2582634419318568</x:v>
      </x:c>
      <x:c r="D433" s="11" t="n">
        <x:v>-0.6618048406908679</x:v>
      </x:c>
      <x:c r="E433" s="11" t="n">
        <x:v>-0.00712321621873091</x:v>
      </x:c>
      <x:c r="F433" s="11" t="n">
        <x:v>0.9129450664039938</x:v>
      </x:c>
      <x:c r="G433" s="11" t="n">
        <x:v>0.130029175795479</x:v>
      </x:c>
      <x:c r="H433" s="11" t="n">
        <x:v>0.33726150632392426</x:v>
      </x:c>
    </x:row>
    <x:row r="434" ht="22" customHeight="1">
      <x:c r="A434" s="17" t="str">
        <x:f>"11230500"</x:f>
        <x:v>11230500</x:v>
      </x:c>
      <x:c r="B434" s="11" t="n">
        <x:v>0.973350613412899</x:v>
      </x:c>
      <x:c r="C434" s="11" t="n">
        <x:v>0.9745723298082763</x:v>
      </x:c>
      <x:c r="D434" s="11" t="n">
        <x:v>0.6126154626781275</x:v>
      </x:c>
      <x:c r="E434" s="11" t="n">
        <x:v>-0.0012217163953773813</x:v>
      </x:c>
      <x:c r="F434" s="11" t="n">
        <x:v>0.36073515073477147</x:v>
      </x:c>
      <x:c r="G434" s="11" t="n">
        <x:v>0.9684548964493149</x:v>
      </x:c>
      <x:c r="H434" s="11" t="n">
        <x:v>0.97233026496161</x:v>
      </x:c>
    </x:row>
    <x:row r="435" ht="22" customHeight="1">
      <x:c r="A435" s="17" t="str">
        <x:f>"11237500"</x:f>
        <x:v>11237500</x:v>
      </x:c>
      <x:c r="B435" s="11" t="n">
        <x:v>0.9724564951159841</x:v>
      </x:c>
      <x:c r="C435" s="11" t="n">
        <x:v>0.9688700866026912</x:v>
      </x:c>
      <x:c r="D435" s="11" t="n">
        <x:v>0.6727008726479291</x:v>
      </x:c>
      <x:c r="E435" s="11" t="n">
        <x:v>0.003586408513292838</x:v>
      </x:c>
      <x:c r="F435" s="11" t="n">
        <x:v>0.299755622468055</x:v>
      </x:c>
      <x:c r="G435" s="11" t="n">
        <x:v>0.9675352471784047</x:v>
      </x:c>
      <x:c r="H435" s="11" t="n">
        <x:v>0.9604796757332862</x:v>
      </x:c>
    </x:row>
    <x:row r="436" ht="22" customHeight="1">
      <x:c r="A436" s="17" t="str">
        <x:f>"11253310"</x:f>
        <x:v>11253310</x:v>
      </x:c>
      <x:c r="B436" s="11" t="n">
        <x:v>0.2696475105608065</x:v>
      </x:c>
      <x:c r="C436" s="11" t="n">
        <x:v>0.26595769906165834</x:v>
      </x:c>
      <x:c r="D436" s="11" t="n">
        <x:v>-0.06176401156851674</x:v>
      </x:c>
      <x:c r="E436" s="11" t="n">
        <x:v>0.0036898114991481545</x:v>
      </x:c>
      <x:c r="F436" s="11" t="n">
        <x:v>0.33141152212932323</x:v>
      </x:c>
      <x:c r="G436" s="11" t="n">
        <x:v>0.014938920058482297</x:v>
      </x:c>
      <x:c r="H436" s="11" t="n">
        <x:v>0.29776527396860586</x:v>
      </x:c>
    </x:row>
    <x:row r="437" ht="22" customHeight="1">
      <x:c r="A437" s="17" t="str">
        <x:f>"11264500"</x:f>
        <x:v>11264500</x:v>
      </x:c>
      <x:c r="B437" s="11" t="n">
        <x:v>0.9724088198873634</x:v>
      </x:c>
      <x:c r="C437" s="11" t="n">
        <x:v>0.9668501741229322</x:v>
      </x:c>
      <x:c r="D437" s="11" t="n">
        <x:v>0.6581147644289649</x:v>
      </x:c>
      <x:c r="E437" s="11" t="n">
        <x:v>0.005558645764431214</x:v>
      </x:c>
      <x:c r="F437" s="11" t="n">
        <x:v>0.3142940554583985</x:v>
      </x:c>
      <x:c r="G437" s="11" t="n">
        <x:v>0.9502709113512957</x:v>
      </x:c>
      <x:c r="H437" s="11" t="n">
        <x:v>0.9518265908211364</x:v>
      </x:c>
    </x:row>
    <x:row r="438" ht="22" customHeight="1">
      <x:c r="A438" s="17" t="str">
        <x:f>"11266500"</x:f>
        <x:v>11266500</x:v>
      </x:c>
      <x:c r="B438" s="11" t="n">
        <x:v>0.9764452339723134</x:v>
      </x:c>
      <x:c r="C438" s="11" t="n">
        <x:v>0.9752733684019309</x:v>
      </x:c>
      <x:c r="D438" s="11" t="n">
        <x:v>0.7044256145229167</x:v>
      </x:c>
      <x:c r="E438" s="11" t="n">
        <x:v>0.0011718655703825132</x:v>
      </x:c>
      <x:c r="F438" s="11" t="n">
        <x:v>0.2720196194493967</x:v>
      </x:c>
      <x:c r="G438" s="11" t="n">
        <x:v>0.960799220986732</x:v>
      </x:c>
      <x:c r="H438" s="11" t="n">
        <x:v>0.9607881383207233</x:v>
      </x:c>
    </x:row>
    <x:row r="439" ht="22" customHeight="1">
      <x:c r="A439" s="17" t="str">
        <x:f>"11274500"</x:f>
        <x:v>11274500</x:v>
      </x:c>
      <x:c r="B439" s="11" t="n">
        <x:v>0.35983803708481443</x:v>
      </x:c>
      <x:c r="C439" s="11" t="n">
        <x:v>0.2161201683902223</x:v>
      </x:c>
      <x:c r="D439" s="11" t="n">
        <x:v>0.2828283737085904</x:v>
      </x:c>
      <x:c r="E439" s="11" t="n">
        <x:v>0.14371786869459213</x:v>
      </x:c>
      <x:c r="F439" s="11" t="n">
        <x:v>0.07700966337622406</x:v>
      </x:c>
      <x:c r="G439" s="11" t="n">
        <x:v>0.17201476463941723</x:v>
      </x:c>
      <x:c r="H439" s="11" t="n">
        <x:v>0.35885585298402845</x:v>
      </x:c>
    </x:row>
    <x:row r="440" ht="22" customHeight="1">
      <x:c r="A440" s="17" t="str">
        <x:f>"11274630"</x:f>
        <x:v>11274630</x:v>
      </x:c>
      <x:c r="B440" s="11" t="n">
        <x:v>0.4609233221696488</x:v>
      </x:c>
      <x:c r="C440" s="11" t="n">
        <x:v>0.49846649342144633</x:v>
      </x:c>
      <x:c r="D440" s="11" t="n">
        <x:v>0.04572826004303543</x:v>
      </x:c>
      <x:c r="E440" s="11" t="n">
        <x:v>-0.037543171251797514</x:v>
      </x:c>
      <x:c r="F440" s="11" t="n">
        <x:v>0.4151950621266134</x:v>
      </x:c>
      <x:c r="G440" s="11" t="n">
        <x:v>0.40745098900340915</x:v>
      </x:c>
      <x:c r="H440" s="11" t="n">
        <x:v>0.4931279262455044</x:v>
      </x:c>
    </x:row>
    <x:row r="441" ht="22" customHeight="1">
      <x:c r="A441" s="17" t="str">
        <x:f>"11284400"</x:f>
        <x:v>11284400</x:v>
      </x:c>
      <x:c r="B441" s="11" t="n">
        <x:v>0.24762609790261625</x:v>
      </x:c>
      <x:c r="C441" s="11" t="n">
        <x:v>0.2874148476577848</x:v>
      </x:c>
      <x:c r="D441" s="11" t="n">
        <x:v>0.186445847052496</x:v>
      </x:c>
      <x:c r="E441" s="11" t="n">
        <x:v>-0.03978874975516855</x:v>
      </x:c>
      <x:c r="F441" s="11" t="n">
        <x:v>0.061180250850120244</x:v>
      </x:c>
      <x:c r="G441" s="11" t="n">
        <x:v>0.09346417686458108</x:v>
      </x:c>
      <x:c r="H441" s="11" t="n">
        <x:v>0.3062791127233694</x:v>
      </x:c>
    </x:row>
    <x:row r="442" ht="22" customHeight="1">
      <x:c r="A442" s="17" t="str">
        <x:f>"11381500"</x:f>
        <x:v>11381500</x:v>
      </x:c>
      <x:c r="B442" s="11" t="n">
        <x:v>0.5501317330328923</x:v>
      </x:c>
      <x:c r="C442" s="11" t="n">
        <x:v>0.5306742116159154</x:v>
      </x:c>
      <x:c r="D442" s="11" t="n">
        <x:v>0.41476651712131873</x:v>
      </x:c>
      <x:c r="E442" s="11" t="n">
        <x:v>0.019457521416976875</x:v>
      </x:c>
      <x:c r="F442" s="11" t="n">
        <x:v>0.13536521591157358</x:v>
      </x:c>
      <x:c r="G442" s="11" t="n">
        <x:v>0.40483953378683335</x:v>
      </x:c>
      <x:c r="H442" s="11" t="n">
        <x:v>0.480736975887159</x:v>
      </x:c>
    </x:row>
    <x:row r="443" ht="22" customHeight="1">
      <x:c r="A443" s="17" t="str">
        <x:f>"11383500"</x:f>
        <x:v>11383500</x:v>
      </x:c>
      <x:c r="B443" s="11" t="n">
        <x:v>0.675813070426095</x:v>
      </x:c>
      <x:c r="C443" s="11" t="n">
        <x:v>0.6432552386876698</x:v>
      </x:c>
      <x:c r="D443" s="11" t="n">
        <x:v>0.3342996895619609</x:v>
      </x:c>
      <x:c r="E443" s="11" t="n">
        <x:v>0.03255783173842519</x:v>
      </x:c>
      <x:c r="F443" s="11" t="n">
        <x:v>0.3415133808641341</x:v>
      </x:c>
      <x:c r="G443" s="11" t="n">
        <x:v>0.6110907340475505</x:v>
      </x:c>
      <x:c r="H443" s="11" t="n">
        <x:v>0.6224748317550444</x:v>
      </x:c>
    </x:row>
    <x:row r="444" ht="22" customHeight="1">
      <x:c r="A444" s="17" t="str">
        <x:f>"11451100"</x:f>
        <x:v>11451100</x:v>
      </x:c>
      <x:c r="B444" s="11" t="n">
        <x:v>0.5526242891397861</x:v>
      </x:c>
      <x:c r="C444" s="11" t="n">
        <x:v>0.5728605129152681</x:v>
      </x:c>
      <x:c r="D444" s="11" t="n">
        <x:v>0.016410085761737636</x:v>
      </x:c>
      <x:c r="E444" s="11" t="n">
        <x:v>-0.020236223775481954</x:v>
      </x:c>
      <x:c r="F444" s="11" t="n">
        <x:v>0.5362142033780485</x:v>
      </x:c>
      <x:c r="G444" s="11" t="n">
        <x:v>0.44007827228531493</x:v>
      </x:c>
      <x:c r="H444" s="11" t="n">
        <x:v>0.5105235363477137</x:v>
      </x:c>
    </x:row>
    <x:row r="445" ht="22" customHeight="1">
      <x:c r="A445" s="17" t="str">
        <x:f>"11468500"</x:f>
        <x:v>11468500</x:v>
      </x:c>
      <x:c r="B445" s="11" t="n">
        <x:v>0.7805345721424177</x:v>
      </x:c>
      <x:c r="C445" s="11" t="n">
        <x:v>0.7560766145505112</x:v>
      </x:c>
      <x:c r="D445" s="11" t="n">
        <x:v>0.5716332894971371</x:v>
      </x:c>
      <x:c r="E445" s="11" t="n">
        <x:v>0.0244579575919065</x:v>
      </x:c>
      <x:c r="F445" s="11" t="n">
        <x:v>0.20890128264528063</x:v>
      </x:c>
      <x:c r="G445" s="11" t="n">
        <x:v>0.6714632768542136</x:v>
      </x:c>
      <x:c r="H445" s="11" t="n">
        <x:v>0.6921982997974241</x:v>
      </x:c>
    </x:row>
    <x:row r="446" ht="22" customHeight="1">
      <x:c r="A446" s="17" t="str">
        <x:f>"11473900"</x:f>
        <x:v>11473900</x:v>
      </x:c>
      <x:c r="B446" s="11" t="n">
        <x:v>0.6277016454525242</x:v>
      </x:c>
      <x:c r="C446" s="11" t="n">
        <x:v>0.6384630011232995</x:v>
      </x:c>
      <x:c r="D446" s="11" t="n">
        <x:v>0.1563779713306327</x:v>
      </x:c>
      <x:c r="E446" s="11" t="n">
        <x:v>-0.010761355670775297</x:v>
      </x:c>
      <x:c r="F446" s="11" t="n">
        <x:v>0.47132367412189147</x:v>
      </x:c>
      <x:c r="G446" s="11" t="n">
        <x:v>0.5277351374217382</x:v>
      </x:c>
      <x:c r="H446" s="11" t="n">
        <x:v>0.5857730407896349</x:v>
      </x:c>
    </x:row>
    <x:row r="447" ht="22" customHeight="1">
      <x:c r="A447" s="17" t="str">
        <x:f>"11475560"</x:f>
        <x:v>11475560</x:v>
      </x:c>
      <x:c r="B447" s="11" t="n">
        <x:v>0.7646130429383146</x:v>
      </x:c>
      <x:c r="C447" s="11" t="n">
        <x:v>0.7586517087652093</x:v>
      </x:c>
      <x:c r="D447" s="11" t="n">
        <x:v>0.4517842076587427</x:v>
      </x:c>
      <x:c r="E447" s="11" t="n">
        <x:v>0.005961334173105293</x:v>
      </x:c>
      <x:c r="F447" s="11" t="n">
        <x:v>0.31282883527957184</x:v>
      </x:c>
      <x:c r="G447" s="11" t="n">
        <x:v>0.6815028253193907</x:v>
      </x:c>
      <x:c r="H447" s="11" t="n">
        <x:v>0.694255817696569</x:v>
      </x:c>
    </x:row>
    <x:row r="448" ht="22" customHeight="1">
      <x:c r="A448" s="17" t="str">
        <x:f>"11476600"</x:f>
        <x:v>11476600</x:v>
      </x:c>
      <x:c r="B448" s="11" t="n">
        <x:v>0.8085473109499461</x:v>
      </x:c>
      <x:c r="C448" s="11" t="n">
        <x:v>0.7840808982049259</x:v>
      </x:c>
      <x:c r="D448" s="11" t="n">
        <x:v>0.5415519093841425</x:v>
      </x:c>
      <x:c r="E448" s="11" t="n">
        <x:v>0.02446641274502026</x:v>
      </x:c>
      <x:c r="F448" s="11" t="n">
        <x:v>0.2669954015658036</x:v>
      </x:c>
      <x:c r="G448" s="11" t="n">
        <x:v>0.7622765794322891</x:v>
      </x:c>
      <x:c r="H448" s="11" t="n">
        <x:v>0.7692893739349176</x:v>
      </x:c>
    </x:row>
    <x:row r="449" ht="22" customHeight="1">
      <x:c r="A449" s="17" t="str">
        <x:f>"11478500"</x:f>
        <x:v>11478500</x:v>
      </x:c>
      <x:c r="B449" s="11" t="n">
        <x:v>0.680288136244521</x:v>
      </x:c>
      <x:c r="C449" s="11" t="n">
        <x:v>0.6651181491148632</x:v>
      </x:c>
      <x:c r="D449" s="11" t="n">
        <x:v>0.48656414128156555</x:v>
      </x:c>
      <x:c r="E449" s="11" t="n">
        <x:v>0.01516998712965778</x:v>
      </x:c>
      <x:c r="F449" s="11" t="n">
        <x:v>0.19372399496295545</x:v>
      </x:c>
      <x:c r="G449" s="11" t="n">
        <x:v>0.5662041484195098</x:v>
      </x:c>
      <x:c r="H449" s="11" t="n">
        <x:v>0.6214452232171679</x:v>
      </x:c>
    </x:row>
    <x:row r="450" ht="22" customHeight="1">
      <x:c r="A450" s="17" t="str">
        <x:f>"11481200"</x:f>
        <x:v>11481200</x:v>
      </x:c>
      <x:c r="B450" s="11" t="n">
        <x:v>0.6556364797252336</x:v>
      </x:c>
      <x:c r="C450" s="11" t="n">
        <x:v>0.6586500617922704</x:v>
      </x:c>
      <x:c r="D450" s="11" t="n">
        <x:v>0.5842019959371794</x:v>
      </x:c>
      <x:c r="E450" s="11" t="n">
        <x:v>-0.003013582067036724</x:v>
      </x:c>
      <x:c r="F450" s="11" t="n">
        <x:v>0.07143448378805428</x:v>
      </x:c>
      <x:c r="G450" s="11" t="n">
        <x:v>0.43153167101868095</x:v>
      </x:c>
      <x:c r="H450" s="11" t="n">
        <x:v>0.5198466629712969</x:v>
      </x:c>
    </x:row>
    <x:row r="451" ht="22" customHeight="1">
      <x:c r="A451" s="17" t="str">
        <x:f>"11482500"</x:f>
        <x:v>11482500</x:v>
      </x:c>
      <x:c r="B451" s="11" t="n">
        <x:v>0.8674159626532673</x:v>
      </x:c>
      <x:c r="C451" s="11" t="n">
        <x:v>0.844016608432513</x:v>
      </x:c>
      <x:c r="D451" s="11" t="n">
        <x:v>0.7632476821008636</x:v>
      </x:c>
      <x:c r="E451" s="11" t="n">
        <x:v>0.02339935422075423</x:v>
      </x:c>
      <x:c r="F451" s="11" t="n">
        <x:v>0.10416828055240368</x:v>
      </x:c>
      <x:c r="G451" s="11" t="n">
        <x:v>0.7343921720564763</x:v>
      </x:c>
      <x:c r="H451" s="11" t="n">
        <x:v>0.7514687610516089</x:v>
      </x:c>
    </x:row>
    <x:row r="452" ht="22" customHeight="1">
      <x:c r="A452" s="17" t="str">
        <x:f>"11522500"</x:f>
        <x:v>11522500</x:v>
      </x:c>
      <x:c r="B452" s="11" t="n">
        <x:v>0.8056239425144924</x:v>
      </x:c>
      <x:c r="C452" s="11" t="n">
        <x:v>0.8001734647509273</x:v>
      </x:c>
      <x:c r="D452" s="11" t="n">
        <x:v>0.5927421540813631</x:v>
      </x:c>
      <x:c r="E452" s="11" t="n">
        <x:v>0.005450477763565109</x:v>
      </x:c>
      <x:c r="F452" s="11" t="n">
        <x:v>0.21288178843312933</x:v>
      </x:c>
      <x:c r="G452" s="11" t="n">
        <x:v>0.7878861938292508</x:v>
      </x:c>
      <x:c r="H452" s="11" t="n">
        <x:v>0.7953315545792785</x:v>
      </x:c>
    </x:row>
    <x:row r="453" ht="22" customHeight="1">
      <x:c r="A453" s="17" t="str">
        <x:f>"11523200"</x:f>
        <x:v>11523200</x:v>
      </x:c>
      <x:c r="B453" s="11" t="n">
        <x:v>0.8987270569115359</x:v>
      </x:c>
      <x:c r="C453" s="11" t="n">
        <x:v>0.8923952829830105</x:v>
      </x:c>
      <x:c r="D453" s="11" t="n">
        <x:v>0.5170206900895412</x:v>
      </x:c>
      <x:c r="E453" s="11" t="n">
        <x:v>0.006331773928525353</x:v>
      </x:c>
      <x:c r="F453" s="11" t="n">
        <x:v>0.38170636682199466</x:v>
      </x:c>
      <x:c r="G453" s="11" t="n">
        <x:v>0.8753996887429194</x:v>
      </x:c>
      <x:c r="H453" s="11" t="n">
        <x:v>0.874830590703802</x:v>
      </x:c>
    </x:row>
    <x:row r="454" ht="22" customHeight="1">
      <x:c r="A454" s="17" t="str">
        <x:f>"11528700"</x:f>
        <x:v>11528700</x:v>
      </x:c>
      <x:c r="B454" s="11" t="n">
        <x:v>0.8353024525881394</x:v>
      </x:c>
      <x:c r="C454" s="11" t="n">
        <x:v>0.7878486592837839</x:v>
      </x:c>
      <x:c r="D454" s="11" t="n">
        <x:v>0.39428469156954093</x:v>
      </x:c>
      <x:c r="E454" s="11" t="n">
        <x:v>0.04745379330435551</x:v>
      </x:c>
      <x:c r="F454" s="11" t="n">
        <x:v>0.44101776101859846</x:v>
      </x:c>
      <x:c r="G454" s="11" t="n">
        <x:v>0.7882703156840093</x:v>
      </x:c>
      <x:c r="H454" s="11" t="n">
        <x:v>0.7921320501842398</x:v>
      </x:c>
    </x:row>
    <x:row r="455" ht="22" customHeight="1">
      <x:c r="A455" s="17" t="str">
        <x:f>"11532500"</x:f>
        <x:v>11532500</x:v>
      </x:c>
      <x:c r="B455" s="11" t="n">
        <x:v>0.7461047849749731</x:v>
      </x:c>
      <x:c r="C455" s="11" t="n">
        <x:v>0.745388382041512</x:v>
      </x:c>
      <x:c r="D455" s="11" t="n">
        <x:v>0.7033818343646137</x:v>
      </x:c>
      <x:c r="E455" s="11" t="n">
        <x:v>0.0007164029334610911</x:v>
      </x:c>
      <x:c r="F455" s="11" t="n">
        <x:v>0.04272295061035947</x:v>
      </x:c>
      <x:c r="G455" s="11" t="n">
        <x:v>0.5847720548880566</x:v>
      </x:c>
      <x:c r="H455" s="11" t="n">
        <x:v>0.625290445352855</x:v>
      </x:c>
    </x:row>
    <x:row r="456" ht="22" customHeight="1">
      <x:c r="A456" s="17" t="str">
        <x:f>"12010000"</x:f>
        <x:v>12010000</x:v>
      </x:c>
      <x:c r="B456" s="11" t="n">
        <x:v>0.8534539950315869</x:v>
      </x:c>
      <x:c r="C456" s="11" t="n">
        <x:v>0.8020686056057543</x:v>
      </x:c>
      <x:c r="D456" s="11" t="n">
        <x:v>0.7769425820958323</x:v>
      </x:c>
      <x:c r="E456" s="11" t="n">
        <x:v>0.051385389425832595</x:v>
      </x:c>
      <x:c r="F456" s="11" t="n">
        <x:v>0.07651141293575459</x:v>
      </x:c>
      <x:c r="G456" s="11" t="n">
        <x:v>0.6785521919658873</x:v>
      </x:c>
      <x:c r="H456" s="11" t="n">
        <x:v>0.7167245825116046</x:v>
      </x:c>
    </x:row>
    <x:row r="457" ht="22" customHeight="1">
      <x:c r="A457" s="17" t="str">
        <x:f>"12013500"</x:f>
        <x:v>12013500</x:v>
      </x:c>
      <x:c r="B457" s="11" t="n">
        <x:v>0.8743747631684589</x:v>
      </x:c>
      <x:c r="C457" s="11" t="n">
        <x:v>0.8700594138453766</x:v>
      </x:c>
      <x:c r="D457" s="11" t="n">
        <x:v>0.7706668987040142</x:v>
      </x:c>
      <x:c r="E457" s="11" t="n">
        <x:v>0.004315349323082307</x:v>
      </x:c>
      <x:c r="F457" s="11" t="n">
        <x:v>0.10370786446444469</x:v>
      </x:c>
      <x:c r="G457" s="11" t="n">
        <x:v>0.6984133394715022</x:v>
      </x:c>
      <x:c r="H457" s="11" t="n">
        <x:v>0.7327923123313297</x:v>
      </x:c>
    </x:row>
    <x:row r="458" ht="22" customHeight="1">
      <x:c r="A458" s="17" t="str">
        <x:f>"12020000"</x:f>
        <x:v>12020000</x:v>
      </x:c>
      <x:c r="B458" s="11" t="n">
        <x:v>0.7897964721620186</x:v>
      </x:c>
      <x:c r="C458" s="11" t="n">
        <x:v>0.7899349301043095</x:v>
      </x:c>
      <x:c r="D458" s="11" t="n">
        <x:v>0.6587983544304192</x:v>
      </x:c>
      <x:c r="E458" s="11" t="n">
        <x:v>-0.0001384579422908372</x:v>
      </x:c>
      <x:c r="F458" s="11" t="n">
        <x:v>0.13099811773159942</x:v>
      </x:c>
      <x:c r="G458" s="11" t="n">
        <x:v>0.5813920601070104</x:v>
      </x:c>
      <x:c r="H458" s="11" t="n">
        <x:v>0.6320991151148765</x:v>
      </x:c>
    </x:row>
    <x:row r="459" ht="22" customHeight="1">
      <x:c r="A459" s="17" t="str">
        <x:f>"12025700"</x:f>
        <x:v>12025700</x:v>
      </x:c>
      <x:c r="B459" s="11" t="n">
        <x:v>0.7778883581021512</x:v>
      </x:c>
      <x:c r="C459" s="11" t="n">
        <x:v>0.7593258968437773</x:v>
      </x:c>
      <x:c r="D459" s="11" t="n">
        <x:v>0.6771806969859312</x:v>
      </x:c>
      <x:c r="E459" s="11" t="n">
        <x:v>0.018562461258373908</x:v>
      </x:c>
      <x:c r="F459" s="11" t="n">
        <x:v>0.10070766111621998</x:v>
      </x:c>
      <x:c r="G459" s="11" t="n">
        <x:v>0.6740345940577189</x:v>
      </x:c>
      <x:c r="H459" s="11" t="n">
        <x:v>0.7101853478156566</x:v>
      </x:c>
    </x:row>
    <x:row r="460" ht="22" customHeight="1">
      <x:c r="A460" s="17" t="str">
        <x:f>"12035000"</x:f>
        <x:v>12035000</x:v>
      </x:c>
      <x:c r="B460" s="11" t="n">
        <x:v>0.8771322392983494</x:v>
      </x:c>
      <x:c r="C460" s="11" t="n">
        <x:v>0.9130180831005102</x:v>
      </x:c>
      <x:c r="D460" s="11" t="n">
        <x:v>0.8565717053310766</x:v>
      </x:c>
      <x:c r="E460" s="11" t="n">
        <x:v>-0.035885843802160866</x:v>
      </x:c>
      <x:c r="F460" s="11" t="n">
        <x:v>0.020560533967272754</x:v>
      </x:c>
      <x:c r="G460" s="11" t="n">
        <x:v>0.6852825712492008</x:v>
      </x:c>
      <x:c r="H460" s="11" t="n">
        <x:v>0.7233071694101302</x:v>
      </x:c>
    </x:row>
    <x:row r="461" ht="22" customHeight="1">
      <x:c r="A461" s="17" t="str">
        <x:f>"12040500"</x:f>
        <x:v>12040500</x:v>
      </x:c>
      <x:c r="B461" s="11" t="n">
        <x:v>0.6598825843346625</x:v>
      </x:c>
      <x:c r="C461" s="11" t="n">
        <x:v>0.694387513682692</x:v>
      </x:c>
      <x:c r="D461" s="11" t="n">
        <x:v>0.5130923745459833</x:v>
      </x:c>
      <x:c r="E461" s="11" t="n">
        <x:v>-0.03450492934802951</x:v>
      </x:c>
      <x:c r="F461" s="11" t="n">
        <x:v>0.14679020978867918</x:v>
      </x:c>
      <x:c r="G461" s="11" t="n">
        <x:v>0.4693772753341282</x:v>
      </x:c>
      <x:c r="H461" s="11" t="n">
        <x:v>0.5467370677365919</x:v>
      </x:c>
    </x:row>
    <x:row r="462" ht="22" customHeight="1">
      <x:c r="A462" s="17" t="str">
        <x:f>"12041200"</x:f>
        <x:v>12041200</x:v>
      </x:c>
      <x:c r="B462" s="11" t="n">
        <x:v>0.5959968052873396</x:v>
      </x:c>
      <x:c r="C462" s="11" t="n">
        <x:v>0.7037755745065726</x:v>
      </x:c>
      <x:c r="D462" s="11" t="n">
        <x:v>0.48417008463365285</x:v>
      </x:c>
      <x:c r="E462" s="11" t="n">
        <x:v>-0.10777876921923302</x:v>
      </x:c>
      <x:c r="F462" s="11" t="n">
        <x:v>0.1118267206536867</x:v>
      </x:c>
      <x:c r="G462" s="11" t="n">
        <x:v>0.48223472543179513</x:v>
      </x:c>
      <x:c r="H462" s="11" t="n">
        <x:v>0.5578282444353899</x:v>
      </x:c>
    </x:row>
    <x:row r="463" ht="22" customHeight="1">
      <x:c r="A463" s="17" t="str">
        <x:f>"12048000"</x:f>
        <x:v>12048000</x:v>
      </x:c>
      <x:c r="B463" s="11" t="n">
        <x:v>0.7843843495594156</x:v>
      </x:c>
      <x:c r="C463" s="11" t="n">
        <x:v>0.7935523174902075</x:v>
      </x:c>
      <x:c r="D463" s="11" t="n">
        <x:v>0.3059433570276855</x:v>
      </x:c>
      <x:c r="E463" s="11" t="n">
        <x:v>-0.009167967930791887</x:v>
      </x:c>
      <x:c r="F463" s="11" t="n">
        <x:v>0.4784409925317301</x:v>
      </x:c>
      <x:c r="G463" s="11" t="n">
        <x:v>0.7003968876572887</x:v>
      </x:c>
      <x:c r="H463" s="11" t="n">
        <x:v>0.7346033370022333</x:v>
      </x:c>
    </x:row>
    <x:row r="464" ht="22" customHeight="1">
      <x:c r="A464" s="17" t="str">
        <x:f>"12054000"</x:f>
        <x:v>12054000</x:v>
      </x:c>
      <x:c r="B464" s="11" t="n">
        <x:v>0.5775977350995283</x:v>
      </x:c>
      <x:c r="C464" s="11" t="n">
        <x:v>0.6917816257589713</x:v>
      </x:c>
      <x:c r="D464" s="11" t="n">
        <x:v>0.46801285060369646</x:v>
      </x:c>
      <x:c r="E464" s="11" t="n">
        <x:v>-0.11418389065944301</x:v>
      </x:c>
      <x:c r="F464" s="11" t="n">
        <x:v>0.10958488449583181</x:v>
      </x:c>
      <x:c r="G464" s="11" t="n">
        <x:v>0.5818599991150385</x:v>
      </x:c>
      <x:c r="H464" s="11" t="n">
        <x:v>0.6339761109539414</x:v>
      </x:c>
    </x:row>
    <x:row r="465" ht="22" customHeight="1">
      <x:c r="A465" s="17" t="str">
        <x:f>"12056500"</x:f>
        <x:v>12056500</x:v>
      </x:c>
      <x:c r="B465" s="11" t="n">
        <x:v>0.6287305384369286</x:v>
      </x:c>
      <x:c r="C465" s="11" t="n">
        <x:v>0.7033993438879471</x:v>
      </x:c>
      <x:c r="D465" s="11" t="n">
        <x:v>0.4113605021810771</x:v>
      </x:c>
      <x:c r="E465" s="11" t="n">
        <x:v>-0.0746688054510185</x:v>
      </x:c>
      <x:c r="F465" s="11" t="n">
        <x:v>0.2173700362558515</x:v>
      </x:c>
      <x:c r="G465" s="11" t="n">
        <x:v>0.5638933363220064</x:v>
      </x:c>
      <x:c r="H465" s="11" t="n">
        <x:v>0.6207920488163381</x:v>
      </x:c>
    </x:row>
    <x:row r="466" ht="22" customHeight="1">
      <x:c r="A466" s="17" t="str">
        <x:f>"12073500"</x:f>
        <x:v>12073500</x:v>
      </x:c>
      <x:c r="B466" s="11" t="n">
        <x:v>0.5891904908560708</x:v>
      </x:c>
      <x:c r="C466" s="11" t="n">
        <x:v>0.5569879022842348</x:v>
      </x:c>
      <x:c r="D466" s="11" t="n">
        <x:v>0.47250526196857146</x:v>
      </x:c>
      <x:c r="E466" s="11" t="n">
        <x:v>0.032202588571836</x:v>
      </x:c>
      <x:c r="F466" s="11" t="n">
        <x:v>0.11668522888749933</x:v>
      </x:c>
      <x:c r="G466" s="11" t="n">
        <x:v>0.32520591149849165</x:v>
      </x:c>
      <x:c r="H466" s="11" t="n">
        <x:v>0.41757210434550585</x:v>
      </x:c>
    </x:row>
    <x:row r="467" ht="22" customHeight="1">
      <x:c r="A467" s="17" t="str">
        <x:f>"12082500"</x:f>
        <x:v>12082500</x:v>
      </x:c>
      <x:c r="B467" s="11" t="n">
        <x:v>0.6949627460638884</x:v>
      </x:c>
      <x:c r="C467" s="11" t="n">
        <x:v>0.7549732071687011</x:v>
      </x:c>
      <x:c r="D467" s="11" t="n">
        <x:v>0.3838811298871292</x:v>
      </x:c>
      <x:c r="E467" s="11" t="n">
        <x:v>-0.060010461104812673</x:v>
      </x:c>
      <x:c r="F467" s="11" t="n">
        <x:v>0.3110816161767592</x:v>
      </x:c>
      <x:c r="G467" s="11" t="n">
        <x:v>0.7175571520213067</x:v>
      </x:c>
      <x:c r="H467" s="11" t="n">
        <x:v>0.7547053985805199</x:v>
      </x:c>
    </x:row>
    <x:row r="468" ht="22" customHeight="1">
      <x:c r="A468" s="17" t="str">
        <x:f>"12092000"</x:f>
        <x:v>12092000</x:v>
      </x:c>
      <x:c r="B468" s="11" t="n">
        <x:v>0.6156526431492869</x:v>
      </x:c>
      <x:c r="C468" s="11" t="n">
        <x:v>0.3935208253008883</x:v>
      </x:c>
      <x:c r="D468" s="11" t="n">
        <x:v>0.3818789255615477</x:v>
      </x:c>
      <x:c r="E468" s="11" t="n">
        <x:v>0.22213181784839864</x:v>
      </x:c>
      <x:c r="F468" s="11" t="n">
        <x:v>0.23377371758773924</x:v>
      </x:c>
      <x:c r="G468" s="11" t="n">
        <x:v>0.6235639249722155</x:v>
      </x:c>
      <x:c r="H468" s="11" t="n">
        <x:v>0.6696546690804921</x:v>
      </x:c>
    </x:row>
    <x:row r="469" ht="22" customHeight="1">
      <x:c r="A469" s="17" t="str">
        <x:f>"12114500"</x:f>
        <x:v>12114500</x:v>
      </x:c>
      <x:c r="B469" s="11" t="n">
        <x:v>0.7567047244854952</x:v>
      </x:c>
      <x:c r="C469" s="11" t="n">
        <x:v>0.7693581503369415</x:v>
      </x:c>
      <x:c r="D469" s="11" t="n">
        <x:v>0.6714756193625824</x:v>
      </x:c>
      <x:c r="E469" s="11" t="n">
        <x:v>-0.012653425851446354</x:v>
      </x:c>
      <x:c r="F469" s="11" t="n">
        <x:v>0.08522910512291282</x:v>
      </x:c>
      <x:c r="G469" s="11" t="n">
        <x:v>0.7421182700944704</x:v>
      </x:c>
      <x:c r="H469" s="11" t="n">
        <x:v>0.7745903790298708</x:v>
      </x:c>
    </x:row>
    <x:row r="470" ht="22" customHeight="1">
      <x:c r="A470" s="17" t="str">
        <x:f>"12115000"</x:f>
        <x:v>12115000</x:v>
      </x:c>
      <x:c r="B470" s="11" t="n">
        <x:v>0.7355054097660483</x:v>
      </x:c>
      <x:c r="C470" s="11" t="n">
        <x:v>0.5404091361240677</x:v>
      </x:c>
      <x:c r="D470" s="11" t="n">
        <x:v>0.6486330566085174</x:v>
      </x:c>
      <x:c r="E470" s="11" t="n">
        <x:v>0.19509627364198057</x:v>
      </x:c>
      <x:c r="F470" s="11" t="n">
        <x:v>0.08687235315753083</x:v>
      </x:c>
      <x:c r="G470" s="11" t="n">
        <x:v>0.6886570739701059</x:v>
      </x:c>
      <x:c r="H470" s="11" t="n">
        <x:v>0.7359909494997326</x:v>
      </x:c>
    </x:row>
    <x:row r="471" ht="22" customHeight="1">
      <x:c r="A471" s="17" t="str">
        <x:f>"12115500"</x:f>
        <x:v>12115500</x:v>
      </x:c>
      <x:c r="B471" s="11" t="n">
        <x:v>0.6026100202743698</x:v>
      </x:c>
      <x:c r="C471" s="11" t="n">
        <x:v>0.5030049546524509</x:v>
      </x:c>
      <x:c r="D471" s="11" t="n">
        <x:v>0.5205142888895725</x:v>
      </x:c>
      <x:c r="E471" s="11" t="n">
        <x:v>0.09960506562191895</x:v>
      </x:c>
      <x:c r="F471" s="11" t="n">
        <x:v>0.08209573138479731</x:v>
      </x:c>
      <x:c r="G471" s="11" t="n">
        <x:v>0.5550707362509146</x:v>
      </x:c>
      <x:c r="H471" s="11" t="n">
        <x:v>0.6126913377437042</x:v>
      </x:c>
    </x:row>
    <x:row r="472" ht="22" customHeight="1">
      <x:c r="A472" s="17" t="str">
        <x:f>"12117000"</x:f>
        <x:v>12117000</x:v>
      </x:c>
      <x:c r="B472" s="11" t="n">
        <x:v>0.7571935060783964</x:v>
      </x:c>
      <x:c r="C472" s="11" t="n">
        <x:v>0.8050976039082731</x:v>
      </x:c>
      <x:c r="D472" s="11" t="n">
        <x:v>0.6443909605049616</x:v>
      </x:c>
      <x:c r="E472" s="11" t="n">
        <x:v>-0.0479040978298767</x:v>
      </x:c>
      <x:c r="F472" s="11" t="n">
        <x:v>0.11280254557343483</x:v>
      </x:c>
      <x:c r="G472" s="11" t="n">
        <x:v>0.7897677853022818</x:v>
      </x:c>
      <x:c r="H472" s="11" t="n">
        <x:v>0.811064037834563</x:v>
      </x:c>
    </x:row>
    <x:row r="473" ht="22" customHeight="1">
      <x:c r="A473" s="17" t="str">
        <x:f>"12145500"</x:f>
        <x:v>12145500</x:v>
      </x:c>
      <x:c r="B473" s="11" t="n">
        <x:v>0.7370828017673079</x:v>
      </x:c>
      <x:c r="C473" s="11" t="n">
        <x:v>0.7373144866431891</x:v>
      </x:c>
      <x:c r="D473" s="11" t="n">
        <x:v>0.6810915919838544</x:v>
      </x:c>
      <x:c r="E473" s="11" t="n">
        <x:v>-0.00023168487588121067</x:v>
      </x:c>
      <x:c r="F473" s="11" t="n">
        <x:v>0.05599120978345351</x:v>
      </x:c>
      <x:c r="G473" s="11" t="n">
        <x:v>0.6598013693240968</x:v>
      </x:c>
      <x:c r="H473" s="11" t="n">
        <x:v>0.694791869455456</x:v>
      </x:c>
    </x:row>
    <x:row r="474" ht="22" customHeight="1">
      <x:c r="A474" s="17" t="str">
        <x:f>"12147500"</x:f>
        <x:v>12147500</x:v>
      </x:c>
      <x:c r="B474" s="11" t="n">
        <x:v>0.49713763183508186</x:v>
      </x:c>
      <x:c r="C474" s="11" t="n">
        <x:v>0.5136013403326285</x:v>
      </x:c>
      <x:c r="D474" s="11" t="n">
        <x:v>0.4503970922210253</x:v>
      </x:c>
      <x:c r="E474" s="11" t="n">
        <x:v>-0.016463708497546636</x:v>
      </x:c>
      <x:c r="F474" s="11" t="n">
        <x:v>0.04674053961405655</x:v>
      </x:c>
      <x:c r="G474" s="11" t="n">
        <x:v>0.40141092494664343</x:v>
      </x:c>
      <x:c r="H474" s="11" t="n">
        <x:v>0.50387945125403</x:v>
      </x:c>
    </x:row>
    <x:row r="475" ht="22" customHeight="1">
      <x:c r="A475" s="17" t="str">
        <x:f>"12147600"</x:f>
        <x:v>12147600</x:v>
      </x:c>
      <x:c r="B475" s="11" t="n">
        <x:v>0.39433217885309935</x:v>
      </x:c>
      <x:c r="C475" s="11" t="n">
        <x:v>0.3988795972885011</x:v>
      </x:c>
      <x:c r="D475" s="11" t="n">
        <x:v>0.31765131619455966</x:v>
      </x:c>
      <x:c r="E475" s="11" t="n">
        <x:v>-0.00454741843540174</x:v>
      </x:c>
      <x:c r="F475" s="11" t="n">
        <x:v>0.07668086265853968</x:v>
      </x:c>
      <x:c r="G475" s="11" t="n">
        <x:v>0.1725178220424799</x:v>
      </x:c>
      <x:c r="H475" s="11" t="n">
        <x:v>0.3466524664642878</x:v>
      </x:c>
    </x:row>
    <x:row r="476" ht="22" customHeight="1">
      <x:c r="A476" s="17" t="str">
        <x:f>"12167000"</x:f>
        <x:v>12167000</x:v>
      </x:c>
      <x:c r="B476" s="11" t="n">
        <x:v>0.5186535658250135</x:v>
      </x:c>
      <x:c r="C476" s="11" t="n">
        <x:v>0.5816265151297623</x:v>
      </x:c>
      <x:c r="D476" s="11" t="n">
        <x:v>0.48165546220996225</x:v>
      </x:c>
      <x:c r="E476" s="11" t="n">
        <x:v>-0.06297294930474873</x:v>
      </x:c>
      <x:c r="F476" s="11" t="n">
        <x:v>0.03699810361505129</x:v>
      </x:c>
      <x:c r="G476" s="11" t="n">
        <x:v>0.3802595974218683</x:v>
      </x:c>
      <x:c r="H476" s="11" t="n">
        <x:v>0.47842584579508274</x:v>
      </x:c>
    </x:row>
    <x:row r="477" ht="22" customHeight="1">
      <x:c r="A477" s="17" t="str">
        <x:f>"12175500"</x:f>
        <x:v>12175500</x:v>
      </x:c>
      <x:c r="B477" s="11" t="n">
        <x:v>0.8666682905114631</x:v>
      </x:c>
      <x:c r="C477" s="11" t="n">
        <x:v>0.8580398480008036</x:v>
      </x:c>
      <x:c r="D477" s="11" t="n">
        <x:v>0.7720209018925639</x:v>
      </x:c>
      <x:c r="E477" s="11" t="n">
        <x:v>0.008628442510659529</x:v>
      </x:c>
      <x:c r="F477" s="11" t="n">
        <x:v>0.09464738861889921</x:v>
      </x:c>
      <x:c r="G477" s="11" t="n">
        <x:v>0.8320103257264377</x:v>
      </x:c>
      <x:c r="H477" s="11" t="n">
        <x:v>0.8464976276432022</x:v>
      </x:c>
    </x:row>
    <x:row r="478" ht="22" customHeight="1">
      <x:c r="A478" s="17" t="str">
        <x:f>"12178100"</x:f>
        <x:v>12178100</x:v>
      </x:c>
      <x:c r="B478" s="11" t="n">
        <x:v>0.7257465753808504</x:v>
      </x:c>
      <x:c r="C478" s="11" t="n">
        <x:v>0.7064194975952045</x:v>
      </x:c>
      <x:c r="D478" s="11" t="n">
        <x:v>0.5467557770557575</x:v>
      </x:c>
      <x:c r="E478" s="11" t="n">
        <x:v>0.019327077785645908</x:v>
      </x:c>
      <x:c r="F478" s="11" t="n">
        <x:v>0.1789907983250929</x:v>
      </x:c>
      <x:c r="G478" s="11" t="n">
        <x:v>0.669105480939046</x:v>
      </x:c>
      <x:c r="H478" s="11" t="n">
        <x:v>0.7052292433571572</x:v>
      </x:c>
    </x:row>
    <x:row r="479" ht="22" customHeight="1">
      <x:c r="A479" s="17" t="str">
        <x:f>"12186000"</x:f>
        <x:v>12186000</x:v>
      </x:c>
      <x:c r="B479" s="11" t="n">
        <x:v>0.7382343877079169</x:v>
      </x:c>
      <x:c r="C479" s="11" t="n">
        <x:v>0.7404836970369877</x:v>
      </x:c>
      <x:c r="D479" s="11" t="n">
        <x:v>0.45392187195273836</x:v>
      </x:c>
      <x:c r="E479" s="11" t="n">
        <x:v>-0.0022493093290707478</x:v>
      </x:c>
      <x:c r="F479" s="11" t="n">
        <x:v>0.2843125157551786</x:v>
      </x:c>
      <x:c r="G479" s="11" t="n">
        <x:v>0.7165516202846317</x:v>
      </x:c>
      <x:c r="H479" s="11" t="n">
        <x:v>0.7170469046403644</x:v>
      </x:c>
    </x:row>
    <x:row r="480" ht="22" customHeight="1">
      <x:c r="A480" s="17" t="str">
        <x:f>"12189500"</x:f>
        <x:v>12189500</x:v>
      </x:c>
      <x:c r="B480" s="11" t="n">
        <x:v>0.6641885105527561</x:v>
      </x:c>
      <x:c r="C480" s="11" t="n">
        <x:v>0.731676512018232</x:v>
      </x:c>
      <x:c r="D480" s="11" t="n">
        <x:v>0.43846712573437774</x:v>
      </x:c>
      <x:c r="E480" s="11" t="n">
        <x:v>-0.06748800146547596</x:v>
      </x:c>
      <x:c r="F480" s="11" t="n">
        <x:v>0.22572138481837833</x:v>
      </x:c>
      <x:c r="G480" s="11" t="n">
        <x:v>0.7208842185603663</x:v>
      </x:c>
      <x:c r="H480" s="11" t="n">
        <x:v>0.7454829421438678</x:v>
      </x:c>
    </x:row>
    <x:row r="481" ht="22" customHeight="1">
      <x:c r="A481" s="17" t="str">
        <x:f>"12358500"</x:f>
        <x:v>12358500</x:v>
      </x:c>
      <x:c r="B481" s="11" t="n">
        <x:v>0.9898116381581782</x:v>
      </x:c>
      <x:c r="C481" s="11" t="n">
        <x:v>0.9908253033757486</x:v>
      </x:c>
      <x:c r="D481" s="11" t="n">
        <x:v>0.866739293141789</x:v>
      </x:c>
      <x:c r="E481" s="11" t="n">
        <x:v>-0.001013665217570403</x:v>
      </x:c>
      <x:c r="F481" s="11" t="n">
        <x:v>0.1230723450163892</x:v>
      </x:c>
      <x:c r="G481" s="11" t="n">
        <x:v>0.9741142069877372</x:v>
      </x:c>
      <x:c r="H481" s="11" t="n">
        <x:v>0.9831447622240372</x:v>
      </x:c>
    </x:row>
    <x:row r="482" ht="22" customHeight="1">
      <x:c r="A482" s="17" t="str">
        <x:f>"12390700"</x:f>
        <x:v>12390700</x:v>
      </x:c>
      <x:c r="B482" s="11" t="n">
        <x:v>0.9798358302506744</x:v>
      </x:c>
      <x:c r="C482" s="11" t="n">
        <x:v>0.9828788884506638</x:v>
      </x:c>
      <x:c r="D482" s="11" t="n">
        <x:v>0.7444207398831773</x:v>
      </x:c>
      <x:c r="E482" s="11" t="n">
        <x:v>-0.0030430581999894013</x:v>
      </x:c>
      <x:c r="F482" s="11" t="n">
        <x:v>0.2354150903674972</x:v>
      </x:c>
      <x:c r="G482" s="11" t="n">
        <x:v>0.9625275768551613</x:v>
      </x:c>
      <x:c r="H482" s="11" t="n">
        <x:v>0.9705012139627376</x:v>
      </x:c>
    </x:row>
    <x:row r="483" ht="22" customHeight="1">
      <x:c r="A483" s="17" t="str">
        <x:f>"12411000"</x:f>
        <x:v>12411000</x:v>
      </x:c>
      <x:c r="B483" s="11" t="n">
        <x:v>0.9449065884051437</x:v>
      </x:c>
      <x:c r="C483" s="11" t="n">
        <x:v>0.929776733374296</x:v>
      </x:c>
      <x:c r="D483" s="11" t="n">
        <x:v>0.6798191677637255</x:v>
      </x:c>
      <x:c r="E483" s="11" t="n">
        <x:v>0.015129855030847739</x:v>
      </x:c>
      <x:c r="F483" s="11" t="n">
        <x:v>0.2650874206414182</x:v>
      </x:c>
      <x:c r="G483" s="11" t="n">
        <x:v>0.914744305062266</x:v>
      </x:c>
      <x:c r="H483" s="11" t="n">
        <x:v>0.9276929372391248</x:v>
      </x:c>
    </x:row>
    <x:row r="484" ht="22" customHeight="1">
      <x:c r="A484" s="17" t="str">
        <x:f>"12414500"</x:f>
        <x:v>12414500</x:v>
      </x:c>
      <x:c r="B484" s="11" t="n">
        <x:v>0.9640613866429508</x:v>
      </x:c>
      <x:c r="C484" s="11" t="n">
        <x:v>0.9617346922478328</x:v>
      </x:c>
      <x:c r="D484" s="11" t="n">
        <x:v>0.7697842243600763</x:v>
      </x:c>
      <x:c r="E484" s="11" t="n">
        <x:v>0.002326694395118012</x:v>
      </x:c>
      <x:c r="F484" s="11" t="n">
        <x:v>0.1942771622828745</x:v>
      </x:c>
      <x:c r="G484" s="11" t="n">
        <x:v>0.9387058617152791</x:v>
      </x:c>
      <x:c r="H484" s="11" t="n">
        <x:v>0.9501305343233106</x:v>
      </x:c>
    </x:row>
    <x:row r="485" ht="22" customHeight="1">
      <x:c r="A485" s="17" t="str">
        <x:f>"12447390"</x:f>
        <x:v>12447390</x:v>
      </x:c>
      <x:c r="B485" s="11" t="n">
        <x:v>0.9861660955143466</x:v>
      </x:c>
      <x:c r="C485" s="11" t="n">
        <x:v>0.986287494135722</x:v>
      </x:c>
      <x:c r="D485" s="11" t="n">
        <x:v>0.670207335320616</x:v>
      </x:c>
      <x:c r="E485" s="11" t="n">
        <x:v>-0.00012139862137539037</x:v>
      </x:c>
      <x:c r="F485" s="11" t="n">
        <x:v>0.3159587601937306</x:v>
      </x:c>
      <x:c r="G485" s="11" t="n">
        <x:v>0.9761759913001691</x:v>
      </x:c>
      <x:c r="H485" s="11" t="n">
        <x:v>0.9814410589656255</x:v>
      </x:c>
    </x:row>
    <x:row r="486" ht="22" customHeight="1">
      <x:c r="A486" s="17" t="str">
        <x:f>"12451000"</x:f>
        <x:v>12451000</x:v>
      </x:c>
      <x:c r="B486" s="11" t="n">
        <x:v>0.9762672007485097</x:v>
      </x:c>
      <x:c r="C486" s="11" t="n">
        <x:v>0.9749232933948219</x:v>
      </x:c>
      <x:c r="D486" s="11" t="n">
        <x:v>0.8502404717021682</x:v>
      </x:c>
      <x:c r="E486" s="11" t="n">
        <x:v>0.0013439073536878343</x:v>
      </x:c>
      <x:c r="F486" s="11" t="n">
        <x:v>0.1260267290463415</x:v>
      </x:c>
      <x:c r="G486" s="11" t="n">
        <x:v>0.9527187498540937</x:v>
      </x:c>
      <x:c r="H486" s="11" t="n">
        <x:v>0.9603906787856981</x:v>
      </x:c>
    </x:row>
    <x:row r="487" ht="22" customHeight="1">
      <x:c r="A487" s="17" t="str">
        <x:f>"12488500"</x:f>
        <x:v>12488500</x:v>
      </x:c>
      <x:c r="B487" s="11" t="n">
        <x:v>0.9542739760134643</x:v>
      </x:c>
      <x:c r="C487" s="11" t="n">
        <x:v>0.9495635733218695</x:v>
      </x:c>
      <x:c r="D487" s="11" t="n">
        <x:v>0.6818003425978152</x:v>
      </x:c>
      <x:c r="E487" s="11" t="n">
        <x:v>0.004710402691594839</x:v>
      </x:c>
      <x:c r="F487" s="11" t="n">
        <x:v>0.2724736334156491</x:v>
      </x:c>
      <x:c r="G487" s="11" t="n">
        <x:v>0.946593054180562</x:v>
      </x:c>
      <x:c r="H487" s="11" t="n">
        <x:v>0.9562102165423901</x:v>
      </x:c>
    </x:row>
    <x:row r="488" ht="22" customHeight="1">
      <x:c r="A488" s="17" t="str">
        <x:f>"13011500"</x:f>
        <x:v>13011500</x:v>
      </x:c>
      <x:c r="B488" s="11" t="n">
        <x:v>0.9852548612193726</x:v>
      </x:c>
      <x:c r="C488" s="11" t="n">
        <x:v>0.9867848297018794</x:v>
      </x:c>
      <x:c r="D488" s="11" t="n">
        <x:v>0.7429384012480573</x:v>
      </x:c>
      <x:c r="E488" s="11" t="n">
        <x:v>-0.0015299684825068605</x:v>
      </x:c>
      <x:c r="F488" s="11" t="n">
        <x:v>0.24231645997131523</x:v>
      </x:c>
      <x:c r="G488" s="11" t="n">
        <x:v>0.9713985258638701</x:v>
      </x:c>
      <x:c r="H488" s="11" t="n">
        <x:v>0.9733015696671693</x:v>
      </x:c>
    </x:row>
    <x:row r="489" ht="22" customHeight="1">
      <x:c r="A489" s="17" t="str">
        <x:f>"13011900"</x:f>
        <x:v>13011900</x:v>
      </x:c>
      <x:c r="B489" s="11" t="n">
        <x:v>0.9932557913549112</x:v>
      </x:c>
      <x:c r="C489" s="11" t="n">
        <x:v>0.994160906321522</x:v>
      </x:c>
      <x:c r="D489" s="11" t="n">
        <x:v>0.833389750234204</x:v>
      </x:c>
      <x:c r="E489" s="11" t="n">
        <x:v>-0.0009051149666108316</x:v>
      </x:c>
      <x:c r="F489" s="11" t="n">
        <x:v>0.15986604112070713</x:v>
      </x:c>
      <x:c r="G489" s="11" t="n">
        <x:v>0.9798148021838053</x:v>
      </x:c>
      <x:c r="H489" s="11" t="n">
        <x:v>0.9823318762902455</x:v>
      </x:c>
    </x:row>
    <x:row r="490" ht="22" customHeight="1">
      <x:c r="A490" s="17" t="str">
        <x:f>"13018300"</x:f>
        <x:v>13018300</x:v>
      </x:c>
      <x:c r="B490" s="11" t="n">
        <x:v>0.9930568674004168</x:v>
      </x:c>
      <x:c r="C490" s="11" t="n">
        <x:v>0.9940509610892907</x:v>
      </x:c>
      <x:c r="D490" s="11" t="n">
        <x:v>0.7008158063415055</x:v>
      </x:c>
      <x:c r="E490" s="11" t="n">
        <x:v>-0.0009940936888739316</x:v>
      </x:c>
      <x:c r="F490" s="11" t="n">
        <x:v>0.29224106105891123</x:v>
      </x:c>
      <x:c r="G490" s="11" t="n">
        <x:v>0.9887421692820517</x:v>
      </x:c>
      <x:c r="H490" s="11" t="n">
        <x:v>0.9919207861869879</x:v>
      </x:c>
    </x:row>
    <x:row r="491" ht="22" customHeight="1">
      <x:c r="A491" s="17" t="str">
        <x:f>"13023000"</x:f>
        <x:v>13023000</x:v>
      </x:c>
      <x:c r="B491" s="11" t="n">
        <x:v>0.9942919756136227</x:v>
      </x:c>
      <x:c r="C491" s="11" t="n">
        <x:v>0.9945044199467449</x:v>
      </x:c>
      <x:c r="D491" s="11" t="n">
        <x:v>0.7610220445240481</x:v>
      </x:c>
      <x:c r="E491" s="11" t="n">
        <x:v>-0.0002124443331221748</x:v>
      </x:c>
      <x:c r="F491" s="11" t="n">
        <x:v>0.2332699310895746</x:v>
      </x:c>
      <x:c r="G491" s="11" t="n">
        <x:v>0.9854877097228231</x:v>
      </x:c>
      <x:c r="H491" s="11" t="n">
        <x:v>0.987695038232139</x:v>
      </x:c>
    </x:row>
    <x:row r="492" ht="22" customHeight="1">
      <x:c r="A492" s="17" t="str">
        <x:f>"13083000"</x:f>
        <x:v>13083000</x:v>
      </x:c>
      <x:c r="B492" s="11" t="n">
        <x:v>0.96095785661769</x:v>
      </x:c>
      <x:c r="C492" s="11" t="n">
        <x:v>0.9666656744706882</x:v>
      </x:c>
      <x:c r="D492" s="11" t="n">
        <x:v>0.5387947813941579</x:v>
      </x:c>
      <x:c r="E492" s="11" t="n">
        <x:v>-0.0057078178529982315</x:v>
      </x:c>
      <x:c r="F492" s="11" t="n">
        <x:v>0.422163075223532</x:v>
      </x:c>
      <x:c r="G492" s="11" t="n">
        <x:v>0.95849911963437</x:v>
      </x:c>
      <x:c r="H492" s="11" t="n">
        <x:v>0.9587846201467957</x:v>
      </x:c>
    </x:row>
    <x:row r="493" ht="22" customHeight="1">
      <x:c r="A493" s="17" t="str">
        <x:f>"13161500"</x:f>
        <x:v>13161500</x:v>
      </x:c>
      <x:c r="B493" s="11" t="n">
        <x:v>0.9871782614288066</x:v>
      </x:c>
      <x:c r="C493" s="11" t="n">
        <x:v>0.9902077623952754</x:v>
      </x:c>
      <x:c r="D493" s="11" t="n">
        <x:v>0.6345174523986566</x:v>
      </x:c>
      <x:c r="E493" s="11" t="n">
        <x:v>-0.003029500966468812</x:v>
      </x:c>
      <x:c r="F493" s="11" t="n">
        <x:v>0.35266080903014996</x:v>
      </x:c>
      <x:c r="G493" s="11" t="n">
        <x:v>0.9746897967073609</x:v>
      </x:c>
      <x:c r="H493" s="11" t="n">
        <x:v>0.9818878791340409</x:v>
      </x:c>
    </x:row>
    <x:row r="494" ht="22" customHeight="1">
      <x:c r="A494" s="17" t="str">
        <x:f>"13235000"</x:f>
        <x:v>13235000</x:v>
      </x:c>
      <x:c r="B494" s="11" t="n">
        <x:v>0.9823357391934033</x:v>
      </x:c>
      <x:c r="C494" s="11" t="n">
        <x:v>0.9865972100377569</x:v>
      </x:c>
      <x:c r="D494" s="11" t="n">
        <x:v>0.7875084722687685</x:v>
      </x:c>
      <x:c r="E494" s="11" t="n">
        <x:v>-0.0042614708443535765</x:v>
      </x:c>
      <x:c r="F494" s="11" t="n">
        <x:v>0.1948272669246348</x:v>
      </x:c>
      <x:c r="G494" s="11" t="n">
        <x:v>0.9659494489312268</x:v>
      </x:c>
      <x:c r="H494" s="11" t="n">
        <x:v>0.9711644230070932</x:v>
      </x:c>
    </x:row>
    <x:row r="495" ht="22" customHeight="1">
      <x:c r="A495" s="17" t="str">
        <x:f>"13240000"</x:f>
        <x:v>13240000</x:v>
      </x:c>
      <x:c r="B495" s="11" t="n">
        <x:v>0.9027611004222649</x:v>
      </x:c>
      <x:c r="C495" s="11" t="n">
        <x:v>0.8882323010194528</x:v>
      </x:c>
      <x:c r="D495" s="11" t="n">
        <x:v>0.6884640093761437</x:v>
      </x:c>
      <x:c r="E495" s="11" t="n">
        <x:v>0.014528799402812043</x:v>
      </x:c>
      <x:c r="F495" s="11" t="n">
        <x:v>0.21429709104612116</x:v>
      </x:c>
      <x:c r="G495" s="11" t="n">
        <x:v>0.8727575613524992</x:v>
      </x:c>
      <x:c r="H495" s="11" t="n">
        <x:v>0.8689784128001135</x:v>
      </x:c>
    </x:row>
    <x:row r="496" ht="22" customHeight="1">
      <x:c r="A496" s="17" t="str">
        <x:f>"13313000"</x:f>
        <x:v>13313000</x:v>
      </x:c>
      <x:c r="B496" s="11" t="n">
        <x:v>0.9838293650534806</x:v>
      </x:c>
      <x:c r="C496" s="11" t="n">
        <x:v>0.9858812137418987</x:v>
      </x:c>
      <x:c r="D496" s="11" t="n">
        <x:v>0.811659876773428</x:v>
      </x:c>
      <x:c r="E496" s="11" t="n">
        <x:v>-0.002051848688418123</x:v>
      </x:c>
      <x:c r="F496" s="11" t="n">
        <x:v>0.17216948828005263</x:v>
      </x:c>
      <x:c r="G496" s="11" t="n">
        <x:v>0.9698807751440337</x:v>
      </x:c>
      <x:c r="H496" s="11" t="n">
        <x:v>0.9761175885929246</x:v>
      </x:c>
    </x:row>
    <x:row r="497" ht="22" customHeight="1">
      <x:c r="A497" s="17" t="str">
        <x:f>"13331500"</x:f>
        <x:v>13331500</x:v>
      </x:c>
      <x:c r="B497" s="11" t="n">
        <x:v>0.9722530930845109</x:v>
      </x:c>
      <x:c r="C497" s="11" t="n">
        <x:v>0.9732520520895193</x:v>
      </x:c>
      <x:c r="D497" s="11" t="n">
        <x:v>0.7399575126875251</x:v>
      </x:c>
      <x:c r="E497" s="11" t="n">
        <x:v>-0.0009989590050083486</x:v>
      </x:c>
      <x:c r="F497" s="11" t="n">
        <x:v>0.23229558039698583</x:v>
      </x:c>
      <x:c r="G497" s="11" t="n">
        <x:v>0.9532494083550865</x:v>
      </x:c>
      <x:c r="H497" s="11" t="n">
        <x:v>0.9623067189104164</x:v>
      </x:c>
    </x:row>
    <x:row r="498" ht="22" customHeight="1">
      <x:c r="A498" s="17" t="str">
        <x:f>"13337000"</x:f>
        <x:v>13337000</x:v>
      </x:c>
      <x:c r="B498" s="11" t="n">
        <x:v>0.9871050253760586</x:v>
      </x:c>
      <x:c r="C498" s="11" t="n">
        <x:v>0.9873266658042783</x:v>
      </x:c>
      <x:c r="D498" s="11" t="n">
        <x:v>0.8460411929350327</x:v>
      </x:c>
      <x:c r="E498" s="11" t="n">
        <x:v>-0.00022164042821970487</x:v>
      </x:c>
      <x:c r="F498" s="11" t="n">
        <x:v>0.14106383244102594</x:v>
      </x:c>
      <x:c r="G498" s="11" t="n">
        <x:v>0.9691533952816579</x:v>
      </x:c>
      <x:c r="H498" s="11" t="n">
        <x:v>0.9741078146102344</x:v>
      </x:c>
    </x:row>
    <x:row r="499" ht="22" customHeight="1">
      <x:c r="A499" s="17" t="str">
        <x:f>"13338500"</x:f>
        <x:v>13338500</x:v>
      </x:c>
      <x:c r="B499" s="11" t="n">
        <x:v>0.959199655592562</x:v>
      </x:c>
      <x:c r="C499" s="11" t="n">
        <x:v>0.9610374337334613</x:v>
      </x:c>
      <x:c r="D499" s="11" t="n">
        <x:v>0.7915855082162754</x:v>
      </x:c>
      <x:c r="E499" s="11" t="n">
        <x:v>-0.0018377781408992488</x:v>
      </x:c>
      <x:c r="F499" s="11" t="n">
        <x:v>0.16761414737628666</x:v>
      </x:c>
      <x:c r="G499" s="11" t="n">
        <x:v>0.9481542079516808</x:v>
      </x:c>
      <x:c r="H499" s="11" t="n">
        <x:v>0.9505923213389379</x:v>
      </x:c>
    </x:row>
    <x:row r="500" ht="22" customHeight="1">
      <x:c r="A500" s="17" t="str">
        <x:f>"13340000"</x:f>
        <x:v>13340000</x:v>
      </x:c>
      <x:c r="B500" s="11" t="n">
        <x:v>0.9875053067962185</x:v>
      </x:c>
      <x:c r="C500" s="11" t="n">
        <x:v>0.9849920500967367</x:v>
      </x:c>
      <x:c r="D500" s="11" t="n">
        <x:v>0.8519146031852601</x:v>
      </x:c>
      <x:c r="E500" s="11" t="n">
        <x:v>0.0025132566994817696</x:v>
      </x:c>
      <x:c r="F500" s="11" t="n">
        <x:v>0.13559070361095837</x:v>
      </x:c>
      <x:c r="G500" s="11" t="n">
        <x:v>0.9670532682503987</x:v>
      </x:c>
      <x:c r="H500" s="11" t="n">
        <x:v>0.9731099731028318</x:v>
      </x:c>
    </x:row>
    <x:row r="501" ht="22" customHeight="1">
      <x:c r="A501" s="17" t="str">
        <x:f>"13340600"</x:f>
        <x:v>13340600</x:v>
      </x:c>
      <x:c r="B501" s="11" t="n">
        <x:v>0.9789226057811878</x:v>
      </x:c>
      <x:c r="C501" s="11" t="n">
        <x:v>0.9767241716965429</x:v>
      </x:c>
      <x:c r="D501" s="11" t="n">
        <x:v>0.7979846782676374</x:v>
      </x:c>
      <x:c r="E501" s="11" t="n">
        <x:v>0.002198434084644929</x:v>
      </x:c>
      <x:c r="F501" s="11" t="n">
        <x:v>0.18093792751355042</x:v>
      </x:c>
      <x:c r="G501" s="11" t="n">
        <x:v>0.9654171659626629</x:v>
      </x:c>
      <x:c r="H501" s="11" t="n">
        <x:v>0.9711044851774931</x:v>
      </x:c>
    </x:row>
    <x:row r="502" ht="22" customHeight="1">
      <x:c r="A502" s="17" t="str">
        <x:f>"14020000"</x:f>
        <x:v>14020000</x:v>
      </x:c>
      <x:c r="B502" s="11" t="n">
        <x:v>0.8617436143016254</x:v>
      </x:c>
      <x:c r="C502" s="11" t="n">
        <x:v>0.8637981324923643</x:v>
      </x:c>
      <x:c r="D502" s="11" t="n">
        <x:v>0.6770231680162032</x:v>
      </x:c>
      <x:c r="E502" s="11" t="n">
        <x:v>-0.0020545181907388743</x:v>
      </x:c>
      <x:c r="F502" s="11" t="n">
        <x:v>0.18472044628542217</x:v>
      </x:c>
      <x:c r="G502" s="11" t="n">
        <x:v>0.7632724241229019</x:v>
      </x:c>
      <x:c r="H502" s="11" t="n">
        <x:v>0.788201087358496</x:v>
      </x:c>
    </x:row>
    <x:row r="503" ht="22" customHeight="1">
      <x:c r="A503" s="17" t="str">
        <x:f>"14137000"</x:f>
        <x:v>14137000</x:v>
      </x:c>
      <x:c r="B503" s="11" t="n">
        <x:v>0.6701714316318679</x:v>
      </x:c>
      <x:c r="C503" s="11" t="n">
        <x:v>0.6045813358779895</x:v>
      </x:c>
      <x:c r="D503" s="11" t="n">
        <x:v>0.6126554944544906</x:v>
      </x:c>
      <x:c r="E503" s="11" t="n">
        <x:v>0.06559009575387842</x:v>
      </x:c>
      <x:c r="F503" s="11" t="n">
        <x:v>0.05751593717737724</x:v>
      </x:c>
      <x:c r="G503" s="11" t="n">
        <x:v>0.6123008576717899</x:v>
      </x:c>
      <x:c r="H503" s="11" t="n">
        <x:v>0.6542549101785571</x:v>
      </x:c>
    </x:row>
    <x:row r="504" ht="22" customHeight="1">
      <x:c r="A504" s="17" t="str">
        <x:f>"14138800"</x:f>
        <x:v>14138800</x:v>
      </x:c>
      <x:c r="B504" s="11" t="n">
        <x:v>0.5796016107271206</x:v>
      </x:c>
      <x:c r="C504" s="11" t="n">
        <x:v>0.5216932660262044</x:v>
      </x:c>
      <x:c r="D504" s="11" t="n">
        <x:v>0.5043034662910153</x:v>
      </x:c>
      <x:c r="E504" s="11" t="n">
        <x:v>0.057908344700916214</x:v>
      </x:c>
      <x:c r="F504" s="11" t="n">
        <x:v>0.07529814443610527</x:v>
      </x:c>
      <x:c r="G504" s="11" t="n">
        <x:v>0.49329433006336754</x:v>
      </x:c>
      <x:c r="H504" s="11" t="n">
        <x:v>0.5615930280842387</x:v>
      </x:c>
    </x:row>
    <x:row r="505" ht="22" customHeight="1">
      <x:c r="A505" s="17" t="str">
        <x:f>"14138870"</x:f>
        <x:v>14138870</x:v>
      </x:c>
      <x:c r="B505" s="11" t="n">
        <x:v>0.650484477580878</x:v>
      </x:c>
      <x:c r="C505" s="11" t="n">
        <x:v>0.6555571047787745</x:v>
      </x:c>
      <x:c r="D505" s="11" t="n">
        <x:v>0.5330509834933101</x:v>
      </x:c>
      <x:c r="E505" s="11" t="n">
        <x:v>-0.005072627197896473</x:v>
      </x:c>
      <x:c r="F505" s="11" t="n">
        <x:v>0.11743349408756787</x:v>
      </x:c>
      <x:c r="G505" s="11" t="n">
        <x:v>0.5305117357603231</x:v>
      </x:c>
      <x:c r="H505" s="11" t="n">
        <x:v>0.5942763802203251</x:v>
      </x:c>
    </x:row>
    <x:row r="506" ht="22" customHeight="1">
      <x:c r="A506" s="17" t="str">
        <x:f>"14138900"</x:f>
        <x:v>14138900</x:v>
      </x:c>
      <x:c r="B506" s="11" t="n">
        <x:v>0.64946948019808</x:v>
      </x:c>
      <x:c r="C506" s="11" t="n">
        <x:v>0.6246424755232968</x:v>
      </x:c>
      <x:c r="D506" s="11" t="n">
        <x:v>0.47750573119920403</x:v>
      </x:c>
      <x:c r="E506" s="11" t="n">
        <x:v>0.02482700467478327</x:v>
      </x:c>
      <x:c r="F506" s="11" t="n">
        <x:v>0.171963748998876</x:v>
      </x:c>
      <x:c r="G506" s="11" t="n">
        <x:v>0.5144485969456809</x:v>
      </x:c>
      <x:c r="H506" s="11" t="n">
        <x:v>0.5826398419019083</x:v>
      </x:c>
    </x:row>
    <x:row r="507" ht="22" customHeight="1">
      <x:c r="A507" s="17" t="str">
        <x:f>"14139800"</x:f>
        <x:v>14139800</x:v>
      </x:c>
      <x:c r="B507" s="11" t="n">
        <x:v>0.671333747314139</x:v>
      </x:c>
      <x:c r="C507" s="11" t="n">
        <x:v>0.5975331475938774</x:v>
      </x:c>
      <x:c r="D507" s="11" t="n">
        <x:v>0.5738094786695583</x:v>
      </x:c>
      <x:c r="E507" s="11" t="n">
        <x:v>0.07380059972026154</x:v>
      </x:c>
      <x:c r="F507" s="11" t="n">
        <x:v>0.09752426864458064</x:v>
      </x:c>
      <x:c r="G507" s="11" t="n">
        <x:v>0.53804721970032</x:v>
      </x:c>
      <x:c r="H507" s="11" t="n">
        <x:v>0.5966183095183488</x:v>
      </x:c>
    </x:row>
    <x:row r="508" ht="22" customHeight="1">
      <x:c r="A508" s="17" t="str">
        <x:f>"14141500"</x:f>
        <x:v>14141500</x:v>
      </x:c>
      <x:c r="B508" s="11" t="n">
        <x:v>0.653130993050634</x:v>
      </x:c>
      <x:c r="C508" s="11" t="n">
        <x:v>0.6985190976038911</x:v>
      </x:c>
      <x:c r="D508" s="11" t="n">
        <x:v>0.6125838570254387</x:v>
      </x:c>
      <x:c r="E508" s="11" t="n">
        <x:v>-0.045388104553257036</x:v>
      </x:c>
      <x:c r="F508" s="11" t="n">
        <x:v>0.04054713602519533</x:v>
      </x:c>
      <x:c r="G508" s="11" t="n">
        <x:v>0.5964167668458886</x:v>
      </x:c>
      <x:c r="H508" s="11" t="n">
        <x:v>0.6459653982055291</x:v>
      </x:c>
    </x:row>
    <x:row r="509" ht="22" customHeight="1">
      <x:c r="A509" s="17" t="str">
        <x:f>"14154500"</x:f>
        <x:v>14154500</x:v>
      </x:c>
      <x:c r="B509" s="11" t="n">
        <x:v>0.6623887451376331</x:v>
      </x:c>
      <x:c r="C509" s="11" t="n">
        <x:v>0.6852265371698005</x:v>
      </x:c>
      <x:c r="D509" s="11" t="n">
        <x:v>0.5810685190004663</x:v>
      </x:c>
      <x:c r="E509" s="11" t="n">
        <x:v>-0.022837792032167403</x:v>
      </x:c>
      <x:c r="F509" s="11" t="n">
        <x:v>0.08132022613716683</x:v>
      </x:c>
      <x:c r="G509" s="11" t="n">
        <x:v>0.519174985635398</x:v>
      </x:c>
      <x:c r="H509" s="11" t="n">
        <x:v>0.5931875271786141</x:v>
      </x:c>
    </x:row>
    <x:row r="510" ht="22" customHeight="1">
      <x:c r="A510" s="17" t="str">
        <x:f>"14158500"</x:f>
        <x:v>14158500</x:v>
      </x:c>
      <x:c r="B510" s="11" t="n">
        <x:v>0.9602088125689678</x:v>
      </x:c>
      <x:c r="C510" s="11" t="n">
        <x:v>0.9462975540467027</x:v>
      </x:c>
      <x:c r="D510" s="11" t="n">
        <x:v>0.6542894098591088</x:v>
      </x:c>
      <x:c r="E510" s="11" t="n">
        <x:v>0.013911258522265157</x:v>
      </x:c>
      <x:c r="F510" s="11" t="n">
        <x:v>0.30591940270985907</x:v>
      </x:c>
      <x:c r="G510" s="11" t="n">
        <x:v>0.9457523649135146</x:v>
      </x:c>
      <x:c r="H510" s="11" t="n">
        <x:v>0.955197333158785</x:v>
      </x:c>
    </x:row>
    <x:row r="511" ht="22" customHeight="1">
      <x:c r="A511" s="17" t="str">
        <x:f>"14158790"</x:f>
        <x:v>14158790</x:v>
      </x:c>
      <x:c r="B511" s="11" t="n">
        <x:v>0.7250741086673395</x:v>
      </x:c>
      <x:c r="C511" s="11" t="n">
        <x:v>0.6698540029049986</x:v>
      </x:c>
      <x:c r="D511" s="11" t="n">
        <x:v>0.5886619782042998</x:v>
      </x:c>
      <x:c r="E511" s="11" t="n">
        <x:v>0.05522010576234082</x:v>
      </x:c>
      <x:c r="F511" s="11" t="n">
        <x:v>0.13641213046303968</x:v>
      </x:c>
      <x:c r="G511" s="11" t="n">
        <x:v>0.6541174886904637</x:v>
      </x:c>
      <x:c r="H511" s="11" t="n">
        <x:v>0.6949894974026831</x:v>
      </x:c>
    </x:row>
    <x:row r="512" ht="22" customHeight="1">
      <x:c r="A512" s="17" t="str">
        <x:f>"14166500"</x:f>
        <x:v>14166500</x:v>
      </x:c>
      <x:c r="B512" s="11" t="n">
        <x:v>0.8292539846499428</x:v>
      </x:c>
      <x:c r="C512" s="11" t="n">
        <x:v>0.8951374484304071</x:v>
      </x:c>
      <x:c r="D512" s="11" t="n">
        <x:v>0.8060363990058856</x:v>
      </x:c>
      <x:c r="E512" s="11" t="n">
        <x:v>-0.06588346378046428</x:v>
      </x:c>
      <x:c r="F512" s="11" t="n">
        <x:v>0.02321758564405718</x:v>
      </x:c>
      <x:c r="G512" s="11" t="n">
        <x:v>0.7495466117306314</x:v>
      </x:c>
      <x:c r="H512" s="11" t="n">
        <x:v>0.7929283773986984</x:v>
      </x:c>
    </x:row>
    <x:row r="513" ht="22" customHeight="1">
      <x:c r="A513" s="17" t="str">
        <x:f>"14182500"</x:f>
        <x:v>14182500</x:v>
      </x:c>
      <x:c r="B513" s="11" t="n">
        <x:v>0.6887429350616994</x:v>
      </x:c>
      <x:c r="C513" s="11" t="n">
        <x:v>0.6810247350737249</x:v>
      </x:c>
      <x:c r="D513" s="11" t="n">
        <x:v>0.5870160911319109</x:v>
      </x:c>
      <x:c r="E513" s="11" t="n">
        <x:v>0.007718199987974517</x:v>
      </x:c>
      <x:c r="F513" s="11" t="n">
        <x:v>0.10172684392978848</x:v>
      </x:c>
      <x:c r="G513" s="11" t="n">
        <x:v>0.5405035025380849</x:v>
      </x:c>
      <x:c r="H513" s="11" t="n">
        <x:v>0.5962347040200975</x:v>
      </x:c>
    </x:row>
    <x:row r="514" ht="22" customHeight="1">
      <x:c r="A514" s="17" t="str">
        <x:f>"14185000"</x:f>
        <x:v>14185000</x:v>
      </x:c>
      <x:c r="B514" s="11" t="n">
        <x:v>0.6383646607273343</x:v>
      </x:c>
      <x:c r="C514" s="11" t="n">
        <x:v>0.6196995453657619</x:v>
      </x:c>
      <x:c r="D514" s="11" t="n">
        <x:v>0.5453942993089917</x:v>
      </x:c>
      <x:c r="E514" s="11" t="n">
        <x:v>0.01866511536157245</x:v>
      </x:c>
      <x:c r="F514" s="11" t="n">
        <x:v>0.09297036141834258</x:v>
      </x:c>
      <x:c r="G514" s="11" t="n">
        <x:v>0.5670300121940988</x:v>
      </x:c>
      <x:c r="H514" s="11" t="n">
        <x:v>0.624419975018765</x:v>
      </x:c>
    </x:row>
    <x:row r="515" ht="22" customHeight="1">
      <x:c r="A515" s="17" t="str">
        <x:f>"14185900"</x:f>
        <x:v>14185900</x:v>
      </x:c>
      <x:c r="B515" s="11" t="n">
        <x:v>0.6492671014841265</x:v>
      </x:c>
      <x:c r="C515" s="11" t="n">
        <x:v>0.6500189335300328</x:v>
      </x:c>
      <x:c r="D515" s="11" t="n">
        <x:v>0.5948212807525245</x:v>
      </x:c>
      <x:c r="E515" s="11" t="n">
        <x:v>-0.0007518320459063421</x:v>
      </x:c>
      <x:c r="F515" s="11" t="n">
        <x:v>0.05444582073160198</x:v>
      </x:c>
      <x:c r="G515" s="11" t="n">
        <x:v>0.5808737803011383</x:v>
      </x:c>
      <x:c r="H515" s="11" t="n">
        <x:v>0.6338880710221535</x:v>
      </x:c>
    </x:row>
    <x:row r="516" ht="22" customHeight="1">
      <x:c r="A516" s="17" t="str">
        <x:f>"14222500"</x:f>
        <x:v>14222500</x:v>
      </x:c>
      <x:c r="B516" s="11" t="n">
        <x:v>0.8084491911611791</x:v>
      </x:c>
      <x:c r="C516" s="11" t="n">
        <x:v>0.8132003228592294</x:v>
      </x:c>
      <x:c r="D516" s="11" t="n">
        <x:v>0.7172464242372322</x:v>
      </x:c>
      <x:c r="E516" s="11" t="n">
        <x:v>-0.004751131698050304</x:v>
      </x:c>
      <x:c r="F516" s="11" t="n">
        <x:v>0.09120276692394691</x:v>
      </x:c>
      <x:c r="G516" s="11" t="n">
        <x:v>0.7161155316039476</x:v>
      </x:c>
      <x:c r="H516" s="11" t="n">
        <x:v>0.7480868696575438</x:v>
      </x:c>
    </x:row>
    <x:row r="517" ht="22" customHeight="1">
      <x:c r="A517" s="17" t="str">
        <x:f>"14236200"</x:f>
        <x:v>14236200</x:v>
      </x:c>
      <x:c r="B517" s="11" t="n">
        <x:v>0.7886500066849289</x:v>
      </x:c>
      <x:c r="C517" s="11" t="n">
        <x:v>0.7015977024948781</x:v>
      </x:c>
      <x:c r="D517" s="11" t="n">
        <x:v>0.6696597895855998</x:v>
      </x:c>
      <x:c r="E517" s="11" t="n">
        <x:v>0.08705230419005083</x:v>
      </x:c>
      <x:c r="F517" s="11" t="n">
        <x:v>0.11899021709932911</x:v>
      </x:c>
      <x:c r="G517" s="11" t="n">
        <x:v>0.7460080799064999</x:v>
      </x:c>
      <x:c r="H517" s="11" t="n">
        <x:v>0.7736512122259362</x:v>
      </x:c>
    </x:row>
    <x:row r="518" ht="22" customHeight="1">
      <x:c r="A518" s="17" t="str">
        <x:f>"14301000"</x:f>
        <x:v>14301000</x:v>
      </x:c>
      <x:c r="B518" s="11" t="n">
        <x:v>0.9403707574135163</x:v>
      </x:c>
      <x:c r="C518" s="11" t="n">
        <x:v>0.9353727169593585</x:v>
      </x:c>
      <x:c r="D518" s="11" t="n">
        <x:v>0.828756107574323</x:v>
      </x:c>
      <x:c r="E518" s="11" t="n">
        <x:v>0.004998040454157748</x:v>
      </x:c>
      <x:c r="F518" s="11" t="n">
        <x:v>0.11161464983919323</x:v>
      </x:c>
      <x:c r="G518" s="11" t="n">
        <x:v>0.8534438243621928</x:v>
      </x:c>
      <x:c r="H518" s="11" t="n">
        <x:v>0.8863206300715852</x:v>
      </x:c>
    </x:row>
    <x:row r="519" ht="22" customHeight="1">
      <x:c r="A519" s="17" t="str">
        <x:f>"14305500"</x:f>
        <x:v>14305500</x:v>
      </x:c>
      <x:c r="B519" s="11" t="n">
        <x:v>0.7682252437492126</x:v>
      </x:c>
      <x:c r="C519" s="11" t="n">
        <x:v>0.7564798532761059</x:v>
      </x:c>
      <x:c r="D519" s="11" t="n">
        <x:v>0.692978090144361</x:v>
      </x:c>
      <x:c r="E519" s="11" t="n">
        <x:v>0.011745390473106743</x:v>
      </x:c>
      <x:c r="F519" s="11" t="n">
        <x:v>0.07524715360485168</x:v>
      </x:c>
      <x:c r="G519" s="11" t="n">
        <x:v>0.6458445221020228</x:v>
      </x:c>
      <x:c r="H519" s="11" t="n">
        <x:v>0.6927147742023723</x:v>
      </x:c>
    </x:row>
    <x:row r="520" ht="22" customHeight="1">
      <x:c r="A520" s="17" t="str">
        <x:f>"14306500"</x:f>
        <x:v>14306500</x:v>
      </x:c>
      <x:c r="B520" s="11" t="n">
        <x:v>0.8569396893134125</x:v>
      </x:c>
      <x:c r="C520" s="11" t="n">
        <x:v>0.8466641113650666</x:v>
      </x:c>
      <x:c r="D520" s="11" t="n">
        <x:v>0.7908611173454081</x:v>
      </x:c>
      <x:c r="E520" s="11" t="n">
        <x:v>0.010275577948345882</x:v>
      </x:c>
      <x:c r="F520" s="11" t="n">
        <x:v>0.06607857196800437</x:v>
      </x:c>
      <x:c r="G520" s="11" t="n">
        <x:v>0.7504864127629328</x:v>
      </x:c>
      <x:c r="H520" s="11" t="n">
        <x:v>0.79084533359239</x:v>
      </x:c>
    </x:row>
    <x:row r="521" ht="22" customHeight="1">
      <x:c r="A521" s="17" t="str">
        <x:f>"14309500"</x:f>
        <x:v>14309500</x:v>
      </x:c>
      <x:c r="B521" s="11" t="n">
        <x:v>0.6993626335781453</x:v>
      </x:c>
      <x:c r="C521" s="11" t="n">
        <x:v>0.6961394355141732</x:v>
      </x:c>
      <x:c r="D521" s="11" t="n">
        <x:v>0.655023662675698</x:v>
      </x:c>
      <x:c r="E521" s="11" t="n">
        <x:v>0.003223198063972088</x:v>
      </x:c>
      <x:c r="F521" s="11" t="n">
        <x:v>0.04433897090244732</x:v>
      </x:c>
      <x:c r="G521" s="11" t="n">
        <x:v>0.5563385245648428</x:v>
      </x:c>
      <x:c r="H521" s="11" t="n">
        <x:v>0.610231842949476</x:v>
      </x:c>
    </x:row>
    <x:row r="522" ht="22" customHeight="1">
      <x:c r="A522" s="17" t="str">
        <x:f>"14316700"</x:f>
        <x:v>14316700</x:v>
      </x:c>
      <x:c r="B522" s="11" t="n">
        <x:v>0.721356573085072</x:v>
      </x:c>
      <x:c r="C522" s="11" t="n">
        <x:v>0.7108845940843729</x:v>
      </x:c>
      <x:c r="D522" s="11" t="n">
        <x:v>0.6441045640650658</x:v>
      </x:c>
      <x:c r="E522" s="11" t="n">
        <x:v>0.010471979000699072</x:v>
      </x:c>
      <x:c r="F522" s="11" t="n">
        <x:v>0.07725200902000617</x:v>
      </x:c>
      <x:c r="G522" s="11" t="n">
        <x:v>0.5922364035340923</x:v>
      </x:c>
      <x:c r="H522" s="11" t="n">
        <x:v>0.6452212798650612</x:v>
      </x:c>
    </x:row>
    <x:row r="523" ht="22" customHeight="1">
      <x:c r="A523" s="17" t="str">
        <x:f>"14325000"</x:f>
        <x:v>14325000</x:v>
      </x:c>
      <x:c r="B523" s="11" t="n">
        <x:v>0.7140755287975433</x:v>
      </x:c>
      <x:c r="C523" s="11" t="n">
        <x:v>0.7244189105665904</x:v>
      </x:c>
      <x:c r="D523" s="11" t="n">
        <x:v>0.634669706156342</x:v>
      </x:c>
      <x:c r="E523" s="11" t="n">
        <x:v>-0.010343381769047033</x:v>
      </x:c>
      <x:c r="F523" s="11" t="n">
        <x:v>0.07940582264120133</x:v>
      </x:c>
      <x:c r="G523" s="11" t="n">
        <x:v>0.5753344577305173</x:v>
      </x:c>
      <x:c r="H523" s="11" t="n">
        <x:v>0.6257335954132905</x:v>
      </x:c>
    </x:row>
    <x:row r="524" ht="22" customHeight="1">
      <x:c r="A524" s="18" t="str">
        <x:f>"14400000"</x:f>
        <x:v>14400000</x:v>
      </x:c>
      <x:c r="B524" s="16" t="n">
        <x:v>0.7740210754811903</x:v>
      </x:c>
      <x:c r="C524" s="16" t="n">
        <x:v>0.774932266989517</x:v>
      </x:c>
      <x:c r="D524" s="16" t="n">
        <x:v>0.7041852363531396</x:v>
      </x:c>
      <x:c r="E524" s="16" t="n">
        <x:v>-0.0009111915083267474</x:v>
      </x:c>
      <x:c r="F524" s="16" t="n">
        <x:v>0.06983583912805069</x:v>
      </x:c>
      <x:c r="G524" s="16" t="n">
        <x:v>0.6361059075665685</x:v>
      </x:c>
      <x:c r="H524" s="16" t="n">
        <x:v>0.6707204622122498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4" t="str">
        <x:v>Core loss &lt;= .05; removal loss &gt;= .02; win &gt;= .8. Draws exclude the core itself and may repeat.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8" customHeight="1">
      <x:c r="A3" s="10" t="str">
        <x:v>Basin ID</x:v>
      </x:c>
      <x:c r="B3" s="10" t="str">
        <x:v>Seed</x:v>
      </x:c>
      <x:c r="C3" s="10" t="str">
        <x:v>Q history</x:v>
      </x:c>
      <x:c r="D3" s="10" t="str">
        <x:v>Binary full NSE</x:v>
      </x:c>
      <x:c r="E3" s="10" t="str">
        <x:v>Core NSE</x:v>
      </x:c>
      <x:c r="F3" s="10" t="str">
        <x:v>Removed NSE</x:v>
      </x:c>
      <x:c r="G3" s="10" t="str">
        <x:v>Full - core</x:v>
      </x:c>
      <x:c r="H3" s="10" t="str">
        <x:v>Full - removed</x:v>
      </x:c>
      <x:c r="I3" s="10" t="str">
        <x:v>Nonidentical-draw win</x:v>
      </x:c>
      <x:c r="J3" s="10" t="str">
        <x:v>Nonidentical draws</x:v>
      </x:c>
      <x:c r="K3" s="10" t="str">
        <x:v>Fixed criterion pass</x:v>
      </x:c>
      <x:c r="L3" s="10" t="str">
        <x:v>Active units</x:v>
      </x:c>
      <x:c r="M3" s="10" t="str">
        <x:v>Retained units</x:v>
      </x:c>
    </x:row>
    <x:row r="4" ht="22" customHeight="1">
      <x:c r="A4" s="17" t="str">
        <x:f>"01013500"</x:f>
        <x:v>01013500</x:v>
      </x:c>
      <x:c r="B4" s="13" t="n">
        <x:v>42</x:v>
      </x:c>
      <x:c r="C4" s="22" t="b">
        <x:v>1</x:v>
      </x:c>
      <x:c r="D4" s="11" t="n">
        <x:v>0.9939141723466888</x:v>
      </x:c>
      <x:c r="E4" s="11" t="n">
        <x:v>0.9783155611827425</x:v>
      </x:c>
      <x:c r="F4" s="11" t="n">
        <x:v>0.8793711417296902</x:v>
      </x:c>
      <x:c r="G4" s="11" t="n">
        <x:v>0.01559861116394623</x:v>
      </x:c>
      <x:c r="H4" s="11" t="n">
        <x:v>0.11454303061699855</x:v>
      </x:c>
      <x:c r="I4" s="11"/>
      <x:c r="J4" s="13" t="n">
        <x:v>0</x:v>
      </x:c>
      <x:c r="K4" s="22" t="b">
        <x:v>0</x:v>
      </x:c>
      <x:c r="L4" s="13" t="n">
        <x:v>33</x:v>
      </x:c>
      <x:c r="M4" s="13" t="n">
        <x:v>13</x:v>
      </x:c>
    </x:row>
    <x:row r="5" ht="22" customHeight="1">
      <x:c r="A5" s="17" t="str">
        <x:f>"01013500"</x:f>
        <x:v>01013500</x:v>
      </x:c>
      <x:c r="B5" s="13" t="n">
        <x:v>42</x:v>
      </x:c>
      <x:c r="C5" s="22" t="b">
        <x:v>0</x:v>
      </x:c>
      <x:c r="D5" s="11" t="n">
        <x:v>0.6807343189500684</x:v>
      </x:c>
      <x:c r="E5" s="11" t="n">
        <x:v>0.6580773710805784</x:v>
      </x:c>
      <x:c r="F5" s="11" t="n">
        <x:v>-0.056650920300288954</x:v>
      </x:c>
      <x:c r="G5" s="11" t="n">
        <x:v>0.02265694786949002</x:v>
      </x:c>
      <x:c r="H5" s="11" t="n">
        <x:v>0.7373852392503574</x:v>
      </x:c>
      <x:c r="I5" s="11" t="n">
        <x:v>0.9</x:v>
      </x:c>
      <x:c r="J5" s="13" t="n">
        <x:v>20</x:v>
      </x:c>
      <x:c r="K5" s="22" t="b">
        <x:v>1</x:v>
      </x:c>
      <x:c r="L5" s="13" t="n">
        <x:v>113</x:v>
      </x:c>
      <x:c r="M5" s="13" t="n">
        <x:v>37</x:v>
      </x:c>
    </x:row>
    <x:row r="6" ht="22" customHeight="1">
      <x:c r="A6" s="17" t="str">
        <x:f>"01022500"</x:f>
        <x:v>01022500</x:v>
      </x:c>
      <x:c r="B6" s="13" t="n">
        <x:v>42</x:v>
      </x:c>
      <x:c r="C6" s="22" t="b">
        <x:v>1</x:v>
      </x:c>
      <x:c r="D6" s="11" t="n">
        <x:v>0.8597121472207424</x:v>
      </x:c>
      <x:c r="E6" s="11" t="n">
        <x:v>0.8303744572220009</x:v>
      </x:c>
      <x:c r="F6" s="11" t="n">
        <x:v>-0.04127580869163405</x:v>
      </x:c>
      <x:c r="G6" s="11" t="n">
        <x:v>0.029337689998741534</x:v>
      </x:c>
      <x:c r="H6" s="11" t="n">
        <x:v>0.9009879559123765</x:v>
      </x:c>
      <x:c r="I6" s="11" t="n">
        <x:v>1</x:v>
      </x:c>
      <x:c r="J6" s="13" t="n">
        <x:v>10</x:v>
      </x:c>
      <x:c r="K6" s="22" t="b">
        <x:v>1</x:v>
      </x:c>
      <x:c r="L6" s="13" t="n">
        <x:v>93</x:v>
      </x:c>
      <x:c r="M6" s="13" t="n">
        <x:v>30</x:v>
      </x:c>
    </x:row>
    <x:row r="7" ht="22" customHeight="1">
      <x:c r="A7" s="17" t="str">
        <x:f>"01022500"</x:f>
        <x:v>01022500</x:v>
      </x:c>
      <x:c r="B7" s="13" t="n">
        <x:v>42</x:v>
      </x:c>
      <x:c r="C7" s="22" t="b">
        <x:v>0</x:v>
      </x:c>
      <x:c r="D7" s="11" t="n">
        <x:v>0.6343931544477539</x:v>
      </x:c>
      <x:c r="E7" s="11" t="n">
        <x:v>0.594207798238491</x:v>
      </x:c>
      <x:c r="F7" s="11" t="n">
        <x:v>0.024332446069226465</x:v>
      </x:c>
      <x:c r="G7" s="11" t="n">
        <x:v>0.04018535620926289</x:v>
      </x:c>
      <x:c r="H7" s="11" t="n">
        <x:v>0.6100607083785274</x:v>
      </x:c>
      <x:c r="I7" s="11" t="n">
        <x:v>0.85</x:v>
      </x:c>
      <x:c r="J7" s="13" t="n">
        <x:v>20</x:v>
      </x:c>
      <x:c r="K7" s="22" t="b">
        <x:v>1</x:v>
      </x:c>
      <x:c r="L7" s="13" t="n">
        <x:v>109</x:v>
      </x:c>
      <x:c r="M7" s="13" t="n">
        <x:v>36</x:v>
      </x:c>
    </x:row>
    <x:row r="8" ht="22" customHeight="1">
      <x:c r="A8" s="17" t="str">
        <x:f>"01030500"</x:f>
        <x:v>01030500</x:v>
      </x:c>
      <x:c r="B8" s="13" t="n">
        <x:v>42</x:v>
      </x:c>
      <x:c r="C8" s="22" t="b">
        <x:v>1</x:v>
      </x:c>
      <x:c r="D8" s="11" t="n">
        <x:v>0.9896892094266008</x:v>
      </x:c>
      <x:c r="E8" s="11" t="n">
        <x:v>0.9783189822726537</x:v>
      </x:c>
      <x:c r="F8" s="11" t="n">
        <x:v>0.8488758246361563</x:v>
      </x:c>
      <x:c r="G8" s="11" t="n">
        <x:v>0.011370227153947088</x:v>
      </x:c>
      <x:c r="H8" s="11" t="n">
        <x:v>0.14081338479044447</x:v>
      </x:c>
      <x:c r="I8" s="11"/>
      <x:c r="J8" s="13" t="n">
        <x:v>0</x:v>
      </x:c>
      <x:c r="K8" s="22" t="b">
        <x:v>0</x:v>
      </x:c>
      <x:c r="L8" s="13" t="n">
        <x:v>44</x:v>
      </x:c>
      <x:c r="M8" s="13" t="n">
        <x:v>16</x:v>
      </x:c>
    </x:row>
    <x:row r="9" ht="22" customHeight="1">
      <x:c r="A9" s="17" t="str">
        <x:f>"01030500"</x:f>
        <x:v>01030500</x:v>
      </x:c>
      <x:c r="B9" s="13" t="n">
        <x:v>42</x:v>
      </x:c>
      <x:c r="C9" s="22" t="b">
        <x:v>0</x:v>
      </x:c>
      <x:c r="D9" s="11" t="n">
        <x:v>0.6508002184882193</x:v>
      </x:c>
      <x:c r="E9" s="11" t="n">
        <x:v>0.6658746796179544</x:v>
      </x:c>
      <x:c r="F9" s="11" t="n">
        <x:v>0.07784683079117038</x:v>
      </x:c>
      <x:c r="G9" s="11" t="n">
        <x:v>-0.015074461129735095</x:v>
      </x:c>
      <x:c r="H9" s="11" t="n">
        <x:v>0.572953387697049</x:v>
      </x:c>
      <x:c r="I9" s="11" t="n">
        <x:v>0.85</x:v>
      </x:c>
      <x:c r="J9" s="13" t="n">
        <x:v>20</x:v>
      </x:c>
      <x:c r="K9" s="22" t="b">
        <x:v>1</x:v>
      </x:c>
      <x:c r="L9" s="13" t="n">
        <x:v>127</x:v>
      </x:c>
      <x:c r="M9" s="13" t="n">
        <x:v>45</x:v>
      </x:c>
    </x:row>
    <x:row r="10" ht="22" customHeight="1">
      <x:c r="A10" s="17" t="str">
        <x:f>"01031500"</x:f>
        <x:v>01031500</x:v>
      </x:c>
      <x:c r="B10" s="13" t="n">
        <x:v>42</x:v>
      </x:c>
      <x:c r="C10" s="22" t="b">
        <x:v>1</x:v>
      </x:c>
      <x:c r="D10" s="11" t="n">
        <x:v>0.7058083036475435</x:v>
      </x:c>
      <x:c r="E10" s="11" t="n">
        <x:v>0.6953033766737753</x:v>
      </x:c>
      <x:c r="F10" s="11" t="n">
        <x:v>0.3519751950518233</x:v>
      </x:c>
      <x:c r="G10" s="11" t="n">
        <x:v>0.010504926973768258</x:v>
      </x:c>
      <x:c r="H10" s="11" t="n">
        <x:v>0.35383310859572026</x:v>
      </x:c>
      <x:c r="I10" s="11" t="n">
        <x:v>1</x:v>
      </x:c>
      <x:c r="J10" s="13" t="n">
        <x:v>18</x:v>
      </x:c>
      <x:c r="K10" s="22" t="b">
        <x:v>1</x:v>
      </x:c>
      <x:c r="L10" s="13" t="n">
        <x:v>120</x:v>
      </x:c>
      <x:c r="M10" s="13" t="n">
        <x:v>41</x:v>
      </x:c>
    </x:row>
    <x:row r="11" ht="22" customHeight="1">
      <x:c r="A11" s="17" t="str">
        <x:f>"01031500"</x:f>
        <x:v>01031500</x:v>
      </x:c>
      <x:c r="B11" s="13" t="n">
        <x:v>42</x:v>
      </x:c>
      <x:c r="C11" s="22" t="b">
        <x:v>0</x:v>
      </x:c>
      <x:c r="D11" s="11" t="n">
        <x:v>0.4345201907237719</x:v>
      </x:c>
      <x:c r="E11" s="11" t="n">
        <x:v>0.42576105245077467</x:v>
      </x:c>
      <x:c r="F11" s="11" t="n">
        <x:v>-0.13883121361940676</x:v>
      </x:c>
      <x:c r="G11" s="11" t="n">
        <x:v>0.008759138272997236</x:v>
      </x:c>
      <x:c r="H11" s="11" t="n">
        <x:v>0.5733514043431787</x:v>
      </x:c>
      <x:c r="I11" s="11" t="n">
        <x:v>1</x:v>
      </x:c>
      <x:c r="J11" s="13" t="n">
        <x:v>19</x:v>
      </x:c>
      <x:c r="K11" s="22" t="b">
        <x:v>1</x:v>
      </x:c>
      <x:c r="L11" s="13" t="n">
        <x:v>132</x:v>
      </x:c>
      <x:c r="M11" s="13" t="n">
        <x:v>47</x:v>
      </x:c>
    </x:row>
    <x:row r="12" ht="22" customHeight="1">
      <x:c r="A12" s="17" t="str">
        <x:f>"01047000"</x:f>
        <x:v>01047000</x:v>
      </x:c>
      <x:c r="B12" s="13" t="n">
        <x:v>42</x:v>
      </x:c>
      <x:c r="C12" s="22" t="b">
        <x:v>1</x:v>
      </x:c>
      <x:c r="D12" s="11" t="n">
        <x:v>0.6179817162475187</x:v>
      </x:c>
      <x:c r="E12" s="11" t="n">
        <x:v>0.6015191890570435</x:v>
      </x:c>
      <x:c r="F12" s="11" t="n">
        <x:v>0.45785320132828844</x:v>
      </x:c>
      <x:c r="G12" s="11" t="n">
        <x:v>0.01646252719047525</x:v>
      </x:c>
      <x:c r="H12" s="11" t="n">
        <x:v>0.1601285149192303</x:v>
      </x:c>
      <x:c r="I12" s="11" t="n">
        <x:v>1</x:v>
      </x:c>
      <x:c r="J12" s="13" t="n">
        <x:v>13</x:v>
      </x:c>
      <x:c r="K12" s="22" t="b">
        <x:v>1</x:v>
      </x:c>
      <x:c r="L12" s="13" t="n">
        <x:v>74</x:v>
      </x:c>
      <x:c r="M12" s="13" t="n">
        <x:v>24</x:v>
      </x:c>
    </x:row>
    <x:row r="13" ht="22" customHeight="1">
      <x:c r="A13" s="17" t="str">
        <x:f>"01047000"</x:f>
        <x:v>01047000</x:v>
      </x:c>
      <x:c r="B13" s="13" t="n">
        <x:v>42</x:v>
      </x:c>
      <x:c r="C13" s="22" t="b">
        <x:v>0</x:v>
      </x:c>
      <x:c r="D13" s="11" t="n">
        <x:v>0.4111493629651328</x:v>
      </x:c>
      <x:c r="E13" s="11" t="n">
        <x:v>0.43945988528812663</x:v>
      </x:c>
      <x:c r="F13" s="11" t="n">
        <x:v>0.11861540741524024</x:v>
      </x:c>
      <x:c r="G13" s="11" t="n">
        <x:v>-0.028310522322993803</x:v>
      </x:c>
      <x:c r="H13" s="11" t="n">
        <x:v>0.2925339555498926</x:v>
      </x:c>
      <x:c r="I13" s="11" t="n">
        <x:v>1</x:v>
      </x:c>
      <x:c r="J13" s="13" t="n">
        <x:v>20</x:v>
      </x:c>
      <x:c r="K13" s="22" t="b">
        <x:v>1</x:v>
      </x:c>
      <x:c r="L13" s="13" t="n">
        <x:v>150</x:v>
      </x:c>
      <x:c r="M13" s="13" t="n">
        <x:v>61</x:v>
      </x:c>
    </x:row>
    <x:row r="14" ht="22" customHeight="1">
      <x:c r="A14" s="17" t="str">
        <x:f>"01052500"</x:f>
        <x:v>01052500</x:v>
      </x:c>
      <x:c r="B14" s="13" t="n">
        <x:v>42</x:v>
      </x:c>
      <x:c r="C14" s="22" t="b">
        <x:v>1</x:v>
      </x:c>
      <x:c r="D14" s="11" t="n">
        <x:v>0.691306999524934</x:v>
      </x:c>
      <x:c r="E14" s="11" t="n">
        <x:v>0.7013456249790957</x:v>
      </x:c>
      <x:c r="F14" s="11" t="n">
        <x:v>0.3850876572174239</x:v>
      </x:c>
      <x:c r="G14" s="11" t="n">
        <x:v>-0.010038625454161676</x:v>
      </x:c>
      <x:c r="H14" s="11" t="n">
        <x:v>0.30621934230751013</x:v>
      </x:c>
      <x:c r="I14" s="11" t="n">
        <x:v>1</x:v>
      </x:c>
      <x:c r="J14" s="13" t="n">
        <x:v>7</x:v>
      </x:c>
      <x:c r="K14" s="22" t="b">
        <x:v>1</x:v>
      </x:c>
      <x:c r="L14" s="13" t="n">
        <x:v>83</x:v>
      </x:c>
      <x:c r="M14" s="13" t="n">
        <x:v>27</x:v>
      </x:c>
    </x:row>
    <x:row r="15" ht="22" customHeight="1">
      <x:c r="A15" s="17" t="str">
        <x:f>"01052500"</x:f>
        <x:v>01052500</x:v>
      </x:c>
      <x:c r="B15" s="13" t="n">
        <x:v>42</x:v>
      </x:c>
      <x:c r="C15" s="22" t="b">
        <x:v>0</x:v>
      </x:c>
      <x:c r="D15" s="11" t="n">
        <x:v>0.492358371516019</x:v>
      </x:c>
      <x:c r="E15" s="11" t="n">
        <x:v>0.407863336663017</x:v>
      </x:c>
      <x:c r="F15" s="11" t="n">
        <x:v>0.08956838142919121</x:v>
      </x:c>
      <x:c r="G15" s="11" t="n">
        <x:v>0.08449503485300203</x:v>
      </x:c>
      <x:c r="H15" s="11" t="n">
        <x:v>0.4027899900868278</x:v>
      </x:c>
      <x:c r="I15" s="11" t="n">
        <x:v>0.5789473684210527</x:v>
      </x:c>
      <x:c r="J15" s="13" t="n">
        <x:v>19</x:v>
      </x:c>
      <x:c r="K15" s="22" t="b">
        <x:v>0</x:v>
      </x:c>
      <x:c r="L15" s="13" t="n">
        <x:v>142</x:v>
      </x:c>
      <x:c r="M15" s="13" t="n">
        <x:v>55</x:v>
      </x:c>
    </x:row>
    <x:row r="16" ht="22" customHeight="1">
      <x:c r="A16" s="17" t="str">
        <x:f>"01054200"</x:f>
        <x:v>01054200</x:v>
      </x:c>
      <x:c r="B16" s="13" t="n">
        <x:v>42</x:v>
      </x:c>
      <x:c r="C16" s="22" t="b">
        <x:v>1</x:v>
      </x:c>
      <x:c r="D16" s="11" t="n">
        <x:v>0.2929661966451311</x:v>
      </x:c>
      <x:c r="E16" s="11" t="n">
        <x:v>0.29123480877597996</x:v>
      </x:c>
      <x:c r="F16" s="11" t="n">
        <x:v>0.21301343317166233</x:v>
      </x:c>
      <x:c r="G16" s="11" t="n">
        <x:v>0.0017313878691511686</x:v>
      </x:c>
      <x:c r="H16" s="11" t="n">
        <x:v>0.0799527634734688</x:v>
      </x:c>
      <x:c r="I16" s="11" t="n">
        <x:v>0.5</x:v>
      </x:c>
      <x:c r="J16" s="13" t="n">
        <x:v>20</x:v>
      </x:c>
      <x:c r="K16" s="22" t="b">
        <x:v>0</x:v>
      </x:c>
      <x:c r="L16" s="13" t="n">
        <x:v>111</x:v>
      </x:c>
      <x:c r="M16" s="13" t="n">
        <x:v>37</x:v>
      </x:c>
    </x:row>
    <x:row r="17" ht="22" customHeight="1">
      <x:c r="A17" s="17" t="str">
        <x:f>"01054200"</x:f>
        <x:v>01054200</x:v>
      </x:c>
      <x:c r="B17" s="13" t="n">
        <x:v>42</x:v>
      </x:c>
      <x:c r="C17" s="22" t="b">
        <x:v>0</x:v>
      </x:c>
      <x:c r="D17" s="11" t="n">
        <x:v>0.1705963861009766</x:v>
      </x:c>
      <x:c r="E17" s="11" t="n">
        <x:v>0.16851686732098548</x:v>
      </x:c>
      <x:c r="F17" s="11" t="n">
        <x:v>0.12910461010594376</x:v>
      </x:c>
      <x:c r="G17" s="11" t="n">
        <x:v>0.0020795187799911297</x:v>
      </x:c>
      <x:c r="H17" s="11" t="n">
        <x:v>0.04149177599503284</x:v>
      </x:c>
      <x:c r="I17" s="11" t="n">
        <x:v>0.95</x:v>
      </x:c>
      <x:c r="J17" s="13" t="n">
        <x:v>20</x:v>
      </x:c>
      <x:c r="K17" s="22" t="b">
        <x:v>1</x:v>
      </x:c>
      <x:c r="L17" s="13" t="n">
        <x:v>114</x:v>
      </x:c>
      <x:c r="M17" s="13" t="n">
        <x:v>40</x:v>
      </x:c>
    </x:row>
    <x:row r="18" ht="22" customHeight="1">
      <x:c r="A18" s="17" t="str">
        <x:f>"01055000"</x:f>
        <x:v>01055000</x:v>
      </x:c>
      <x:c r="B18" s="13" t="n">
        <x:v>42</x:v>
      </x:c>
      <x:c r="C18" s="22" t="b">
        <x:v>1</x:v>
      </x:c>
      <x:c r="D18" s="11" t="n">
        <x:v>0.44341354107391007</x:v>
      </x:c>
      <x:c r="E18" s="11" t="n">
        <x:v>0.4287431135657709</x:v>
      </x:c>
      <x:c r="F18" s="11" t="n">
        <x:v>0.37127059699420384</x:v>
      </x:c>
      <x:c r="G18" s="11" t="n">
        <x:v>0.014670427508139183</x:v>
      </x:c>
      <x:c r="H18" s="11" t="n">
        <x:v>0.07214294407970623</x:v>
      </x:c>
      <x:c r="I18" s="11" t="n">
        <x:v>1</x:v>
      </x:c>
      <x:c r="J18" s="13" t="n">
        <x:v>19</x:v>
      </x:c>
      <x:c r="K18" s="22" t="b">
        <x:v>1</x:v>
      </x:c>
      <x:c r="L18" s="13" t="n">
        <x:v>82</x:v>
      </x:c>
      <x:c r="M18" s="13" t="n">
        <x:v>26</x:v>
      </x:c>
    </x:row>
    <x:row r="19" ht="22" customHeight="1">
      <x:c r="A19" s="17" t="str">
        <x:f>"01055000"</x:f>
        <x:v>01055000</x:v>
      </x:c>
      <x:c r="B19" s="13" t="n">
        <x:v>42</x:v>
      </x:c>
      <x:c r="C19" s="22" t="b">
        <x:v>0</x:v>
      </x:c>
      <x:c r="D19" s="11" t="n">
        <x:v>0.2404454566492007</x:v>
      </x:c>
      <x:c r="E19" s="11" t="n">
        <x:v>0.21277859247625697</x:v>
      </x:c>
      <x:c r="F19" s="11" t="n">
        <x:v>-0.06717153984084057</x:v>
      </x:c>
      <x:c r="G19" s="11" t="n">
        <x:v>0.027666864172943728</x:v>
      </x:c>
      <x:c r="H19" s="11" t="n">
        <x:v>0.30761699649004126</x:v>
      </x:c>
      <x:c r="I19" s="11" t="n">
        <x:v>0.65</x:v>
      </x:c>
      <x:c r="J19" s="13" t="n">
        <x:v>20</x:v>
      </x:c>
      <x:c r="K19" s="22" t="b">
        <x:v>0</x:v>
      </x:c>
      <x:c r="L19" s="13" t="n">
        <x:v>127</x:v>
      </x:c>
      <x:c r="M19" s="13" t="n">
        <x:v>46</x:v>
      </x:c>
    </x:row>
    <x:row r="20" ht="22" customHeight="1">
      <x:c r="A20" s="17" t="str">
        <x:f>"01057000"</x:f>
        <x:v>01057000</x:v>
      </x:c>
      <x:c r="B20" s="13" t="n">
        <x:v>42</x:v>
      </x:c>
      <x:c r="C20" s="22" t="b">
        <x:v>1</x:v>
      </x:c>
      <x:c r="D20" s="11" t="n">
        <x:v>0.5879213725411596</x:v>
      </x:c>
      <x:c r="E20" s="11" t="n">
        <x:v>0.5812476932959467</x:v>
      </x:c>
      <x:c r="F20" s="11" t="n">
        <x:v>0.3103175230674441</x:v>
      </x:c>
      <x:c r="G20" s="11" t="n">
        <x:v>0.0066736792452128935</x:v>
      </x:c>
      <x:c r="H20" s="11" t="n">
        <x:v>0.2776038494737155</x:v>
      </x:c>
      <x:c r="I20" s="11" t="n">
        <x:v>1</x:v>
      </x:c>
      <x:c r="J20" s="13" t="n">
        <x:v>20</x:v>
      </x:c>
      <x:c r="K20" s="22" t="b">
        <x:v>1</x:v>
      </x:c>
      <x:c r="L20" s="13" t="n">
        <x:v>107</x:v>
      </x:c>
      <x:c r="M20" s="13" t="n">
        <x:v>35</x:v>
      </x:c>
    </x:row>
    <x:row r="21" ht="22" customHeight="1">
      <x:c r="A21" s="17" t="str">
        <x:f>"01057000"</x:f>
        <x:v>01057000</x:v>
      </x:c>
      <x:c r="B21" s="13" t="n">
        <x:v>42</x:v>
      </x:c>
      <x:c r="C21" s="22" t="b">
        <x:v>0</x:v>
      </x:c>
      <x:c r="D21" s="11" t="n">
        <x:v>0.3501980543757137</x:v>
      </x:c>
      <x:c r="E21" s="11" t="n">
        <x:v>0.3380357250689804</x:v>
      </x:c>
      <x:c r="F21" s="11" t="n">
        <x:v>-0.3617748658901392</x:v>
      </x:c>
      <x:c r="G21" s="11" t="n">
        <x:v>0.012162329306733333</x:v>
      </x:c>
      <x:c r="H21" s="11" t="n">
        <x:v>0.7119729202658529</x:v>
      </x:c>
      <x:c r="I21" s="11" t="n">
        <x:v>1</x:v>
      </x:c>
      <x:c r="J21" s="13" t="n">
        <x:v>20</x:v>
      </x:c>
      <x:c r="K21" s="22" t="b">
        <x:v>1</x:v>
      </x:c>
      <x:c r="L21" s="13" t="n">
        <x:v>142</x:v>
      </x:c>
      <x:c r="M21" s="13" t="n">
        <x:v>55</x:v>
      </x:c>
    </x:row>
    <x:row r="22" ht="22" customHeight="1">
      <x:c r="A22" s="17" t="str">
        <x:f>"01073000"</x:f>
        <x:v>01073000</x:v>
      </x:c>
      <x:c r="B22" s="13" t="n">
        <x:v>42</x:v>
      </x:c>
      <x:c r="C22" s="22" t="b">
        <x:v>1</x:v>
      </x:c>
      <x:c r="D22" s="11" t="n">
        <x:v>0.6673071955279426</x:v>
      </x:c>
      <x:c r="E22" s="11" t="n">
        <x:v>0.7142711620817453</x:v>
      </x:c>
      <x:c r="F22" s="11" t="n">
        <x:v>0.4730104774126378</x:v>
      </x:c>
      <x:c r="G22" s="11" t="n">
        <x:v>-0.04696396655380275</x:v>
      </x:c>
      <x:c r="H22" s="11" t="n">
        <x:v>0.1942967181153048</x:v>
      </x:c>
      <x:c r="I22" s="11" t="n">
        <x:v>1</x:v>
      </x:c>
      <x:c r="J22" s="13" t="n">
        <x:v>18</x:v>
      </x:c>
      <x:c r="K22" s="22" t="b">
        <x:v>1</x:v>
      </x:c>
      <x:c r="L22" s="13" t="n">
        <x:v>92</x:v>
      </x:c>
      <x:c r="M22" s="13" t="n">
        <x:v>30</x:v>
      </x:c>
    </x:row>
    <x:row r="23" ht="22" customHeight="1">
      <x:c r="A23" s="17" t="str">
        <x:f>"01073000"</x:f>
        <x:v>01073000</x:v>
      </x:c>
      <x:c r="B23" s="13" t="n">
        <x:v>42</x:v>
      </x:c>
      <x:c r="C23" s="22" t="b">
        <x:v>0</x:v>
      </x:c>
      <x:c r="D23" s="11" t="n">
        <x:v>0.6668703061629071</x:v>
      </x:c>
      <x:c r="E23" s="11" t="n">
        <x:v>0.5919810462566268</x:v>
      </x:c>
      <x:c r="F23" s="11" t="n">
        <x:v>0.5258413786588336</x:v>
      </x:c>
      <x:c r="G23" s="11" t="n">
        <x:v>0.07488925990628026</x:v>
      </x:c>
      <x:c r="H23" s="11" t="n">
        <x:v>0.14102892750407348</x:v>
      </x:c>
      <x:c r="I23" s="11" t="n">
        <x:v>0.8666666666666667</x:v>
      </x:c>
      <x:c r="J23" s="13" t="n">
        <x:v>15</x:v>
      </x:c>
      <x:c r="K23" s="22" t="b">
        <x:v>0</x:v>
      </x:c>
      <x:c r="L23" s="13" t="n">
        <x:v>106</x:v>
      </x:c>
      <x:c r="M23" s="13" t="n">
        <x:v>36</x:v>
      </x:c>
    </x:row>
    <x:row r="24" ht="22" customHeight="1">
      <x:c r="A24" s="17" t="str">
        <x:f>"01078000"</x:f>
        <x:v>01078000</x:v>
      </x:c>
      <x:c r="B24" s="13" t="n">
        <x:v>42</x:v>
      </x:c>
      <x:c r="C24" s="22" t="b">
        <x:v>1</x:v>
      </x:c>
      <x:c r="D24" s="11" t="n">
        <x:v>0.8215004912879029</x:v>
      </x:c>
      <x:c r="E24" s="11" t="n">
        <x:v>0.757666524074132</x:v>
      </x:c>
      <x:c r="F24" s="11" t="n">
        <x:v>0.3879907989032525</x:v>
      </x:c>
      <x:c r="G24" s="11" t="n">
        <x:v>0.06383396721377088</x:v>
      </x:c>
      <x:c r="H24" s="11" t="n">
        <x:v>0.4335096923846504</x:v>
      </x:c>
      <x:c r="I24" s="11" t="n">
        <x:v>1</x:v>
      </x:c>
      <x:c r="J24" s="13" t="n">
        <x:v>17</x:v>
      </x:c>
      <x:c r="K24" s="22" t="b">
        <x:v>0</x:v>
      </x:c>
      <x:c r="L24" s="13" t="n">
        <x:v>81</x:v>
      </x:c>
      <x:c r="M24" s="13" t="n">
        <x:v>26</x:v>
      </x:c>
    </x:row>
    <x:row r="25" ht="22" customHeight="1">
      <x:c r="A25" s="17" t="str">
        <x:f>"01078000"</x:f>
        <x:v>01078000</x:v>
      </x:c>
      <x:c r="B25" s="13" t="n">
        <x:v>42</x:v>
      </x:c>
      <x:c r="C25" s="22" t="b">
        <x:v>0</x:v>
      </x:c>
      <x:c r="D25" s="11" t="n">
        <x:v>0.580454826192685</x:v>
      </x:c>
      <x:c r="E25" s="11" t="n">
        <x:v>0.5858550236486992</x:v>
      </x:c>
      <x:c r="F25" s="11" t="n">
        <x:v>-0.24451995545081173</x:v>
      </x:c>
      <x:c r="G25" s="11" t="n">
        <x:v>-0.005400197456014277</x:v>
      </x:c>
      <x:c r="H25" s="11" t="n">
        <x:v>0.8249747816434967</x:v>
      </x:c>
      <x:c r="I25" s="11" t="n">
        <x:v>1</x:v>
      </x:c>
      <x:c r="J25" s="13" t="n">
        <x:v>20</x:v>
      </x:c>
      <x:c r="K25" s="22" t="b">
        <x:v>1</x:v>
      </x:c>
      <x:c r="L25" s="13" t="n">
        <x:v>147</x:v>
      </x:c>
      <x:c r="M25" s="13" t="n">
        <x:v>56</x:v>
      </x:c>
    </x:row>
    <x:row r="26" ht="22" customHeight="1">
      <x:c r="A26" s="17" t="str">
        <x:f>"01134500"</x:f>
        <x:v>01134500</x:v>
      </x:c>
      <x:c r="B26" s="13" t="n">
        <x:v>42</x:v>
      </x:c>
      <x:c r="C26" s="22" t="b">
        <x:v>1</x:v>
      </x:c>
      <x:c r="D26" s="11" t="n">
        <x:v>0.6649971665998511</x:v>
      </x:c>
      <x:c r="E26" s="11" t="n">
        <x:v>0.6486262766006282</x:v>
      </x:c>
      <x:c r="F26" s="11" t="n">
        <x:v>0.43239092532527923</x:v>
      </x:c>
      <x:c r="G26" s="11" t="n">
        <x:v>0.01637088999922287</x:v>
      </x:c>
      <x:c r="H26" s="11" t="n">
        <x:v>0.23260624127457186</x:v>
      </x:c>
      <x:c r="I26" s="11" t="n">
        <x:v>0.55</x:v>
      </x:c>
      <x:c r="J26" s="13" t="n">
        <x:v>20</x:v>
      </x:c>
      <x:c r="K26" s="22" t="b">
        <x:v>0</x:v>
      </x:c>
      <x:c r="L26" s="13" t="n">
        <x:v>107</x:v>
      </x:c>
      <x:c r="M26" s="13" t="n">
        <x:v>37</x:v>
      </x:c>
    </x:row>
    <x:row r="27" ht="22" customHeight="1">
      <x:c r="A27" s="17" t="str">
        <x:f>"01134500"</x:f>
        <x:v>01134500</x:v>
      </x:c>
      <x:c r="B27" s="13" t="n">
        <x:v>42</x:v>
      </x:c>
      <x:c r="C27" s="22" t="b">
        <x:v>0</x:v>
      </x:c>
      <x:c r="D27" s="11" t="n">
        <x:v>0.5218278480308793</x:v>
      </x:c>
      <x:c r="E27" s="11" t="n">
        <x:v>0.5138915924256361</x:v>
      </x:c>
      <x:c r="F27" s="11" t="n">
        <x:v>0.3030236214627081</x:v>
      </x:c>
      <x:c r="G27" s="11" t="n">
        <x:v>0.007936255605243248</x:v>
      </x:c>
      <x:c r="H27" s="11" t="n">
        <x:v>0.21880422656817122</x:v>
      </x:c>
      <x:c r="I27" s="11" t="n">
        <x:v>1</x:v>
      </x:c>
      <x:c r="J27" s="13" t="n">
        <x:v>20</x:v>
      </x:c>
      <x:c r="K27" s="22" t="b">
        <x:v>1</x:v>
      </x:c>
      <x:c r="L27" s="13" t="n">
        <x:v>183</x:v>
      </x:c>
      <x:c r="M27" s="13" t="n">
        <x:v>91</x:v>
      </x:c>
    </x:row>
    <x:row r="28" ht="22" customHeight="1">
      <x:c r="A28" s="17" t="str">
        <x:f>"01137500"</x:f>
        <x:v>01137500</x:v>
      </x:c>
      <x:c r="B28" s="13" t="n">
        <x:v>42</x:v>
      </x:c>
      <x:c r="C28" s="22" t="b">
        <x:v>1</x:v>
      </x:c>
      <x:c r="D28" s="11" t="n">
        <x:v>0.4948649152732634</x:v>
      </x:c>
      <x:c r="E28" s="11" t="n">
        <x:v>0.49147049501963747</x:v>
      </x:c>
      <x:c r="F28" s="11" t="n">
        <x:v>0.41686722925218833</x:v>
      </x:c>
      <x:c r="G28" s="11" t="n">
        <x:v>0.003394420253625907</x:v>
      </x:c>
      <x:c r="H28" s="11" t="n">
        <x:v>0.07799768602107504</x:v>
      </x:c>
      <x:c r="I28" s="11" t="n">
        <x:v>0.15</x:v>
      </x:c>
      <x:c r="J28" s="13" t="n">
        <x:v>20</x:v>
      </x:c>
      <x:c r="K28" s="22" t="b">
        <x:v>0</x:v>
      </x:c>
      <x:c r="L28" s="13" t="n">
        <x:v>131</x:v>
      </x:c>
      <x:c r="M28" s="13" t="n">
        <x:v>46</x:v>
      </x:c>
    </x:row>
    <x:row r="29" ht="22" customHeight="1">
      <x:c r="A29" s="17" t="str">
        <x:f>"01137500"</x:f>
        <x:v>01137500</x:v>
      </x:c>
      <x:c r="B29" s="13" t="n">
        <x:v>42</x:v>
      </x:c>
      <x:c r="C29" s="22" t="b">
        <x:v>0</x:v>
      </x:c>
      <x:c r="D29" s="11" t="n">
        <x:v>0.3485429223458312</x:v>
      </x:c>
      <x:c r="E29" s="11" t="n">
        <x:v>0.35579165969467363</x:v>
      </x:c>
      <x:c r="F29" s="11" t="n">
        <x:v>-0.05637686884117188</x:v>
      </x:c>
      <x:c r="G29" s="11" t="n">
        <x:v>-0.00724873734884246</x:v>
      </x:c>
      <x:c r="H29" s="11" t="n">
        <x:v>0.40491979118700305</x:v>
      </x:c>
      <x:c r="I29" s="11" t="n">
        <x:v>0.05</x:v>
      </x:c>
      <x:c r="J29" s="13" t="n">
        <x:v>20</x:v>
      </x:c>
      <x:c r="K29" s="22" t="b">
        <x:v>0</x:v>
      </x:c>
      <x:c r="L29" s="13" t="n">
        <x:v>145</x:v>
      </x:c>
      <x:c r="M29" s="13" t="n">
        <x:v>59</x:v>
      </x:c>
    </x:row>
    <x:row r="30" ht="22" customHeight="1">
      <x:c r="A30" s="17" t="str">
        <x:f>"01139000"</x:f>
        <x:v>01139000</x:v>
      </x:c>
      <x:c r="B30" s="13" t="n">
        <x:v>42</x:v>
      </x:c>
      <x:c r="C30" s="22" t="b">
        <x:v>1</x:v>
      </x:c>
      <x:c r="D30" s="11" t="n">
        <x:v>0.6534839224478185</x:v>
      </x:c>
      <x:c r="E30" s="11" t="n">
        <x:v>0.6373886797663939</x:v>
      </x:c>
      <x:c r="F30" s="11" t="n">
        <x:v>0.5724197144541425</x:v>
      </x:c>
      <x:c r="G30" s="11" t="n">
        <x:v>0.016095242681424593</x:v>
      </x:c>
      <x:c r="H30" s="11" t="n">
        <x:v>0.08106420799367597</x:v>
      </x:c>
      <x:c r="I30" s="11" t="n">
        <x:v>1</x:v>
      </x:c>
      <x:c r="J30" s="13" t="n">
        <x:v>20</x:v>
      </x:c>
      <x:c r="K30" s="22" t="b">
        <x:v>1</x:v>
      </x:c>
      <x:c r="L30" s="13" t="n">
        <x:v>117</x:v>
      </x:c>
      <x:c r="M30" s="13" t="n">
        <x:v>39</x:v>
      </x:c>
    </x:row>
    <x:row r="31" ht="22" customHeight="1">
      <x:c r="A31" s="17" t="str">
        <x:f>"01139000"</x:f>
        <x:v>01139000</x:v>
      </x:c>
      <x:c r="B31" s="13" t="n">
        <x:v>42</x:v>
      </x:c>
      <x:c r="C31" s="22" t="b">
        <x:v>0</x:v>
      </x:c>
      <x:c r="D31" s="11" t="n">
        <x:v>0.4395860771367046</x:v>
      </x:c>
      <x:c r="E31" s="11" t="n">
        <x:v>0.41702406320743435</x:v>
      </x:c>
      <x:c r="F31" s="11" t="n">
        <x:v>0.28487038222835026</x:v>
      </x:c>
      <x:c r="G31" s="11" t="n">
        <x:v>0.022562013929270264</x:v>
      </x:c>
      <x:c r="H31" s="11" t="n">
        <x:v>0.15471569490835435</x:v>
      </x:c>
      <x:c r="I31" s="11" t="n">
        <x:v>0.7</x:v>
      </x:c>
      <x:c r="J31" s="13" t="n">
        <x:v>20</x:v>
      </x:c>
      <x:c r="K31" s="22" t="b">
        <x:v>0</x:v>
      </x:c>
      <x:c r="L31" s="13" t="n">
        <x:v>176</x:v>
      </x:c>
      <x:c r="M31" s="13" t="n">
        <x:v>80</x:v>
      </x:c>
    </x:row>
    <x:row r="32" ht="22" customHeight="1">
      <x:c r="A32" s="17" t="str">
        <x:f>"01139800"</x:f>
        <x:v>01139800</x:v>
      </x:c>
      <x:c r="B32" s="13" t="n">
        <x:v>42</x:v>
      </x:c>
      <x:c r="C32" s="22" t="b">
        <x:v>1</x:v>
      </x:c>
      <x:c r="D32" s="11" t="n">
        <x:v>0.639746329711878</x:v>
      </x:c>
      <x:c r="E32" s="11" t="n">
        <x:v>0.6116106040007223</x:v>
      </x:c>
      <x:c r="F32" s="11" t="n">
        <x:v>0.4613895067290483</x:v>
      </x:c>
      <x:c r="G32" s="11" t="n">
        <x:v>0.028135725711155635</x:v>
      </x:c>
      <x:c r="H32" s="11" t="n">
        <x:v>0.17835682298282962</x:v>
      </x:c>
      <x:c r="I32" s="11" t="n">
        <x:v>1</x:v>
      </x:c>
      <x:c r="J32" s="13" t="n">
        <x:v>10</x:v>
      </x:c>
      <x:c r="K32" s="22" t="b">
        <x:v>1</x:v>
      </x:c>
      <x:c r="L32" s="13" t="n">
        <x:v>67</x:v>
      </x:c>
      <x:c r="M32" s="13" t="n">
        <x:v>22</x:v>
      </x:c>
    </x:row>
    <x:row r="33" ht="22" customHeight="1">
      <x:c r="A33" s="17" t="str">
        <x:f>"01139800"</x:f>
        <x:v>01139800</x:v>
      </x:c>
      <x:c r="B33" s="13" t="n">
        <x:v>42</x:v>
      </x:c>
      <x:c r="C33" s="22" t="b">
        <x:v>0</x:v>
      </x:c>
      <x:c r="D33" s="11" t="n">
        <x:v>0.37093676153837196</x:v>
      </x:c>
      <x:c r="E33" s="11" t="n">
        <x:v>0.34321301451714403</x:v>
      </x:c>
      <x:c r="F33" s="11" t="n">
        <x:v>-0.15846015596834073</x:v>
      </x:c>
      <x:c r="G33" s="11" t="n">
        <x:v>0.02772374702122793</x:v>
      </x:c>
      <x:c r="H33" s="11" t="n">
        <x:v>0.5293969175067127</x:v>
      </x:c>
      <x:c r="I33" s="11" t="n">
        <x:v>0.95</x:v>
      </x:c>
      <x:c r="J33" s="13" t="n">
        <x:v>20</x:v>
      </x:c>
      <x:c r="K33" s="22" t="b">
        <x:v>1</x:v>
      </x:c>
      <x:c r="L33" s="13" t="n">
        <x:v>143</x:v>
      </x:c>
      <x:c r="M33" s="13" t="n">
        <x:v>54</x:v>
      </x:c>
    </x:row>
    <x:row r="34" ht="22" customHeight="1">
      <x:c r="A34" s="17" t="str">
        <x:f>"01142500"</x:f>
        <x:v>01142500</x:v>
      </x:c>
      <x:c r="B34" s="13" t="n">
        <x:v>42</x:v>
      </x:c>
      <x:c r="C34" s="22" t="b">
        <x:v>1</x:v>
      </x:c>
      <x:c r="D34" s="11" t="n">
        <x:v>0.6784395184920964</x:v>
      </x:c>
      <x:c r="E34" s="11" t="n">
        <x:v>0.6593340353588473</x:v>
      </x:c>
      <x:c r="F34" s="11" t="n">
        <x:v>0.6435178138190307</x:v>
      </x:c>
      <x:c r="G34" s="11" t="n">
        <x:v>0.019105483133249113</x:v>
      </x:c>
      <x:c r="H34" s="11" t="n">
        <x:v>0.03492170467306566</x:v>
      </x:c>
      <x:c r="I34" s="11" t="n">
        <x:v>1</x:v>
      </x:c>
      <x:c r="J34" s="13" t="n">
        <x:v>16</x:v>
      </x:c>
      <x:c r="K34" s="22" t="b">
        <x:v>1</x:v>
      </x:c>
      <x:c r="L34" s="13" t="n">
        <x:v>83</x:v>
      </x:c>
      <x:c r="M34" s="13" t="n">
        <x:v>27</x:v>
      </x:c>
    </x:row>
    <x:row r="35" ht="22" customHeight="1">
      <x:c r="A35" s="17" t="str">
        <x:f>"01142500"</x:f>
        <x:v>01142500</x:v>
      </x:c>
      <x:c r="B35" s="13" t="n">
        <x:v>42</x:v>
      </x:c>
      <x:c r="C35" s="22" t="b">
        <x:v>0</x:v>
      </x:c>
      <x:c r="D35" s="11" t="n">
        <x:v>0.40525665499639507</x:v>
      </x:c>
      <x:c r="E35" s="11" t="n">
        <x:v>0.3441334348620333</x:v>
      </x:c>
      <x:c r="F35" s="11" t="n">
        <x:v>-0.4343627612907368</x:v>
      </x:c>
      <x:c r="G35" s="11" t="n">
        <x:v>0.06112322013436178</x:v>
      </x:c>
      <x:c r="H35" s="11" t="n">
        <x:v>0.8396194162871319</x:v>
      </x:c>
      <x:c r="I35" s="11" t="n">
        <x:v>1</x:v>
      </x:c>
      <x:c r="J35" s="13" t="n">
        <x:v>20</x:v>
      </x:c>
      <x:c r="K35" s="22" t="b">
        <x:v>0</x:v>
      </x:c>
      <x:c r="L35" s="13" t="n">
        <x:v>168</x:v>
      </x:c>
      <x:c r="M35" s="13" t="n">
        <x:v>72</x:v>
      </x:c>
    </x:row>
    <x:row r="36" ht="22" customHeight="1">
      <x:c r="A36" s="17" t="str">
        <x:f>"01144000"</x:f>
        <x:v>01144000</x:v>
      </x:c>
      <x:c r="B36" s="13" t="n">
        <x:v>42</x:v>
      </x:c>
      <x:c r="C36" s="22" t="b">
        <x:v>1</x:v>
      </x:c>
      <x:c r="D36" s="11" t="n">
        <x:v>0.6308243697707684</x:v>
      </x:c>
      <x:c r="E36" s="11" t="n">
        <x:v>0.6207171673509352</x:v>
      </x:c>
      <x:c r="F36" s="11" t="n">
        <x:v>0.3321009998695138</x:v>
      </x:c>
      <x:c r="G36" s="11" t="n">
        <x:v>0.010107202419833206</x:v>
      </x:c>
      <x:c r="H36" s="11" t="n">
        <x:v>0.2987233699012546</x:v>
      </x:c>
      <x:c r="I36" s="11" t="n">
        <x:v>1</x:v>
      </x:c>
      <x:c r="J36" s="13" t="n">
        <x:v>18</x:v>
      </x:c>
      <x:c r="K36" s="22" t="b">
        <x:v>1</x:v>
      </x:c>
      <x:c r="L36" s="13" t="n">
        <x:v>112</x:v>
      </x:c>
      <x:c r="M36" s="13" t="n">
        <x:v>37</x:v>
      </x:c>
    </x:row>
    <x:row r="37" ht="22" customHeight="1">
      <x:c r="A37" s="17" t="str">
        <x:f>"01144000"</x:f>
        <x:v>01144000</x:v>
      </x:c>
      <x:c r="B37" s="13" t="n">
        <x:v>42</x:v>
      </x:c>
      <x:c r="C37" s="22" t="b">
        <x:v>0</x:v>
      </x:c>
      <x:c r="D37" s="11" t="n">
        <x:v>0.4342666102466456</x:v>
      </x:c>
      <x:c r="E37" s="11" t="n">
        <x:v>0.4163662925674194</x:v>
      </x:c>
      <x:c r="F37" s="11" t="n">
        <x:v>-0.259873458851297</x:v>
      </x:c>
      <x:c r="G37" s="11" t="n">
        <x:v>0.017900317679226174</x:v>
      </x:c>
      <x:c r="H37" s="11" t="n">
        <x:v>0.6941400690979426</x:v>
      </x:c>
      <x:c r="I37" s="11" t="n">
        <x:v>0.85</x:v>
      </x:c>
      <x:c r="J37" s="13" t="n">
        <x:v>20</x:v>
      </x:c>
      <x:c r="K37" s="22" t="b">
        <x:v>1</x:v>
      </x:c>
      <x:c r="L37" s="13" t="n">
        <x:v>155</x:v>
      </x:c>
      <x:c r="M37" s="13" t="n">
        <x:v>62</x:v>
      </x:c>
    </x:row>
    <x:row r="38" ht="22" customHeight="1">
      <x:c r="A38" s="17" t="str">
        <x:f>"01162500"</x:f>
        <x:v>01162500</x:v>
      </x:c>
      <x:c r="B38" s="13" t="n">
        <x:v>42</x:v>
      </x:c>
      <x:c r="C38" s="22" t="b">
        <x:v>1</x:v>
      </x:c>
      <x:c r="D38" s="11" t="n">
        <x:v>0.8710313755263246</x:v>
      </x:c>
      <x:c r="E38" s="11" t="n">
        <x:v>0.8640415358229638</x:v>
      </x:c>
      <x:c r="F38" s="11" t="n">
        <x:v>0.25291228499775675</x:v>
      </x:c>
      <x:c r="G38" s="11" t="n">
        <x:v>0.006989839703360756</x:v>
      </x:c>
      <x:c r="H38" s="11" t="n">
        <x:v>0.6181190905285678</x:v>
      </x:c>
      <x:c r="I38" s="11" t="n">
        <x:v>1</x:v>
      </x:c>
      <x:c r="J38" s="13" t="n">
        <x:v>18</x:v>
      </x:c>
      <x:c r="K38" s="22" t="b">
        <x:v>1</x:v>
      </x:c>
      <x:c r="L38" s="13" t="n">
        <x:v>83</x:v>
      </x:c>
      <x:c r="M38" s="13" t="n">
        <x:v>27</x:v>
      </x:c>
    </x:row>
    <x:row r="39" ht="22" customHeight="1">
      <x:c r="A39" s="17" t="str">
        <x:f>"01162500"</x:f>
        <x:v>01162500</x:v>
      </x:c>
      <x:c r="B39" s="13" t="n">
        <x:v>42</x:v>
      </x:c>
      <x:c r="C39" s="22" t="b">
        <x:v>0</x:v>
      </x:c>
      <x:c r="D39" s="11" t="n">
        <x:v>0.6023133117567243</x:v>
      </x:c>
      <x:c r="E39" s="11" t="n">
        <x:v>0.6446445492356456</x:v>
      </x:c>
      <x:c r="F39" s="11" t="n">
        <x:v>0.10413257072059334</x:v>
      </x:c>
      <x:c r="G39" s="11" t="n">
        <x:v>-0.04233123747892131</x:v>
      </x:c>
      <x:c r="H39" s="11" t="n">
        <x:v>0.49818074103613097</x:v>
      </x:c>
      <x:c r="I39" s="11" t="n">
        <x:v>0.7</x:v>
      </x:c>
      <x:c r="J39" s="13" t="n">
        <x:v>20</x:v>
      </x:c>
      <x:c r="K39" s="22" t="b">
        <x:v>0</x:v>
      </x:c>
      <x:c r="L39" s="13" t="n">
        <x:v>169</x:v>
      </x:c>
      <x:c r="M39" s="13" t="n">
        <x:v>73</x:v>
      </x:c>
    </x:row>
    <x:row r="40" ht="22" customHeight="1">
      <x:c r="A40" s="17" t="str">
        <x:f>"01169000"</x:f>
        <x:v>01169000</x:v>
      </x:c>
      <x:c r="B40" s="13" t="n">
        <x:v>42</x:v>
      </x:c>
      <x:c r="C40" s="22" t="b">
        <x:v>1</x:v>
      </x:c>
      <x:c r="D40" s="11" t="n">
        <x:v>0.3554718845987105</x:v>
      </x:c>
      <x:c r="E40" s="11" t="n">
        <x:v>0.3260094529258464</x:v>
      </x:c>
      <x:c r="F40" s="11" t="n">
        <x:v>0.21027503741830067</x:v>
      </x:c>
      <x:c r="G40" s="11" t="n">
        <x:v>0.02946243167286411</x:v>
      </x:c>
      <x:c r="H40" s="11" t="n">
        <x:v>0.14519684718040982</x:v>
      </x:c>
      <x:c r="I40" s="11" t="n">
        <x:v>1</x:v>
      </x:c>
      <x:c r="J40" s="13" t="n">
        <x:v>19</x:v>
      </x:c>
      <x:c r="K40" s="22" t="b">
        <x:v>1</x:v>
      </x:c>
      <x:c r="L40" s="13" t="n">
        <x:v>107</x:v>
      </x:c>
      <x:c r="M40" s="13" t="n">
        <x:v>35</x:v>
      </x:c>
    </x:row>
    <x:row r="41" ht="22" customHeight="1">
      <x:c r="A41" s="17" t="str">
        <x:f>"01169000"</x:f>
        <x:v>01169000</x:v>
      </x:c>
      <x:c r="B41" s="13" t="n">
        <x:v>42</x:v>
      </x:c>
      <x:c r="C41" s="22" t="b">
        <x:v>0</x:v>
      </x:c>
      <x:c r="D41" s="11" t="n">
        <x:v>0.17638552910942062</x:v>
      </x:c>
      <x:c r="E41" s="11" t="n">
        <x:v>0.1969782515534415</x:v>
      </x:c>
      <x:c r="F41" s="11" t="n">
        <x:v>0.1433631010410742</x:v>
      </x:c>
      <x:c r="G41" s="11" t="n">
        <x:v>-0.020592722444020883</x:v>
      </x:c>
      <x:c r="H41" s="11" t="n">
        <x:v>0.03302242806834643</x:v>
      </x:c>
      <x:c r="I41" s="11" t="n">
        <x:v>1</x:v>
      </x:c>
      <x:c r="J41" s="13" t="n">
        <x:v>20</x:v>
      </x:c>
      <x:c r="K41" s="22" t="b">
        <x:v>1</x:v>
      </x:c>
      <x:c r="L41" s="13" t="n">
        <x:v>171</x:v>
      </x:c>
      <x:c r="M41" s="13" t="n">
        <x:v>75</x:v>
      </x:c>
    </x:row>
    <x:row r="42" ht="22" customHeight="1">
      <x:c r="A42" s="17" t="str">
        <x:f>"01170100"</x:f>
        <x:v>01170100</x:v>
      </x:c>
      <x:c r="B42" s="13" t="n">
        <x:v>42</x:v>
      </x:c>
      <x:c r="C42" s="22" t="b">
        <x:v>1</x:v>
      </x:c>
      <x:c r="D42" s="11" t="n">
        <x:v>0.4063744302836705</x:v>
      </x:c>
      <x:c r="E42" s="11" t="n">
        <x:v>0.3405505917022521</x:v>
      </x:c>
      <x:c r="F42" s="11" t="n">
        <x:v>0.3359326449169556</x:v>
      </x:c>
      <x:c r="G42" s="11" t="n">
        <x:v>0.06582383858141838</x:v>
      </x:c>
      <x:c r="H42" s="11" t="n">
        <x:v>0.07044178536671486</x:v>
      </x:c>
      <x:c r="I42" s="11" t="n">
        <x:v>1</x:v>
      </x:c>
      <x:c r="J42" s="13" t="n">
        <x:v>17</x:v>
      </x:c>
      <x:c r="K42" s="22" t="b">
        <x:v>0</x:v>
      </x:c>
      <x:c r="L42" s="13" t="n">
        <x:v>103</x:v>
      </x:c>
      <x:c r="M42" s="13" t="n">
        <x:v>34</x:v>
      </x:c>
    </x:row>
    <x:row r="43" ht="22" customHeight="1">
      <x:c r="A43" s="17" t="str">
        <x:f>"01170100"</x:f>
        <x:v>01170100</x:v>
      </x:c>
      <x:c r="B43" s="13" t="n">
        <x:v>42</x:v>
      </x:c>
      <x:c r="C43" s="22" t="b">
        <x:v>0</x:v>
      </x:c>
      <x:c r="D43" s="11" t="n">
        <x:v>0.20486355770476905</x:v>
      </x:c>
      <x:c r="E43" s="11" t="n">
        <x:v>0.20715418551921094</x:v>
      </x:c>
      <x:c r="F43" s="11" t="n">
        <x:v>0.220845986128405</x:v>
      </x:c>
      <x:c r="G43" s="11" t="n">
        <x:v>-0.0022906278144418923</x:v>
      </x:c>
      <x:c r="H43" s="11" t="n">
        <x:v>-0.015982428423635953</x:v>
      </x:c>
      <x:c r="I43" s="11" t="n">
        <x:v>0.6</x:v>
      </x:c>
      <x:c r="J43" s="13" t="n">
        <x:v>20</x:v>
      </x:c>
      <x:c r="K43" s="22" t="b">
        <x:v>0</x:v>
      </x:c>
      <x:c r="L43" s="13" t="n">
        <x:v>161</x:v>
      </x:c>
      <x:c r="M43" s="13" t="n">
        <x:v>70</x:v>
      </x:c>
    </x:row>
    <x:row r="44" ht="22" customHeight="1">
      <x:c r="A44" s="17" t="str">
        <x:f>"01181000"</x:f>
        <x:v>01181000</x:v>
      </x:c>
      <x:c r="B44" s="13" t="n">
        <x:v>42</x:v>
      </x:c>
      <x:c r="C44" s="22" t="b">
        <x:v>1</x:v>
      </x:c>
      <x:c r="D44" s="11" t="n">
        <x:v>0.24405457594945024</x:v>
      </x:c>
      <x:c r="E44" s="11" t="n">
        <x:v>0.22669295467426098</x:v>
      </x:c>
      <x:c r="F44" s="11" t="n">
        <x:v>0.18535200776066985</x:v>
      </x:c>
      <x:c r="G44" s="11" t="n">
        <x:v>0.017361621275189254</x:v>
      </x:c>
      <x:c r="H44" s="11" t="n">
        <x:v>0.05870256818878039</x:v>
      </x:c>
      <x:c r="I44" s="11" t="n">
        <x:v>1</x:v>
      </x:c>
      <x:c r="J44" s="13" t="n">
        <x:v>20</x:v>
      </x:c>
      <x:c r="K44" s="22" t="b">
        <x:v>1</x:v>
      </x:c>
      <x:c r="L44" s="13" t="n">
        <x:v>174</x:v>
      </x:c>
      <x:c r="M44" s="13" t="n">
        <x:v>78</x:v>
      </x:c>
    </x:row>
    <x:row r="45" ht="22" customHeight="1">
      <x:c r="A45" s="17" t="str">
        <x:f>"01181000"</x:f>
        <x:v>01181000</x:v>
      </x:c>
      <x:c r="B45" s="13" t="n">
        <x:v>42</x:v>
      </x:c>
      <x:c r="C45" s="22" t="b">
        <x:v>0</x:v>
      </x:c>
      <x:c r="D45" s="11" t="n">
        <x:v>0.14195823041838806</x:v>
      </x:c>
      <x:c r="E45" s="11" t="n">
        <x:v>0.1356392085906708</x:v>
      </x:c>
      <x:c r="F45" s="11" t="n">
        <x:v>0.12227737167871067</x:v>
      </x:c>
      <x:c r="G45" s="11" t="n">
        <x:v>0.006319021827717264</x:v>
      </x:c>
      <x:c r="H45" s="11" t="n">
        <x:v>0.019680858739677398</x:v>
      </x:c>
      <x:c r="I45" s="11" t="n">
        <x:v>0.55</x:v>
      </x:c>
      <x:c r="J45" s="13" t="n">
        <x:v>20</x:v>
      </x:c>
      <x:c r="K45" s="22" t="b">
        <x:v>0</x:v>
      </x:c>
      <x:c r="L45" s="13" t="n">
        <x:v>161</x:v>
      </x:c>
      <x:c r="M45" s="13" t="n">
        <x:v>66</x:v>
      </x:c>
    </x:row>
    <x:row r="46" ht="22" customHeight="1">
      <x:c r="A46" s="17" t="str">
        <x:f>"01333000"</x:f>
        <x:v>01333000</x:v>
      </x:c>
      <x:c r="B46" s="13" t="n">
        <x:v>42</x:v>
      </x:c>
      <x:c r="C46" s="22" t="b">
        <x:v>1</x:v>
      </x:c>
      <x:c r="D46" s="11" t="n">
        <x:v>0.5988180537546619</x:v>
      </x:c>
      <x:c r="E46" s="11" t="n">
        <x:v>0.5484178494139336</x:v>
      </x:c>
      <x:c r="F46" s="11" t="n">
        <x:v>0.49259739226054644</x:v>
      </x:c>
      <x:c r="G46" s="11" t="n">
        <x:v>0.05040020434072834</x:v>
      </x:c>
      <x:c r="H46" s="11" t="n">
        <x:v>0.10622066149411546</x:v>
      </x:c>
      <x:c r="I46" s="11"/>
      <x:c r="J46" s="13" t="n">
        <x:v>0</x:v>
      </x:c>
      <x:c r="K46" s="22" t="b">
        <x:v>0</x:v>
      </x:c>
      <x:c r="L46" s="13" t="n">
        <x:v>71</x:v>
      </x:c>
      <x:c r="M46" s="13" t="n">
        <x:v>23</x:v>
      </x:c>
    </x:row>
    <x:row r="47" ht="22" customHeight="1">
      <x:c r="A47" s="17" t="str">
        <x:f>"01333000"</x:f>
        <x:v>01333000</x:v>
      </x:c>
      <x:c r="B47" s="13" t="n">
        <x:v>42</x:v>
      </x:c>
      <x:c r="C47" s="22" t="b">
        <x:v>0</x:v>
      </x:c>
      <x:c r="D47" s="11" t="n">
        <x:v>0.3825322138861058</x:v>
      </x:c>
      <x:c r="E47" s="11" t="n">
        <x:v>0.1547064165409896</x:v>
      </x:c>
      <x:c r="F47" s="11" t="n">
        <x:v>0.3247468510267326</x:v>
      </x:c>
      <x:c r="G47" s="11" t="n">
        <x:v>0.2278257973451162</x:v>
      </x:c>
      <x:c r="H47" s="11" t="n">
        <x:v>0.05778536285937319</x:v>
      </x:c>
      <x:c r="I47" s="11" t="n">
        <x:v>0.95</x:v>
      </x:c>
      <x:c r="J47" s="13" t="n">
        <x:v>20</x:v>
      </x:c>
      <x:c r="K47" s="22" t="b">
        <x:v>0</x:v>
      </x:c>
      <x:c r="L47" s="13" t="n">
        <x:v>149</x:v>
      </x:c>
      <x:c r="M47" s="13" t="n">
        <x:v>57</x:v>
      </x:c>
    </x:row>
    <x:row r="48" ht="22" customHeight="1">
      <x:c r="A48" s="17" t="str">
        <x:f>"01439500"</x:f>
        <x:v>01439500</x:v>
      </x:c>
      <x:c r="B48" s="13" t="n">
        <x:v>42</x:v>
      </x:c>
      <x:c r="C48" s="22" t="b">
        <x:v>1</x:v>
      </x:c>
      <x:c r="D48" s="11" t="n">
        <x:v>0.7448736782783616</x:v>
      </x:c>
      <x:c r="E48" s="11" t="n">
        <x:v>0.7272328786478298</x:v>
      </x:c>
      <x:c r="F48" s="11" t="n">
        <x:v>0.5576173686541939</x:v>
      </x:c>
      <x:c r="G48" s="11" t="n">
        <x:v>0.017640799630531778</x:v>
      </x:c>
      <x:c r="H48" s="11" t="n">
        <x:v>0.18725630962416773</x:v>
      </x:c>
      <x:c r="I48" s="11" t="n">
        <x:v>0.85</x:v>
      </x:c>
      <x:c r="J48" s="13" t="n">
        <x:v>20</x:v>
      </x:c>
      <x:c r="K48" s="22" t="b">
        <x:v>1</x:v>
      </x:c>
      <x:c r="L48" s="13" t="n">
        <x:v>118</x:v>
      </x:c>
      <x:c r="M48" s="13" t="n">
        <x:v>40</x:v>
      </x:c>
    </x:row>
    <x:row r="49" ht="22" customHeight="1">
      <x:c r="A49" s="17" t="str">
        <x:f>"01439500"</x:f>
        <x:v>01439500</x:v>
      </x:c>
      <x:c r="B49" s="13" t="n">
        <x:v>42</x:v>
      </x:c>
      <x:c r="C49" s="22" t="b">
        <x:v>0</x:v>
      </x:c>
      <x:c r="D49" s="11" t="n">
        <x:v>0.5771701817017163</x:v>
      </x:c>
      <x:c r="E49" s="11" t="n">
        <x:v>0.5647567297171963</x:v>
      </x:c>
      <x:c r="F49" s="11" t="n">
        <x:v>0.47728748502744134</x:v>
      </x:c>
      <x:c r="G49" s="11" t="n">
        <x:v>0.01241345198452004</x:v>
      </x:c>
      <x:c r="H49" s="11" t="n">
        <x:v>0.09988269667427496</x:v>
      </x:c>
      <x:c r="I49" s="11" t="n">
        <x:v>0.5263157894736842</x:v>
      </x:c>
      <x:c r="J49" s="13" t="n">
        <x:v>19</x:v>
      </x:c>
      <x:c r="K49" s="22" t="b">
        <x:v>0</x:v>
      </x:c>
      <x:c r="L49" s="13" t="n">
        <x:v>110</x:v>
      </x:c>
      <x:c r="M49" s="13" t="n">
        <x:v>36</x:v>
      </x:c>
    </x:row>
    <x:row r="50" ht="22" customHeight="1">
      <x:c r="A50" s="17" t="str">
        <x:f>"01440000"</x:f>
        <x:v>01440000</x:v>
      </x:c>
      <x:c r="B50" s="13" t="n">
        <x:v>42</x:v>
      </x:c>
      <x:c r="C50" s="22" t="b">
        <x:v>1</x:v>
      </x:c>
      <x:c r="D50" s="11" t="n">
        <x:v>0.45689697729516876</x:v>
      </x:c>
      <x:c r="E50" s="11" t="n">
        <x:v>0.4301464334157763</x:v>
      </x:c>
      <x:c r="F50" s="11" t="n">
        <x:v>0.4262506984647373</x:v>
      </x:c>
      <x:c r="G50" s="11" t="n">
        <x:v>0.026750543879392463</x:v>
      </x:c>
      <x:c r="H50" s="11" t="n">
        <x:v>0.030646278830431473</x:v>
      </x:c>
      <x:c r="I50" s="11" t="n">
        <x:v>1</x:v>
      </x:c>
      <x:c r="J50" s="13" t="n">
        <x:v>11</x:v>
      </x:c>
      <x:c r="K50" s="22" t="b">
        <x:v>1</x:v>
      </x:c>
      <x:c r="L50" s="13" t="n">
        <x:v>83</x:v>
      </x:c>
      <x:c r="M50" s="13" t="n">
        <x:v>27</x:v>
      </x:c>
    </x:row>
    <x:row r="51" ht="22" customHeight="1">
      <x:c r="A51" s="17" t="str">
        <x:f>"01440000"</x:f>
        <x:v>01440000</x:v>
      </x:c>
      <x:c r="B51" s="13" t="n">
        <x:v>42</x:v>
      </x:c>
      <x:c r="C51" s="22" t="b">
        <x:v>0</x:v>
      </x:c>
      <x:c r="D51" s="11" t="n">
        <x:v>0.3175874058836897</x:v>
      </x:c>
      <x:c r="E51" s="11" t="n">
        <x:v>0.3193166952834052</x:v>
      </x:c>
      <x:c r="F51" s="11" t="n">
        <x:v>0.31374404542419265</x:v>
      </x:c>
      <x:c r="G51" s="11" t="n">
        <x:v>-0.0017292893997155057</x:v>
      </x:c>
      <x:c r="H51" s="11" t="n">
        <x:v>0.0038433604594970694</x:v>
      </x:c>
      <x:c r="I51" s="11" t="n">
        <x:v>1</x:v>
      </x:c>
      <x:c r="J51" s="13" t="n">
        <x:v>20</x:v>
      </x:c>
      <x:c r="K51" s="22" t="b">
        <x:v>0</x:v>
      </x:c>
      <x:c r="L51" s="13" t="n">
        <x:v>120</x:v>
      </x:c>
      <x:c r="M51" s="13" t="n">
        <x:v>41</x:v>
      </x:c>
    </x:row>
    <x:row r="52" ht="22" customHeight="1">
      <x:c r="A52" s="17" t="str">
        <x:f>"01440400"</x:f>
        <x:v>01440400</x:v>
      </x:c>
      <x:c r="B52" s="13" t="n">
        <x:v>42</x:v>
      </x:c>
      <x:c r="C52" s="22" t="b">
        <x:v>1</x:v>
      </x:c>
      <x:c r="D52" s="11" t="n">
        <x:v>0.5341919226800835</x:v>
      </x:c>
      <x:c r="E52" s="11" t="n">
        <x:v>0.46409611235101045</x:v>
      </x:c>
      <x:c r="F52" s="11" t="n">
        <x:v>0.4652958980942642</x:v>
      </x:c>
      <x:c r="G52" s="11" t="n">
        <x:v>0.07009581032907308</x:v>
      </x:c>
      <x:c r="H52" s="11" t="n">
        <x:v>0.06889602458581934</x:v>
      </x:c>
      <x:c r="I52" s="11" t="n">
        <x:v>0.2857142857142857</x:v>
      </x:c>
      <x:c r="J52" s="13" t="n">
        <x:v>14</x:v>
      </x:c>
      <x:c r="K52" s="22" t="b">
        <x:v>0</x:v>
      </x:c>
      <x:c r="L52" s="13" t="n">
        <x:v>63</x:v>
      </x:c>
      <x:c r="M52" s="13" t="n">
        <x:v>21</x:v>
      </x:c>
    </x:row>
    <x:row r="53" ht="22" customHeight="1">
      <x:c r="A53" s="17" t="str">
        <x:f>"01440400"</x:f>
        <x:v>01440400</x:v>
      </x:c>
      <x:c r="B53" s="13" t="n">
        <x:v>42</x:v>
      </x:c>
      <x:c r="C53" s="22" t="b">
        <x:v>0</x:v>
      </x:c>
      <x:c r="D53" s="11" t="n">
        <x:v>0.4995722965052283</x:v>
      </x:c>
      <x:c r="E53" s="11" t="n">
        <x:v>0.4730190378399234</x:v>
      </x:c>
      <x:c r="F53" s="11" t="n">
        <x:v>0.28719904408010155</x:v>
      </x:c>
      <x:c r="G53" s="11" t="n">
        <x:v>0.02655325866530489</x:v>
      </x:c>
      <x:c r="H53" s="11" t="n">
        <x:v>0.21237325242512672</x:v>
      </x:c>
      <x:c r="I53" s="11" t="n">
        <x:v>1</x:v>
      </x:c>
      <x:c r="J53" s="13" t="n">
        <x:v>20</x:v>
      </x:c>
      <x:c r="K53" s="22" t="b">
        <x:v>1</x:v>
      </x:c>
      <x:c r="L53" s="13" t="n">
        <x:v>125</x:v>
      </x:c>
      <x:c r="M53" s="13" t="n">
        <x:v>43</x:v>
      </x:c>
    </x:row>
    <x:row r="54" ht="22" customHeight="1">
      <x:c r="A54" s="17" t="str">
        <x:f>"01451800"</x:f>
        <x:v>01451800</x:v>
      </x:c>
      <x:c r="B54" s="13" t="n">
        <x:v>42</x:v>
      </x:c>
      <x:c r="C54" s="22" t="b">
        <x:v>1</x:v>
      </x:c>
      <x:c r="D54" s="11" t="n">
        <x:v>0.5114368681284652</x:v>
      </x:c>
      <x:c r="E54" s="11" t="n">
        <x:v>0.5106002199511539</x:v>
      </x:c>
      <x:c r="F54" s="11" t="n">
        <x:v>0.1673257441770224</x:v>
      </x:c>
      <x:c r="G54" s="11" t="n">
        <x:v>0.0008366481773113277</x:v>
      </x:c>
      <x:c r="H54" s="11" t="n">
        <x:v>0.34411112395144283</x:v>
      </x:c>
      <x:c r="I54" s="11" t="n">
        <x:v>0.8823529411764706</x:v>
      </x:c>
      <x:c r="J54" s="13" t="n">
        <x:v>17</x:v>
      </x:c>
      <x:c r="K54" s="22" t="b">
        <x:v>1</x:v>
      </x:c>
      <x:c r="L54" s="13" t="n">
        <x:v>77</x:v>
      </x:c>
      <x:c r="M54" s="13" t="n">
        <x:v>25</x:v>
      </x:c>
    </x:row>
    <x:row r="55" ht="22" customHeight="1">
      <x:c r="A55" s="17" t="str">
        <x:f>"01451800"</x:f>
        <x:v>01451800</x:v>
      </x:c>
      <x:c r="B55" s="13" t="n">
        <x:v>42</x:v>
      </x:c>
      <x:c r="C55" s="22" t="b">
        <x:v>0</x:v>
      </x:c>
      <x:c r="D55" s="11" t="n">
        <x:v>0.3843866376022512</x:v>
      </x:c>
      <x:c r="E55" s="11" t="n">
        <x:v>0.35853291370889884</x:v>
      </x:c>
      <x:c r="F55" s="11" t="n">
        <x:v>-0.20188432274239432</x:v>
      </x:c>
      <x:c r="G55" s="11" t="n">
        <x:v>0.025853723893352387</x:v>
      </x:c>
      <x:c r="H55" s="11" t="n">
        <x:v>0.5862709603446455</x:v>
      </x:c>
      <x:c r="I55" s="11" t="n">
        <x:v>0.8888888888888888</x:v>
      </x:c>
      <x:c r="J55" s="13" t="n">
        <x:v>18</x:v>
      </x:c>
      <x:c r="K55" s="22" t="b">
        <x:v>1</x:v>
      </x:c>
      <x:c r="L55" s="13" t="n">
        <x:v>110</x:v>
      </x:c>
      <x:c r="M55" s="13" t="n">
        <x:v>36</x:v>
      </x:c>
    </x:row>
    <x:row r="56" ht="22" customHeight="1">
      <x:c r="A56" s="17" t="str">
        <x:f>"01484100"</x:f>
        <x:v>01484100</x:v>
      </x:c>
      <x:c r="B56" s="13" t="n">
        <x:v>42</x:v>
      </x:c>
      <x:c r="C56" s="22" t="b">
        <x:v>1</x:v>
      </x:c>
      <x:c r="D56" s="11" t="n">
        <x:v>0.37941030041392587</x:v>
      </x:c>
      <x:c r="E56" s="11" t="n">
        <x:v>0.373714038314093</x:v>
      </x:c>
      <x:c r="F56" s="11" t="n">
        <x:v>0.23649254325113322</x:v>
      </x:c>
      <x:c r="G56" s="11" t="n">
        <x:v>0.005696262099832872</x:v>
      </x:c>
      <x:c r="H56" s="11" t="n">
        <x:v>0.14291775716279265</x:v>
      </x:c>
      <x:c r="I56" s="11"/>
      <x:c r="J56" s="13" t="n">
        <x:v>0</x:v>
      </x:c>
      <x:c r="K56" s="22" t="b">
        <x:v>0</x:v>
      </x:c>
      <x:c r="L56" s="13" t="n">
        <x:v>81</x:v>
      </x:c>
      <x:c r="M56" s="13" t="n">
        <x:v>26</x:v>
      </x:c>
    </x:row>
    <x:row r="57" ht="22" customHeight="1">
      <x:c r="A57" s="17" t="str">
        <x:f>"01484100"</x:f>
        <x:v>01484100</x:v>
      </x:c>
      <x:c r="B57" s="13" t="n">
        <x:v>42</x:v>
      </x:c>
      <x:c r="C57" s="22" t="b">
        <x:v>0</x:v>
      </x:c>
      <x:c r="D57" s="11" t="n">
        <x:v>0.16151820077410783</x:v>
      </x:c>
      <x:c r="E57" s="11" t="n">
        <x:v>0.1474576170443621</x:v>
      </x:c>
      <x:c r="F57" s="11" t="n">
        <x:v>0.10763162156554196</x:v>
      </x:c>
      <x:c r="G57" s="11" t="n">
        <x:v>0.014060583729745724</x:v>
      </x:c>
      <x:c r="H57" s="11" t="n">
        <x:v>0.05388657920856588</x:v>
      </x:c>
      <x:c r="I57" s="11" t="n">
        <x:v>0.05</x:v>
      </x:c>
      <x:c r="J57" s="13" t="n">
        <x:v>20</x:v>
      </x:c>
      <x:c r="K57" s="22" t="b">
        <x:v>0</x:v>
      </x:c>
      <x:c r="L57" s="13" t="n">
        <x:v>135</x:v>
      </x:c>
      <x:c r="M57" s="13" t="n">
        <x:v>49</x:v>
      </x:c>
    </x:row>
    <x:row r="58" ht="22" customHeight="1">
      <x:c r="A58" s="17" t="str">
        <x:f>"01485500"</x:f>
        <x:v>01485500</x:v>
      </x:c>
      <x:c r="B58" s="13" t="n">
        <x:v>42</x:v>
      </x:c>
      <x:c r="C58" s="22" t="b">
        <x:v>1</x:v>
      </x:c>
      <x:c r="D58" s="11" t="n">
        <x:v>0.890650049687767</x:v>
      </x:c>
      <x:c r="E58" s="11" t="n">
        <x:v>0.8794412907467696</x:v>
      </x:c>
      <x:c r="F58" s="11" t="n">
        <x:v>0.01161526423273962</x:v>
      </x:c>
      <x:c r="G58" s="11" t="n">
        <x:v>0.011208758940997376</x:v>
      </x:c>
      <x:c r="H58" s="11" t="n">
        <x:v>0.8790347854550273</x:v>
      </x:c>
      <x:c r="I58" s="11" t="n">
        <x:v>0.5714285714285714</x:v>
      </x:c>
      <x:c r="J58" s="13" t="n">
        <x:v>14</x:v>
      </x:c>
      <x:c r="K58" s="22" t="b">
        <x:v>0</x:v>
      </x:c>
      <x:c r="L58" s="13" t="n">
        <x:v>82</x:v>
      </x:c>
      <x:c r="M58" s="13" t="n">
        <x:v>26</x:v>
      </x:c>
    </x:row>
    <x:row r="59" ht="22" customHeight="1">
      <x:c r="A59" s="17" t="str">
        <x:f>"01485500"</x:f>
        <x:v>01485500</x:v>
      </x:c>
      <x:c r="B59" s="13" t="n">
        <x:v>42</x:v>
      </x:c>
      <x:c r="C59" s="22" t="b">
        <x:v>0</x:v>
      </x:c>
      <x:c r="D59" s="11" t="n">
        <x:v>0.5880374273517286</x:v>
      </x:c>
      <x:c r="E59" s="11" t="n">
        <x:v>0.593059585351043</x:v>
      </x:c>
      <x:c r="F59" s="11" t="n">
        <x:v>0.10075195488350919</x:v>
      </x:c>
      <x:c r="G59" s="11" t="n">
        <x:v>-0.0050221579993143806</x:v>
      </x:c>
      <x:c r="H59" s="11" t="n">
        <x:v>0.4872854724682194</x:v>
      </x:c>
      <x:c r="I59" s="11" t="n">
        <x:v>1</x:v>
      </x:c>
      <x:c r="J59" s="13" t="n">
        <x:v>17</x:v>
      </x:c>
      <x:c r="K59" s="22" t="b">
        <x:v>1</x:v>
      </x:c>
      <x:c r="L59" s="13" t="n">
        <x:v>119</x:v>
      </x:c>
      <x:c r="M59" s="13" t="n">
        <x:v>41</x:v>
      </x:c>
    </x:row>
    <x:row r="60" ht="22" customHeight="1">
      <x:c r="A60" s="17" t="str">
        <x:f>"01486000"</x:f>
        <x:v>01486000</x:v>
      </x:c>
      <x:c r="B60" s="13" t="n">
        <x:v>42</x:v>
      </x:c>
      <x:c r="C60" s="22" t="b">
        <x:v>1</x:v>
      </x:c>
      <x:c r="D60" s="11" t="n">
        <x:v>0.582356194050378</x:v>
      </x:c>
      <x:c r="E60" s="11" t="n">
        <x:v>0.5385407140090763</x:v>
      </x:c>
      <x:c r="F60" s="11" t="n">
        <x:v>0.5429080189864066</x:v>
      </x:c>
      <x:c r="G60" s="11" t="n">
        <x:v>0.043815480041301647</x:v>
      </x:c>
      <x:c r="H60" s="11" t="n">
        <x:v>0.03944817506397136</x:v>
      </x:c>
      <x:c r="I60" s="11" t="n">
        <x:v>1</x:v>
      </x:c>
      <x:c r="J60" s="13" t="n">
        <x:v>18</x:v>
      </x:c>
      <x:c r="K60" s="22" t="b">
        <x:v>1</x:v>
      </x:c>
      <x:c r="L60" s="13" t="n">
        <x:v>117</x:v>
      </x:c>
      <x:c r="M60" s="13" t="n">
        <x:v>39</x:v>
      </x:c>
    </x:row>
    <x:row r="61" ht="22" customHeight="1">
      <x:c r="A61" s="17" t="str">
        <x:f>"01486000"</x:f>
        <x:v>01486000</x:v>
      </x:c>
      <x:c r="B61" s="13" t="n">
        <x:v>42</x:v>
      </x:c>
      <x:c r="C61" s="22" t="b">
        <x:v>0</x:v>
      </x:c>
      <x:c r="D61" s="11" t="n">
        <x:v>0.37673857877335537</x:v>
      </x:c>
      <x:c r="E61" s="11" t="n">
        <x:v>0.36397319237552916</x:v>
      </x:c>
      <x:c r="F61" s="11" t="n">
        <x:v>0.21525362014686245</x:v>
      </x:c>
      <x:c r="G61" s="11" t="n">
        <x:v>0.012765386397826206</x:v>
      </x:c>
      <x:c r="H61" s="11" t="n">
        <x:v>0.16148495862649292</x:v>
      </x:c>
      <x:c r="I61" s="11" t="n">
        <x:v>0.75</x:v>
      </x:c>
      <x:c r="J61" s="13" t="n">
        <x:v>20</x:v>
      </x:c>
      <x:c r="K61" s="22" t="b">
        <x:v>0</x:v>
      </x:c>
      <x:c r="L61" s="13" t="n">
        <x:v>166</x:v>
      </x:c>
      <x:c r="M61" s="13" t="n">
        <x:v>71</x:v>
      </x:c>
    </x:row>
    <x:row r="62" ht="22" customHeight="1">
      <x:c r="A62" s="17" t="str">
        <x:f>"01487000"</x:f>
        <x:v>01487000</x:v>
      </x:c>
      <x:c r="B62" s="13" t="n">
        <x:v>42</x:v>
      </x:c>
      <x:c r="C62" s="22" t="b">
        <x:v>1</x:v>
      </x:c>
      <x:c r="D62" s="11" t="n">
        <x:v>0.7836677946566011</x:v>
      </x:c>
      <x:c r="E62" s="11" t="n">
        <x:v>0.7923960491433516</x:v>
      </x:c>
      <x:c r="F62" s="11" t="n">
        <x:v>0.6318380969139048</x:v>
      </x:c>
      <x:c r="G62" s="11" t="n">
        <x:v>-0.00872825448675052</x:v>
      </x:c>
      <x:c r="H62" s="11" t="n">
        <x:v>0.15182969774269628</x:v>
      </x:c>
      <x:c r="I62" s="11" t="n">
        <x:v>0.4</x:v>
      </x:c>
      <x:c r="J62" s="13" t="n">
        <x:v>20</x:v>
      </x:c>
      <x:c r="K62" s="22" t="b">
        <x:v>0</x:v>
      </x:c>
      <x:c r="L62" s="13" t="n">
        <x:v>130</x:v>
      </x:c>
      <x:c r="M62" s="13" t="n">
        <x:v>45</x:v>
      </x:c>
    </x:row>
    <x:row r="63" ht="22" customHeight="1">
      <x:c r="A63" s="17" t="str">
        <x:f>"01487000"</x:f>
        <x:v>01487000</x:v>
      </x:c>
      <x:c r="B63" s="13" t="n">
        <x:v>42</x:v>
      </x:c>
      <x:c r="C63" s="22" t="b">
        <x:v>0</x:v>
      </x:c>
      <x:c r="D63" s="11" t="n">
        <x:v>0.3976760768921458</x:v>
      </x:c>
      <x:c r="E63" s="11" t="n">
        <x:v>0.4405541338779905</x:v>
      </x:c>
      <x:c r="F63" s="11" t="n">
        <x:v>0.2274971986548927</x:v>
      </x:c>
      <x:c r="G63" s="11" t="n">
        <x:v>-0.04287805698584468</x:v>
      </x:c>
      <x:c r="H63" s="11" t="n">
        <x:v>0.17017887823725308</x:v>
      </x:c>
      <x:c r="I63" s="11" t="n">
        <x:v>0.7333333333333333</x:v>
      </x:c>
      <x:c r="J63" s="13" t="n">
        <x:v>15</x:v>
      </x:c>
      <x:c r="K63" s="22" t="b">
        <x:v>0</x:v>
      </x:c>
      <x:c r="L63" s="13" t="n">
        <x:v>104</x:v>
      </x:c>
      <x:c r="M63" s="13" t="n">
        <x:v>39</x:v>
      </x:c>
    </x:row>
    <x:row r="64" ht="22" customHeight="1">
      <x:c r="A64" s="17" t="str">
        <x:f>"01491000"</x:f>
        <x:v>01491000</x:v>
      </x:c>
      <x:c r="B64" s="13" t="n">
        <x:v>42</x:v>
      </x:c>
      <x:c r="C64" s="22" t="b">
        <x:v>1</x:v>
      </x:c>
      <x:c r="D64" s="11" t="n">
        <x:v>0.5147727101793784</x:v>
      </x:c>
      <x:c r="E64" s="11" t="n">
        <x:v>0.534895869494254</x:v>
      </x:c>
      <x:c r="F64" s="11" t="n">
        <x:v>0.5041015262225328</x:v>
      </x:c>
      <x:c r="G64" s="11" t="n">
        <x:v>-0.020123159314875627</x:v>
      </x:c>
      <x:c r="H64" s="11" t="n">
        <x:v>0.010671183956845631</x:v>
      </x:c>
      <x:c r="I64" s="11" t="n">
        <x:v>1</x:v>
      </x:c>
      <x:c r="J64" s="13" t="n">
        <x:v>10</x:v>
      </x:c>
      <x:c r="K64" s="22" t="b">
        <x:v>0</x:v>
      </x:c>
      <x:c r="L64" s="13" t="n">
        <x:v>122</x:v>
      </x:c>
      <x:c r="M64" s="13" t="n">
        <x:v>45</x:v>
      </x:c>
    </x:row>
    <x:row r="65" ht="22" customHeight="1">
      <x:c r="A65" s="17" t="str">
        <x:f>"01491000"</x:f>
        <x:v>01491000</x:v>
      </x:c>
      <x:c r="B65" s="13" t="n">
        <x:v>42</x:v>
      </x:c>
      <x:c r="C65" s="22" t="b">
        <x:v>0</x:v>
      </x:c>
      <x:c r="D65" s="11" t="n">
        <x:v>0.3226936024103986</x:v>
      </x:c>
      <x:c r="E65" s="11" t="n">
        <x:v>0.3041279296363899</x:v>
      </x:c>
      <x:c r="F65" s="11" t="n">
        <x:v>-0.06452711110707243</x:v>
      </x:c>
      <x:c r="G65" s="11" t="n">
        <x:v>0.018565672774008668</x:v>
      </x:c>
      <x:c r="H65" s="11" t="n">
        <x:v>0.387220713517471</x:v>
      </x:c>
      <x:c r="I65" s="11" t="n">
        <x:v>0</x:v>
      </x:c>
      <x:c r="J65" s="13" t="n">
        <x:v>11</x:v>
      </x:c>
      <x:c r="K65" s="22" t="b">
        <x:v>0</x:v>
      </x:c>
      <x:c r="L65" s="13" t="n">
        <x:v>89</x:v>
      </x:c>
      <x:c r="M65" s="13" t="n">
        <x:v>28</x:v>
      </x:c>
    </x:row>
    <x:row r="66" ht="22" customHeight="1">
      <x:c r="A66" s="17" t="str">
        <x:f>"01510000"</x:f>
        <x:v>01510000</x:v>
      </x:c>
      <x:c r="B66" s="13" t="n">
        <x:v>42</x:v>
      </x:c>
      <x:c r="C66" s="22" t="b">
        <x:v>1</x:v>
      </x:c>
      <x:c r="D66" s="11" t="n">
        <x:v>0.5998989657395521</x:v>
      </x:c>
      <x:c r="E66" s="11" t="n">
        <x:v>0.6045180804415862</x:v>
      </x:c>
      <x:c r="F66" s="11" t="n">
        <x:v>0.2843845795820409</x:v>
      </x:c>
      <x:c r="G66" s="11" t="n">
        <x:v>-0.004619114702034022</x:v>
      </x:c>
      <x:c r="H66" s="11" t="n">
        <x:v>0.31551438615751126</x:v>
      </x:c>
      <x:c r="I66" s="11" t="n">
        <x:v>0.9375</x:v>
      </x:c>
      <x:c r="J66" s="13" t="n">
        <x:v>16</x:v>
      </x:c>
      <x:c r="K66" s="22" t="b">
        <x:v>1</x:v>
      </x:c>
      <x:c r="L66" s="13" t="n">
        <x:v>80</x:v>
      </x:c>
      <x:c r="M66" s="13" t="n">
        <x:v>26</x:v>
      </x:c>
    </x:row>
    <x:row r="67" ht="22" customHeight="1">
      <x:c r="A67" s="17" t="str">
        <x:f>"01510000"</x:f>
        <x:v>01510000</x:v>
      </x:c>
      <x:c r="B67" s="13" t="n">
        <x:v>42</x:v>
      </x:c>
      <x:c r="C67" s="22" t="b">
        <x:v>0</x:v>
      </x:c>
      <x:c r="D67" s="11" t="n">
        <x:v>0.2945137995635695</x:v>
      </x:c>
      <x:c r="E67" s="11" t="n">
        <x:v>0.3513030607473403</x:v>
      </x:c>
      <x:c r="F67" s="11" t="n">
        <x:v>-0.32075103602311184</x:v>
      </x:c>
      <x:c r="G67" s="11" t="n">
        <x:v>-0.05678926118377081</x:v>
      </x:c>
      <x:c r="H67" s="11" t="n">
        <x:v>0.6152648355866813</x:v>
      </x:c>
      <x:c r="I67" s="11" t="n">
        <x:v>0.8421052631578947</x:v>
      </x:c>
      <x:c r="J67" s="13" t="n">
        <x:v>19</x:v>
      </x:c>
      <x:c r="K67" s="22" t="b">
        <x:v>1</x:v>
      </x:c>
      <x:c r="L67" s="13" t="n">
        <x:v>121</x:v>
      </x:c>
      <x:c r="M67" s="13" t="n">
        <x:v>41</x:v>
      </x:c>
    </x:row>
    <x:row r="68" ht="22" customHeight="1">
      <x:c r="A68" s="17" t="str">
        <x:f>"01516500"</x:f>
        <x:v>01516500</x:v>
      </x:c>
      <x:c r="B68" s="13" t="n">
        <x:v>42</x:v>
      </x:c>
      <x:c r="C68" s="22" t="b">
        <x:v>1</x:v>
      </x:c>
      <x:c r="D68" s="11" t="n">
        <x:v>0.3598338022451093</x:v>
      </x:c>
      <x:c r="E68" s="11" t="n">
        <x:v>0.3465686632753926</x:v>
      </x:c>
      <x:c r="F68" s="11" t="n">
        <x:v>0.36952546938249586</x:v>
      </x:c>
      <x:c r="G68" s="11" t="n">
        <x:v>0.013265138969716705</x:v>
      </x:c>
      <x:c r="H68" s="11" t="n">
        <x:v>-0.009691667137386561</x:v>
      </x:c>
      <x:c r="I68" s="11" t="n">
        <x:v>0</x:v>
      </x:c>
      <x:c r="J68" s="13" t="n">
        <x:v>19</x:v>
      </x:c>
      <x:c r="K68" s="22" t="b">
        <x:v>0</x:v>
      </x:c>
      <x:c r="L68" s="13" t="n">
        <x:v>67</x:v>
      </x:c>
      <x:c r="M68" s="13" t="n">
        <x:v>22</x:v>
      </x:c>
    </x:row>
    <x:row r="69" ht="22" customHeight="1">
      <x:c r="A69" s="17" t="str">
        <x:f>"01516500"</x:f>
        <x:v>01516500</x:v>
      </x:c>
      <x:c r="B69" s="13" t="n">
        <x:v>42</x:v>
      </x:c>
      <x:c r="C69" s="22" t="b">
        <x:v>0</x:v>
      </x:c>
      <x:c r="D69" s="11" t="n">
        <x:v>0.1624030734084082</x:v>
      </x:c>
      <x:c r="E69" s="11" t="n">
        <x:v>0.16885539344933176</x:v>
      </x:c>
      <x:c r="F69" s="11" t="n">
        <x:v>-0.28117758498602075</x:v>
      </x:c>
      <x:c r="G69" s="11" t="n">
        <x:v>-0.006452320040923554</x:v>
      </x:c>
      <x:c r="H69" s="11" t="n">
        <x:v>0.44358065839442895</x:v>
      </x:c>
      <x:c r="I69" s="11" t="n">
        <x:v>0.2631578947368421</x:v>
      </x:c>
      <x:c r="J69" s="13" t="n">
        <x:v>19</x:v>
      </x:c>
      <x:c r="K69" s="22" t="b">
        <x:v>0</x:v>
      </x:c>
      <x:c r="L69" s="13" t="n">
        <x:v>98</x:v>
      </x:c>
      <x:c r="M69" s="13" t="n">
        <x:v>31</x:v>
      </x:c>
    </x:row>
    <x:row r="70" ht="22" customHeight="1">
      <x:c r="A70" s="17" t="str">
        <x:f>"01532000"</x:f>
        <x:v>01532000</x:v>
      </x:c>
      <x:c r="B70" s="13" t="n">
        <x:v>42</x:v>
      </x:c>
      <x:c r="C70" s="22" t="b">
        <x:v>1</x:v>
      </x:c>
      <x:c r="D70" s="11" t="n">
        <x:v>0.3629241287495686</x:v>
      </x:c>
      <x:c r="E70" s="11" t="n">
        <x:v>0.3408241200045222</x:v>
      </x:c>
      <x:c r="F70" s="11" t="n">
        <x:v>0.29677708797653124</x:v>
      </x:c>
      <x:c r="G70" s="11" t="n">
        <x:v>0.022100008745046362</x:v>
      </x:c>
      <x:c r="H70" s="11" t="n">
        <x:v>0.06614704077303735</x:v>
      </x:c>
      <x:c r="I70" s="11" t="n">
        <x:v>0.8125</x:v>
      </x:c>
      <x:c r="J70" s="13" t="n">
        <x:v>16</x:v>
      </x:c>
      <x:c r="K70" s="22" t="b">
        <x:v>1</x:v>
      </x:c>
      <x:c r="L70" s="13" t="n">
        <x:v>95</x:v>
      </x:c>
      <x:c r="M70" s="13" t="n">
        <x:v>31</x:v>
      </x:c>
    </x:row>
    <x:row r="71" ht="22" customHeight="1">
      <x:c r="A71" s="17" t="str">
        <x:f>"01532000"</x:f>
        <x:v>01532000</x:v>
      </x:c>
      <x:c r="B71" s="13" t="n">
        <x:v>42</x:v>
      </x:c>
      <x:c r="C71" s="22" t="b">
        <x:v>0</x:v>
      </x:c>
      <x:c r="D71" s="11" t="n">
        <x:v>0.19484189111925565</x:v>
      </x:c>
      <x:c r="E71" s="11" t="n">
        <x:v>0.1859706944183238</x:v>
      </x:c>
      <x:c r="F71" s="11" t="n">
        <x:v>0.059184720808431845</x:v>
      </x:c>
      <x:c r="G71" s="11" t="n">
        <x:v>0.008871196700931838</x:v>
      </x:c>
      <x:c r="H71" s="11" t="n">
        <x:v>0.1356571703108238</x:v>
      </x:c>
      <x:c r="I71" s="11" t="n">
        <x:v>0.85</x:v>
      </x:c>
      <x:c r="J71" s="13" t="n">
        <x:v>20</x:v>
      </x:c>
      <x:c r="K71" s="22" t="b">
        <x:v>1</x:v>
      </x:c>
      <x:c r="L71" s="13" t="n">
        <x:v>98</x:v>
      </x:c>
      <x:c r="M71" s="13" t="n">
        <x:v>31</x:v>
      </x:c>
    </x:row>
    <x:row r="72" ht="22" customHeight="1">
      <x:c r="A72" s="17" t="str">
        <x:f>"01539000"</x:f>
        <x:v>01539000</x:v>
      </x:c>
      <x:c r="B72" s="13" t="n">
        <x:v>42</x:v>
      </x:c>
      <x:c r="C72" s="22" t="b">
        <x:v>1</x:v>
      </x:c>
      <x:c r="D72" s="11" t="n">
        <x:v>0.4015138552274269</x:v>
      </x:c>
      <x:c r="E72" s="11" t="n">
        <x:v>0.39610633074726564</x:v>
      </x:c>
      <x:c r="F72" s="11" t="n">
        <x:v>0.3519269629168247</x:v>
      </x:c>
      <x:c r="G72" s="11" t="n">
        <x:v>0.005407524480161241</x:v>
      </x:c>
      <x:c r="H72" s="11" t="n">
        <x:v>0.049586892310602204</x:v>
      </x:c>
      <x:c r="I72" s="11" t="n">
        <x:v>0.95</x:v>
      </x:c>
      <x:c r="J72" s="13" t="n">
        <x:v>20</x:v>
      </x:c>
      <x:c r="K72" s="22" t="b">
        <x:v>1</x:v>
      </x:c>
      <x:c r="L72" s="13" t="n">
        <x:v>125</x:v>
      </x:c>
      <x:c r="M72" s="13" t="n">
        <x:v>43</x:v>
      </x:c>
    </x:row>
    <x:row r="73" ht="22" customHeight="1">
      <x:c r="A73" s="17" t="str">
        <x:f>"01539000"</x:f>
        <x:v>01539000</x:v>
      </x:c>
      <x:c r="B73" s="13" t="n">
        <x:v>42</x:v>
      </x:c>
      <x:c r="C73" s="22" t="b">
        <x:v>0</x:v>
      </x:c>
      <x:c r="D73" s="11" t="n">
        <x:v>0.2488868650730478</x:v>
      </x:c>
      <x:c r="E73" s="11" t="n">
        <x:v>0.25193451084790397</x:v>
      </x:c>
      <x:c r="F73" s="11" t="n">
        <x:v>-1.030199399792442</x:v>
      </x:c>
      <x:c r="G73" s="11" t="n">
        <x:v>-0.003047645774856167</x:v>
      </x:c>
      <x:c r="H73" s="11" t="n">
        <x:v>1.2790862648654897</x:v>
      </x:c>
      <x:c r="I73" s="11"/>
      <x:c r="J73" s="13" t="n">
        <x:v>0</x:v>
      </x:c>
      <x:c r="K73" s="22" t="b">
        <x:v>0</x:v>
      </x:c>
      <x:c r="L73" s="13" t="n">
        <x:v>112</x:v>
      </x:c>
      <x:c r="M73" s="13" t="n">
        <x:v>37</x:v>
      </x:c>
    </x:row>
    <x:row r="74" ht="22" customHeight="1">
      <x:c r="A74" s="17" t="str">
        <x:f>"01542810"</x:f>
        <x:v>01542810</x:v>
      </x:c>
      <x:c r="B74" s="13" t="n">
        <x:v>42</x:v>
      </x:c>
      <x:c r="C74" s="22" t="b">
        <x:v>1</x:v>
      </x:c>
      <x:c r="D74" s="11" t="n">
        <x:v>0.5137643487020559</x:v>
      </x:c>
      <x:c r="E74" s="11" t="n">
        <x:v>0.4904086659705168</x:v>
      </x:c>
      <x:c r="F74" s="11" t="n">
        <x:v>0.33965902226463485</x:v>
      </x:c>
      <x:c r="G74" s="11" t="n">
        <x:v>0.023355682731539096</x:v>
      </x:c>
      <x:c r="H74" s="11" t="n">
        <x:v>0.17410532643742105</x:v>
      </x:c>
      <x:c r="I74" s="11" t="n">
        <x:v>0.15</x:v>
      </x:c>
      <x:c r="J74" s="13" t="n">
        <x:v>20</x:v>
      </x:c>
      <x:c r="K74" s="22" t="b">
        <x:v>0</x:v>
      </x:c>
      <x:c r="L74" s="13" t="n">
        <x:v>106</x:v>
      </x:c>
      <x:c r="M74" s="13" t="n">
        <x:v>34</x:v>
      </x:c>
    </x:row>
    <x:row r="75" ht="22" customHeight="1">
      <x:c r="A75" s="17" t="str">
        <x:f>"01542810"</x:f>
        <x:v>01542810</x:v>
      </x:c>
      <x:c r="B75" s="13" t="n">
        <x:v>42</x:v>
      </x:c>
      <x:c r="C75" s="22" t="b">
        <x:v>0</x:v>
      </x:c>
      <x:c r="D75" s="11" t="n">
        <x:v>0.37708040430532785</x:v>
      </x:c>
      <x:c r="E75" s="11" t="n">
        <x:v>0.34398195970706125</x:v>
      </x:c>
      <x:c r="F75" s="11" t="n">
        <x:v>-0.2614590591945165</x:v>
      </x:c>
      <x:c r="G75" s="11" t="n">
        <x:v>0.03309844459826661</x:v>
      </x:c>
      <x:c r="H75" s="11" t="n">
        <x:v>0.6385394634998444</x:v>
      </x:c>
      <x:c r="I75" s="11" t="n">
        <x:v>0.8</x:v>
      </x:c>
      <x:c r="J75" s="13" t="n">
        <x:v>20</x:v>
      </x:c>
      <x:c r="K75" s="22" t="b">
        <x:v>1</x:v>
      </x:c>
      <x:c r="L75" s="13" t="n">
        <x:v>113</x:v>
      </x:c>
      <x:c r="M75" s="13" t="n">
        <x:v>37</x:v>
      </x:c>
    </x:row>
    <x:row r="76" ht="22" customHeight="1">
      <x:c r="A76" s="17" t="str">
        <x:f>"01543000"</x:f>
        <x:v>01543000</x:v>
      </x:c>
      <x:c r="B76" s="13" t="n">
        <x:v>42</x:v>
      </x:c>
      <x:c r="C76" s="22" t="b">
        <x:v>1</x:v>
      </x:c>
      <x:c r="D76" s="11" t="n">
        <x:v>0.5541802190331893</x:v>
      </x:c>
      <x:c r="E76" s="11" t="n">
        <x:v>0.5308077679758456</x:v>
      </x:c>
      <x:c r="F76" s="11" t="n">
        <x:v>0.30312577829278897</x:v>
      </x:c>
      <x:c r="G76" s="11" t="n">
        <x:v>0.023372451057343646</x:v>
      </x:c>
      <x:c r="H76" s="11" t="n">
        <x:v>0.2510544407404003</x:v>
      </x:c>
      <x:c r="I76" s="11" t="n">
        <x:v>0.8</x:v>
      </x:c>
      <x:c r="J76" s="13" t="n">
        <x:v>15</x:v>
      </x:c>
      <x:c r="K76" s="22" t="b">
        <x:v>1</x:v>
      </x:c>
      <x:c r="L76" s="13" t="n">
        <x:v>67</x:v>
      </x:c>
      <x:c r="M76" s="13" t="n">
        <x:v>22</x:v>
      </x:c>
    </x:row>
    <x:row r="77" ht="22" customHeight="1">
      <x:c r="A77" s="17" t="str">
        <x:f>"01543000"</x:f>
        <x:v>01543000</x:v>
      </x:c>
      <x:c r="B77" s="13" t="n">
        <x:v>42</x:v>
      </x:c>
      <x:c r="C77" s="22" t="b">
        <x:v>0</x:v>
      </x:c>
      <x:c r="D77" s="11" t="n">
        <x:v>0.4567434839879597</x:v>
      </x:c>
      <x:c r="E77" s="11" t="n">
        <x:v>0.41728313390030025</x:v>
      </x:c>
      <x:c r="F77" s="11" t="n">
        <x:v>-0.10728557059079802</x:v>
      </x:c>
      <x:c r="G77" s="11" t="n">
        <x:v>0.03946035008765947</x:v>
      </x:c>
      <x:c r="H77" s="11" t="n">
        <x:v>0.5640290545787577</x:v>
      </x:c>
      <x:c r="I77" s="11" t="n">
        <x:v>0.3</x:v>
      </x:c>
      <x:c r="J77" s="13" t="n">
        <x:v>20</x:v>
      </x:c>
      <x:c r="K77" s="22" t="b">
        <x:v>0</x:v>
      </x:c>
      <x:c r="L77" s="13" t="n">
        <x:v>148</x:v>
      </x:c>
      <x:c r="M77" s="13" t="n">
        <x:v>57</x:v>
      </x:c>
    </x:row>
    <x:row r="78" ht="22" customHeight="1">
      <x:c r="A78" s="17" t="str">
        <x:f>"01543500"</x:f>
        <x:v>01543500</x:v>
      </x:c>
      <x:c r="B78" s="13" t="n">
        <x:v>42</x:v>
      </x:c>
      <x:c r="C78" s="22" t="b">
        <x:v>1</x:v>
      </x:c>
      <x:c r="D78" s="11" t="n">
        <x:v>0.6271723174904444</x:v>
      </x:c>
      <x:c r="E78" s="11" t="n">
        <x:v>0.6027790910128961</x:v>
      </x:c>
      <x:c r="F78" s="11" t="n">
        <x:v>0.4451598415446346</x:v>
      </x:c>
      <x:c r="G78" s="11" t="n">
        <x:v>0.02439322647754838</x:v>
      </x:c>
      <x:c r="H78" s="11" t="n">
        <x:v>0.18201247594580983</x:v>
      </x:c>
      <x:c r="I78" s="11" t="n">
        <x:v>1</x:v>
      </x:c>
      <x:c r="J78" s="13" t="n">
        <x:v>12</x:v>
      </x:c>
      <x:c r="K78" s="22" t="b">
        <x:v>1</x:v>
      </x:c>
      <x:c r="L78" s="13" t="n">
        <x:v>89</x:v>
      </x:c>
      <x:c r="M78" s="13" t="n">
        <x:v>28</x:v>
      </x:c>
    </x:row>
    <x:row r="79" ht="22" customHeight="1">
      <x:c r="A79" s="17" t="str">
        <x:f>"01543500"</x:f>
        <x:v>01543500</x:v>
      </x:c>
      <x:c r="B79" s="13" t="n">
        <x:v>42</x:v>
      </x:c>
      <x:c r="C79" s="22" t="b">
        <x:v>0</x:v>
      </x:c>
      <x:c r="D79" s="11" t="n">
        <x:v>0.5558390248607801</x:v>
      </x:c>
      <x:c r="E79" s="11" t="n">
        <x:v>0.46078593363335574</x:v>
      </x:c>
      <x:c r="F79" s="11" t="n">
        <x:v>0.23443140819638253</x:v>
      </x:c>
      <x:c r="G79" s="11" t="n">
        <x:v>0.09505309122742434</x:v>
      </x:c>
      <x:c r="H79" s="11" t="n">
        <x:v>0.32140761666439754</x:v>
      </x:c>
      <x:c r="I79" s="11" t="n">
        <x:v>0.5</x:v>
      </x:c>
      <x:c r="J79" s="13" t="n">
        <x:v>20</x:v>
      </x:c>
      <x:c r="K79" s="22" t="b">
        <x:v>0</x:v>
      </x:c>
      <x:c r="L79" s="13" t="n">
        <x:v>122</x:v>
      </x:c>
      <x:c r="M79" s="13" t="n">
        <x:v>44</x:v>
      </x:c>
    </x:row>
    <x:row r="80" ht="22" customHeight="1">
      <x:c r="A80" s="17" t="str">
        <x:f>"01544500"</x:f>
        <x:v>01544500</x:v>
      </x:c>
      <x:c r="B80" s="13" t="n">
        <x:v>42</x:v>
      </x:c>
      <x:c r="C80" s="22" t="b">
        <x:v>1</x:v>
      </x:c>
      <x:c r="D80" s="11" t="n">
        <x:v>0.7364491949302427</x:v>
      </x:c>
      <x:c r="E80" s="11" t="n">
        <x:v>0.723444332345301</x:v>
      </x:c>
      <x:c r="F80" s="11" t="n">
        <x:v>0.35057385807541563</x:v>
      </x:c>
      <x:c r="G80" s="11" t="n">
        <x:v>0.013004862584941712</x:v>
      </x:c>
      <x:c r="H80" s="11" t="n">
        <x:v>0.3858753368548271</x:v>
      </x:c>
      <x:c r="I80" s="11" t="n">
        <x:v>0.8</x:v>
      </x:c>
      <x:c r="J80" s="13" t="n">
        <x:v>20</x:v>
      </x:c>
      <x:c r="K80" s="22" t="b">
        <x:v>1</x:v>
      </x:c>
      <x:c r="L80" s="13" t="n">
        <x:v>108</x:v>
      </x:c>
      <x:c r="M80" s="13" t="n">
        <x:v>36</x:v>
      </x:c>
    </x:row>
    <x:row r="81" ht="22" customHeight="1">
      <x:c r="A81" s="17" t="str">
        <x:f>"01544500"</x:f>
        <x:v>01544500</x:v>
      </x:c>
      <x:c r="B81" s="13" t="n">
        <x:v>42</x:v>
      </x:c>
      <x:c r="C81" s="22" t="b">
        <x:v>0</x:v>
      </x:c>
      <x:c r="D81" s="11" t="n">
        <x:v>0.504545957292412</x:v>
      </x:c>
      <x:c r="E81" s="11" t="n">
        <x:v>0.5143057861973253</x:v>
      </x:c>
      <x:c r="F81" s="11" t="n">
        <x:v>0.3932462257145536</x:v>
      </x:c>
      <x:c r="G81" s="11" t="n">
        <x:v>-0.009759828904913226</x:v>
      </x:c>
      <x:c r="H81" s="11" t="n">
        <x:v>0.11129973157785844</x:v>
      </x:c>
      <x:c r="I81" s="11" t="n">
        <x:v>0</x:v>
      </x:c>
      <x:c r="J81" s="13" t="n">
        <x:v>20</x:v>
      </x:c>
      <x:c r="K81" s="22" t="b">
        <x:v>0</x:v>
      </x:c>
      <x:c r="L81" s="13" t="n">
        <x:v>147</x:v>
      </x:c>
      <x:c r="M81" s="13" t="n">
        <x:v>56</x:v>
      </x:c>
    </x:row>
    <x:row r="82" ht="22" customHeight="1">
      <x:c r="A82" s="17" t="str">
        <x:f>"01545600"</x:f>
        <x:v>01545600</x:v>
      </x:c>
      <x:c r="B82" s="13" t="n">
        <x:v>42</x:v>
      </x:c>
      <x:c r="C82" s="22" t="b">
        <x:v>1</x:v>
      </x:c>
      <x:c r="D82" s="11" t="n">
        <x:v>0.758046569952357</x:v>
      </x:c>
      <x:c r="E82" s="11" t="n">
        <x:v>0.741423430465268</x:v>
      </x:c>
      <x:c r="F82" s="11" t="n">
        <x:v>0.34085868652563533</x:v>
      </x:c>
      <x:c r="G82" s="11" t="n">
        <x:v>0.016623139487088934</x:v>
      </x:c>
      <x:c r="H82" s="11" t="n">
        <x:v>0.41718788342672164</x:v>
      </x:c>
      <x:c r="I82" s="11" t="n">
        <x:v>0.6363636363636364</x:v>
      </x:c>
      <x:c r="J82" s="13" t="n">
        <x:v>11</x:v>
      </x:c>
      <x:c r="K82" s="22" t="b">
        <x:v>0</x:v>
      </x:c>
      <x:c r="L82" s="13" t="n">
        <x:v>92</x:v>
      </x:c>
      <x:c r="M82" s="13" t="n">
        <x:v>30</x:v>
      </x:c>
    </x:row>
    <x:row r="83" ht="22" customHeight="1">
      <x:c r="A83" s="17" t="str">
        <x:f>"01545600"</x:f>
        <x:v>01545600</x:v>
      </x:c>
      <x:c r="B83" s="13" t="n">
        <x:v>42</x:v>
      </x:c>
      <x:c r="C83" s="22" t="b">
        <x:v>0</x:v>
      </x:c>
      <x:c r="D83" s="11" t="n">
        <x:v>0.49786357217607613</x:v>
      </x:c>
      <x:c r="E83" s="11" t="n">
        <x:v>0.4840646732530417</x:v>
      </x:c>
      <x:c r="F83" s="11" t="n">
        <x:v>0.12210080367640852</x:v>
      </x:c>
      <x:c r="G83" s="11" t="n">
        <x:v>0.01379889892303443</x:v>
      </x:c>
      <x:c r="H83" s="11" t="n">
        <x:v>0.3757627684996676</x:v>
      </x:c>
      <x:c r="I83" s="11" t="n">
        <x:v>0.5294117647058824</x:v>
      </x:c>
      <x:c r="J83" s="13" t="n">
        <x:v>17</x:v>
      </x:c>
      <x:c r="K83" s="22" t="b">
        <x:v>0</x:v>
      </x:c>
      <x:c r="L83" s="13" t="n">
        <x:v>123</x:v>
      </x:c>
      <x:c r="M83" s="13" t="n">
        <x:v>42</x:v>
      </x:c>
    </x:row>
    <x:row r="84" ht="22" customHeight="1">
      <x:c r="A84" s="17" t="str">
        <x:f>"01547700"</x:f>
        <x:v>01547700</x:v>
      </x:c>
      <x:c r="B84" s="13" t="n">
        <x:v>42</x:v>
      </x:c>
      <x:c r="C84" s="22" t="b">
        <x:v>1</x:v>
      </x:c>
      <x:c r="D84" s="11" t="n">
        <x:v>0.5400259870916313</x:v>
      </x:c>
      <x:c r="E84" s="11" t="n">
        <x:v>0.5296973649418</x:v>
      </x:c>
      <x:c r="F84" s="11" t="n">
        <x:v>0.232100237001435</x:v>
      </x:c>
      <x:c r="G84" s="11" t="n">
        <x:v>0.010328622149831324</x:v>
      </x:c>
      <x:c r="H84" s="11" t="n">
        <x:v>0.3079257500901963</x:v>
      </x:c>
      <x:c r="I84" s="11" t="n">
        <x:v>1</x:v>
      </x:c>
      <x:c r="J84" s="13" t="n">
        <x:v>14</x:v>
      </x:c>
      <x:c r="K84" s="22" t="b">
        <x:v>1</x:v>
      </x:c>
      <x:c r="L84" s="13" t="n">
        <x:v>72</x:v>
      </x:c>
      <x:c r="M84" s="13" t="n">
        <x:v>24</x:v>
      </x:c>
    </x:row>
    <x:row r="85" ht="22" customHeight="1">
      <x:c r="A85" s="17" t="str">
        <x:f>"01547700"</x:f>
        <x:v>01547700</x:v>
      </x:c>
      <x:c r="B85" s="13" t="n">
        <x:v>42</x:v>
      </x:c>
      <x:c r="C85" s="22" t="b">
        <x:v>0</x:v>
      </x:c>
      <x:c r="D85" s="11" t="n">
        <x:v>0.3519324671854913</x:v>
      </x:c>
      <x:c r="E85" s="11" t="n">
        <x:v>0.33127888007678274</x:v>
      </x:c>
      <x:c r="F85" s="11" t="n">
        <x:v>-0.1574886572978973</x:v>
      </x:c>
      <x:c r="G85" s="11" t="n">
        <x:v>0.02065358710870857</x:v>
      </x:c>
      <x:c r="H85" s="11" t="n">
        <x:v>0.5094211244833886</x:v>
      </x:c>
      <x:c r="I85" s="11" t="n">
        <x:v>0.95</x:v>
      </x:c>
      <x:c r="J85" s="13" t="n">
        <x:v>20</x:v>
      </x:c>
      <x:c r="K85" s="22" t="b">
        <x:v>1</x:v>
      </x:c>
      <x:c r="L85" s="13" t="n">
        <x:v>133</x:v>
      </x:c>
      <x:c r="M85" s="13" t="n">
        <x:v>47</x:v>
      </x:c>
    </x:row>
    <x:row r="86" ht="22" customHeight="1">
      <x:c r="A86" s="17" t="str">
        <x:f>"01548500"</x:f>
        <x:v>01548500</x:v>
      </x:c>
      <x:c r="B86" s="13" t="n">
        <x:v>42</x:v>
      </x:c>
      <x:c r="C86" s="22" t="b">
        <x:v>1</x:v>
      </x:c>
      <x:c r="D86" s="11" t="n">
        <x:v>0.7140213585533635</x:v>
      </x:c>
      <x:c r="E86" s="11" t="n">
        <x:v>0.7052730098531655</x:v>
      </x:c>
      <x:c r="F86" s="11" t="n">
        <x:v>0.3933422744850037</x:v>
      </x:c>
      <x:c r="G86" s="11" t="n">
        <x:v>0.008748348700197917</x:v>
      </x:c>
      <x:c r="H86" s="11" t="n">
        <x:v>0.32067908406835977</x:v>
      </x:c>
      <x:c r="I86" s="11" t="n">
        <x:v>1</x:v>
      </x:c>
      <x:c r="J86" s="13" t="n">
        <x:v>10</x:v>
      </x:c>
      <x:c r="K86" s="22" t="b">
        <x:v>1</x:v>
      </x:c>
      <x:c r="L86" s="13" t="n">
        <x:v>86</x:v>
      </x:c>
      <x:c r="M86" s="13" t="n">
        <x:v>27</x:v>
      </x:c>
    </x:row>
    <x:row r="87" ht="22" customHeight="1">
      <x:c r="A87" s="17" t="str">
        <x:f>"01548500"</x:f>
        <x:v>01548500</x:v>
      </x:c>
      <x:c r="B87" s="13" t="n">
        <x:v>42</x:v>
      </x:c>
      <x:c r="C87" s="22" t="b">
        <x:v>0</x:v>
      </x:c>
      <x:c r="D87" s="11" t="n">
        <x:v>0.5289707221272709</x:v>
      </x:c>
      <x:c r="E87" s="11" t="n">
        <x:v>0.5230223941537585</x:v>
      </x:c>
      <x:c r="F87" s="11" t="n">
        <x:v>-0.1307606499192695</x:v>
      </x:c>
      <x:c r="G87" s="11" t="n">
        <x:v>0.005948327973512413</x:v>
      </x:c>
      <x:c r="H87" s="11" t="n">
        <x:v>0.6597313720465404</x:v>
      </x:c>
      <x:c r="I87" s="11" t="n">
        <x:v>1</x:v>
      </x:c>
      <x:c r="J87" s="13" t="n">
        <x:v>20</x:v>
      </x:c>
      <x:c r="K87" s="22" t="b">
        <x:v>1</x:v>
      </x:c>
      <x:c r="L87" s="13" t="n">
        <x:v>122</x:v>
      </x:c>
      <x:c r="M87" s="13" t="n">
        <x:v>41</x:v>
      </x:c>
    </x:row>
    <x:row r="88" ht="22" customHeight="1">
      <x:c r="A88" s="17" t="str">
        <x:f>"01549500"</x:f>
        <x:v>01549500</x:v>
      </x:c>
      <x:c r="B88" s="13" t="n">
        <x:v>42</x:v>
      </x:c>
      <x:c r="C88" s="22" t="b">
        <x:v>1</x:v>
      </x:c>
      <x:c r="D88" s="11" t="n">
        <x:v>0.5004338115251035</x:v>
      </x:c>
      <x:c r="E88" s="11" t="n">
        <x:v>0.4392193510982215</x:v>
      </x:c>
      <x:c r="F88" s="11" t="n">
        <x:v>0.45870595186627483</x:v>
      </x:c>
      <x:c r="G88" s="11" t="n">
        <x:v>0.061214460426881945</x:v>
      </x:c>
      <x:c r="H88" s="11" t="n">
        <x:v>0.04172785965882864</x:v>
      </x:c>
      <x:c r="I88" s="11" t="n">
        <x:v>1</x:v>
      </x:c>
      <x:c r="J88" s="13" t="n">
        <x:v>20</x:v>
      </x:c>
      <x:c r="K88" s="22" t="b">
        <x:v>0</x:v>
      </x:c>
      <x:c r="L88" s="13" t="n">
        <x:v>78</x:v>
      </x:c>
      <x:c r="M88" s="13" t="n">
        <x:v>25</x:v>
      </x:c>
    </x:row>
    <x:row r="89" ht="22" customHeight="1">
      <x:c r="A89" s="17" t="str">
        <x:f>"01549500"</x:f>
        <x:v>01549500</x:v>
      </x:c>
      <x:c r="B89" s="13" t="n">
        <x:v>42</x:v>
      </x:c>
      <x:c r="C89" s="22" t="b">
        <x:v>0</x:v>
      </x:c>
      <x:c r="D89" s="11" t="n">
        <x:v>0.2974117827475935</x:v>
      </x:c>
      <x:c r="E89" s="11" t="n">
        <x:v>0.3078731985410068</x:v>
      </x:c>
      <x:c r="F89" s="11" t="n">
        <x:v>0.20058557465684534</x:v>
      </x:c>
      <x:c r="G89" s="11" t="n">
        <x:v>-0.010461415793413309</x:v>
      </x:c>
      <x:c r="H89" s="11" t="n">
        <x:v>0.09682620809074816</x:v>
      </x:c>
      <x:c r="I89" s="11" t="n">
        <x:v>0.7</x:v>
      </x:c>
      <x:c r="J89" s="13" t="n">
        <x:v>20</x:v>
      </x:c>
      <x:c r="K89" s="22" t="b">
        <x:v>0</x:v>
      </x:c>
      <x:c r="L89" s="13" t="n">
        <x:v>121</x:v>
      </x:c>
      <x:c r="M89" s="13" t="n">
        <x:v>41</x:v>
      </x:c>
    </x:row>
    <x:row r="90" ht="22" customHeight="1">
      <x:c r="A90" s="17" t="str">
        <x:f>"01550000"</x:f>
        <x:v>01550000</x:v>
      </x:c>
      <x:c r="B90" s="13" t="n">
        <x:v>42</x:v>
      </x:c>
      <x:c r="C90" s="22" t="b">
        <x:v>1</x:v>
      </x:c>
      <x:c r="D90" s="11" t="n">
        <x:v>0.4565095387961998</x:v>
      </x:c>
      <x:c r="E90" s="11" t="n">
        <x:v>0.4495328597690157</x:v>
      </x:c>
      <x:c r="F90" s="11" t="n">
        <x:v>0.3412537548906479</x:v>
      </x:c>
      <x:c r="G90" s="11" t="n">
        <x:v>0.0069766790271841295</x:v>
      </x:c>
      <x:c r="H90" s="11" t="n">
        <x:v>0.11525578390555191</x:v>
      </x:c>
      <x:c r="I90" s="11" t="n">
        <x:v>0.6842105263157895</x:v>
      </x:c>
      <x:c r="J90" s="13" t="n">
        <x:v>19</x:v>
      </x:c>
      <x:c r="K90" s="22" t="b">
        <x:v>0</x:v>
      </x:c>
      <x:c r="L90" s="13" t="n">
        <x:v>102</x:v>
      </x:c>
      <x:c r="M90" s="13" t="n">
        <x:v>33</x:v>
      </x:c>
    </x:row>
    <x:row r="91" ht="22" customHeight="1">
      <x:c r="A91" s="17" t="str">
        <x:f>"01550000"</x:f>
        <x:v>01550000</x:v>
      </x:c>
      <x:c r="B91" s="13" t="n">
        <x:v>42</x:v>
      </x:c>
      <x:c r="C91" s="22" t="b">
        <x:v>0</x:v>
      </x:c>
      <x:c r="D91" s="11" t="n">
        <x:v>0.31430382874159013</x:v>
      </x:c>
      <x:c r="E91" s="11" t="n">
        <x:v>0.2925001663327056</x:v>
      </x:c>
      <x:c r="F91" s="11" t="n">
        <x:v>0.14984729720649292</x:v>
      </x:c>
      <x:c r="G91" s="11" t="n">
        <x:v>0.02180366240888454</x:v>
      </x:c>
      <x:c r="H91" s="11" t="n">
        <x:v>0.1644565315350972</x:v>
      </x:c>
      <x:c r="I91" s="11" t="n">
        <x:v>0.55</x:v>
      </x:c>
      <x:c r="J91" s="13" t="n">
        <x:v>20</x:v>
      </x:c>
      <x:c r="K91" s="22" t="b">
        <x:v>0</x:v>
      </x:c>
      <x:c r="L91" s="13" t="n">
        <x:v>153</x:v>
      </x:c>
      <x:c r="M91" s="13" t="n">
        <x:v>60</x:v>
      </x:c>
    </x:row>
    <x:row r="92" ht="22" customHeight="1">
      <x:c r="A92" s="17" t="str">
        <x:f>"01552000"</x:f>
        <x:v>01552000</x:v>
      </x:c>
      <x:c r="B92" s="13" t="n">
        <x:v>42</x:v>
      </x:c>
      <x:c r="C92" s="22" t="b">
        <x:v>1</x:v>
      </x:c>
      <x:c r="D92" s="11" t="n">
        <x:v>0.40064515543249357</x:v>
      </x:c>
      <x:c r="E92" s="11" t="n">
        <x:v>0.3845320314468188</x:v>
      </x:c>
      <x:c r="F92" s="11" t="n">
        <x:v>0.23606527442325154</x:v>
      </x:c>
      <x:c r="G92" s="11" t="n">
        <x:v>0.01611312398567477</x:v>
      </x:c>
      <x:c r="H92" s="11" t="n">
        <x:v>0.16457988100924204</x:v>
      </x:c>
      <x:c r="I92" s="11" t="n">
        <x:v>1</x:v>
      </x:c>
      <x:c r="J92" s="13" t="n">
        <x:v>9</x:v>
      </x:c>
      <x:c r="K92" s="22" t="b">
        <x:v>1</x:v>
      </x:c>
      <x:c r="L92" s="13" t="n">
        <x:v>79</x:v>
      </x:c>
      <x:c r="M92" s="13" t="n">
        <x:v>26</x:v>
      </x:c>
    </x:row>
    <x:row r="93" ht="22" customHeight="1">
      <x:c r="A93" s="17" t="str">
        <x:f>"01552000"</x:f>
        <x:v>01552000</x:v>
      </x:c>
      <x:c r="B93" s="13" t="n">
        <x:v>42</x:v>
      </x:c>
      <x:c r="C93" s="22" t="b">
        <x:v>0</x:v>
      </x:c>
      <x:c r="D93" s="11" t="n">
        <x:v>0.27276184653842284</x:v>
      </x:c>
      <x:c r="E93" s="11" t="n">
        <x:v>0.264666651924917</x:v>
      </x:c>
      <x:c r="F93" s="11" t="n">
        <x:v>0.18611054346828382</x:v>
      </x:c>
      <x:c r="G93" s="11" t="n">
        <x:v>0.00809519461350583</x:v>
      </x:c>
      <x:c r="H93" s="11" t="n">
        <x:v>0.08665130307013902</x:v>
      </x:c>
      <x:c r="I93" s="11" t="n">
        <x:v>0.45</x:v>
      </x:c>
      <x:c r="J93" s="13" t="n">
        <x:v>20</x:v>
      </x:c>
      <x:c r="K93" s="22" t="b">
        <x:v>0</x:v>
      </x:c>
      <x:c r="L93" s="13" t="n">
        <x:v>108</x:v>
      </x:c>
      <x:c r="M93" s="13" t="n">
        <x:v>36</x:v>
      </x:c>
    </x:row>
    <x:row r="94" ht="22" customHeight="1">
      <x:c r="A94" s="17" t="str">
        <x:f>"01552500"</x:f>
        <x:v>01552500</x:v>
      </x:c>
      <x:c r="B94" s="13" t="n">
        <x:v>42</x:v>
      </x:c>
      <x:c r="C94" s="22" t="b">
        <x:v>1</x:v>
      </x:c>
      <x:c r="D94" s="11" t="n">
        <x:v>0.3146444547185777</x:v>
      </x:c>
      <x:c r="E94" s="11" t="n">
        <x:v>0.3131105295438137</x:v>
      </x:c>
      <x:c r="F94" s="11" t="n">
        <x:v>0.23503922886559747</x:v>
      </x:c>
      <x:c r="G94" s="11" t="n">
        <x:v>0.0015339251747640281</x:v>
      </x:c>
      <x:c r="H94" s="11" t="n">
        <x:v>0.07960522585298024</x:v>
      </x:c>
      <x:c r="I94" s="11" t="n">
        <x:v>1</x:v>
      </x:c>
      <x:c r="J94" s="13" t="n">
        <x:v>14</x:v>
      </x:c>
      <x:c r="K94" s="22" t="b">
        <x:v>1</x:v>
      </x:c>
      <x:c r="L94" s="13" t="n">
        <x:v>77</x:v>
      </x:c>
      <x:c r="M94" s="13" t="n">
        <x:v>26</x:v>
      </x:c>
    </x:row>
    <x:row r="95" ht="22" customHeight="1">
      <x:c r="A95" s="17" t="str">
        <x:f>"01552500"</x:f>
        <x:v>01552500</x:v>
      </x:c>
      <x:c r="B95" s="13" t="n">
        <x:v>42</x:v>
      </x:c>
      <x:c r="C95" s="22" t="b">
        <x:v>0</x:v>
      </x:c>
      <x:c r="D95" s="11" t="n">
        <x:v>0.17564413954503322</x:v>
      </x:c>
      <x:c r="E95" s="11" t="n">
        <x:v>0.18953834376323997</x:v>
      </x:c>
      <x:c r="F95" s="11" t="n">
        <x:v>0.05337639041818687</x:v>
      </x:c>
      <x:c r="G95" s="11" t="n">
        <x:v>-0.013894204218206752</x:v>
      </x:c>
      <x:c r="H95" s="11" t="n">
        <x:v>0.12226774912684635</x:v>
      </x:c>
      <x:c r="I95" s="11" t="n">
        <x:v>0.6</x:v>
      </x:c>
      <x:c r="J95" s="13" t="n">
        <x:v>20</x:v>
      </x:c>
      <x:c r="K95" s="22" t="b">
        <x:v>0</x:v>
      </x:c>
      <x:c r="L95" s="13" t="n">
        <x:v>95</x:v>
      </x:c>
      <x:c r="M95" s="13" t="n">
        <x:v>31</x:v>
      </x:c>
    </x:row>
    <x:row r="96" ht="22" customHeight="1">
      <x:c r="A96" s="17" t="str">
        <x:f>"01557500"</x:f>
        <x:v>01557500</x:v>
      </x:c>
      <x:c r="B96" s="13" t="n">
        <x:v>42</x:v>
      </x:c>
      <x:c r="C96" s="22" t="b">
        <x:v>1</x:v>
      </x:c>
      <x:c r="D96" s="11" t="n">
        <x:v>0.6097928928988164</x:v>
      </x:c>
      <x:c r="E96" s="11" t="n">
        <x:v>0.5943653926497011</x:v>
      </x:c>
      <x:c r="F96" s="11" t="n">
        <x:v>0.534252227291832</x:v>
      </x:c>
      <x:c r="G96" s="11" t="n">
        <x:v>0.015427500249115322</x:v>
      </x:c>
      <x:c r="H96" s="11" t="n">
        <x:v>0.07554066560698447</x:v>
      </x:c>
      <x:c r="I96" s="11" t="n">
        <x:v>0.7368421052631579</x:v>
      </x:c>
      <x:c r="J96" s="13" t="n">
        <x:v>19</x:v>
      </x:c>
      <x:c r="K96" s="22" t="b">
        <x:v>0</x:v>
      </x:c>
      <x:c r="L96" s="13" t="n">
        <x:v>86</x:v>
      </x:c>
      <x:c r="M96" s="13" t="n">
        <x:v>27</x:v>
      </x:c>
    </x:row>
    <x:row r="97" ht="22" customHeight="1">
      <x:c r="A97" s="17" t="str">
        <x:f>"01557500"</x:f>
        <x:v>01557500</x:v>
      </x:c>
      <x:c r="B97" s="13" t="n">
        <x:v>42</x:v>
      </x:c>
      <x:c r="C97" s="22" t="b">
        <x:v>0</x:v>
      </x:c>
      <x:c r="D97" s="11" t="n">
        <x:v>0.36479513807401986</x:v>
      </x:c>
      <x:c r="E97" s="11" t="n">
        <x:v>0.32018102313157715</x:v>
      </x:c>
      <x:c r="F97" s="11" t="n">
        <x:v>-0.30603696873118524</x:v>
      </x:c>
      <x:c r="G97" s="11" t="n">
        <x:v>0.04461411494244272</x:v>
      </x:c>
      <x:c r="H97" s="11" t="n">
        <x:v>0.6708321068052051</x:v>
      </x:c>
      <x:c r="I97" s="11" t="n">
        <x:v>0.3</x:v>
      </x:c>
      <x:c r="J97" s="13" t="n">
        <x:v>20</x:v>
      </x:c>
      <x:c r="K97" s="22" t="b">
        <x:v>0</x:v>
      </x:c>
      <x:c r="L97" s="13" t="n">
        <x:v>126</x:v>
      </x:c>
      <x:c r="M97" s="13" t="n">
        <x:v>44</x:v>
      </x:c>
    </x:row>
    <x:row r="98" ht="22" customHeight="1">
      <x:c r="A98" s="17" t="str">
        <x:f>"01567500"</x:f>
        <x:v>01567500</x:v>
      </x:c>
      <x:c r="B98" s="13" t="n">
        <x:v>42</x:v>
      </x:c>
      <x:c r="C98" s="22" t="b">
        <x:v>1</x:v>
      </x:c>
      <x:c r="D98" s="11" t="n">
        <x:v>0.2994764381040068</x:v>
      </x:c>
      <x:c r="E98" s="11" t="n">
        <x:v>0.3027545186320535</x:v>
      </x:c>
      <x:c r="F98" s="11" t="n">
        <x:v>0.28458354679203046</x:v>
      </x:c>
      <x:c r="G98" s="11" t="n">
        <x:v>-0.0032780805280466785</x:v>
      </x:c>
      <x:c r="H98" s="11" t="n">
        <x:v>0.014892891311976353</x:v>
      </x:c>
      <x:c r="I98" s="11"/>
      <x:c r="J98" s="13" t="n">
        <x:v>0</x:v>
      </x:c>
      <x:c r="K98" s="22" t="b">
        <x:v>0</x:v>
      </x:c>
      <x:c r="L98" s="13" t="n">
        <x:v>85</x:v>
      </x:c>
      <x:c r="M98" s="13" t="n">
        <x:v>27</x:v>
      </x:c>
    </x:row>
    <x:row r="99" ht="22" customHeight="1">
      <x:c r="A99" s="17" t="str">
        <x:f>"01567500"</x:f>
        <x:v>01567500</x:v>
      </x:c>
      <x:c r="B99" s="13" t="n">
        <x:v>42</x:v>
      </x:c>
      <x:c r="C99" s="22" t="b">
        <x:v>0</x:v>
      </x:c>
      <x:c r="D99" s="11" t="n">
        <x:v>0.12009323932485683</x:v>
      </x:c>
      <x:c r="E99" s="11" t="n">
        <x:v>0.11050750096404749</x:v>
      </x:c>
      <x:c r="F99" s="11" t="n">
        <x:v>-0.09052990780607506</x:v>
      </x:c>
      <x:c r="G99" s="11" t="n">
        <x:v>0.009585738360809337</x:v>
      </x:c>
      <x:c r="H99" s="11" t="n">
        <x:v>0.2106231471309319</x:v>
      </x:c>
      <x:c r="I99" s="11" t="n">
        <x:v>0.8</x:v>
      </x:c>
      <x:c r="J99" s="13" t="n">
        <x:v>20</x:v>
      </x:c>
      <x:c r="K99" s="22" t="b">
        <x:v>1</x:v>
      </x:c>
      <x:c r="L99" s="13" t="n">
        <x:v>139</x:v>
      </x:c>
      <x:c r="M99" s="13" t="n">
        <x:v>51</x:v>
      </x:c>
    </x:row>
    <x:row r="100" ht="22" customHeight="1">
      <x:c r="A100" s="17" t="str">
        <x:f>"01568000"</x:f>
        <x:v>01568000</x:v>
      </x:c>
      <x:c r="B100" s="13" t="n">
        <x:v>42</x:v>
      </x:c>
      <x:c r="C100" s="22" t="b">
        <x:v>1</x:v>
      </x:c>
      <x:c r="D100" s="11" t="n">
        <x:v>0.40189696108264195</x:v>
      </x:c>
      <x:c r="E100" s="11" t="n">
        <x:v>0.39843781982403914</x:v>
      </x:c>
      <x:c r="F100" s="11" t="n">
        <x:v>0.30246367751100334</x:v>
      </x:c>
      <x:c r="G100" s="11" t="n">
        <x:v>0.0034591412586028047</x:v>
      </x:c>
      <x:c r="H100" s="11" t="n">
        <x:v>0.09943328357163861</x:v>
      </x:c>
      <x:c r="I100" s="11" t="n">
        <x:v>0.95</x:v>
      </x:c>
      <x:c r="J100" s="13" t="n">
        <x:v>20</x:v>
      </x:c>
      <x:c r="K100" s="22" t="b">
        <x:v>1</x:v>
      </x:c>
      <x:c r="L100" s="13" t="n">
        <x:v>121</x:v>
      </x:c>
      <x:c r="M100" s="13" t="n">
        <x:v>41</x:v>
      </x:c>
    </x:row>
    <x:row r="101" ht="22" customHeight="1">
      <x:c r="A101" s="17" t="str">
        <x:f>"01568000"</x:f>
        <x:v>01568000</x:v>
      </x:c>
      <x:c r="B101" s="13" t="n">
        <x:v>42</x:v>
      </x:c>
      <x:c r="C101" s="22" t="b">
        <x:v>0</x:v>
      </x:c>
      <x:c r="D101" s="11" t="n">
        <x:v>0.22203828993480124</x:v>
      </x:c>
      <x:c r="E101" s="11" t="n">
        <x:v>0.22041806370124295</x:v>
      </x:c>
      <x:c r="F101" s="11" t="n">
        <x:v>-0.13323210469233748</x:v>
      </x:c>
      <x:c r="G101" s="11" t="n">
        <x:v>0.0016202262335582862</x:v>
      </x:c>
      <x:c r="H101" s="11" t="n">
        <x:v>0.3552703946271387</x:v>
      </x:c>
      <x:c r="I101" s="11" t="n">
        <x:v>0.125</x:v>
      </x:c>
      <x:c r="J101" s="13" t="n">
        <x:v>16</x:v>
      </x:c>
      <x:c r="K101" s="22" t="b">
        <x:v>0</x:v>
      </x:c>
      <x:c r="L101" s="13" t="n">
        <x:v>105</x:v>
      </x:c>
      <x:c r="M101" s="13" t="n">
        <x:v>34</x:v>
      </x:c>
    </x:row>
    <x:row r="102" ht="22" customHeight="1">
      <x:c r="A102" s="17" t="str">
        <x:f>"01580000"</x:f>
        <x:v>01580000</x:v>
      </x:c>
      <x:c r="B102" s="13" t="n">
        <x:v>42</x:v>
      </x:c>
      <x:c r="C102" s="22" t="b">
        <x:v>1</x:v>
      </x:c>
      <x:c r="D102" s="11" t="n">
        <x:v>0.24634503970160282</x:v>
      </x:c>
      <x:c r="E102" s="11" t="n">
        <x:v>0.24447992917284722</x:v>
      </x:c>
      <x:c r="F102" s="11" t="n">
        <x:v>0.24703823970793626</x:v>
      </x:c>
      <x:c r="G102" s="11" t="n">
        <x:v>0.001865110528755598</x:v>
      </x:c>
      <x:c r="H102" s="11" t="n">
        <x:v>-0.0006932000063334387</x:v>
      </x:c>
      <x:c r="I102" s="11" t="n">
        <x:v>0</x:v>
      </x:c>
      <x:c r="J102" s="13" t="n">
        <x:v>12</x:v>
      </x:c>
      <x:c r="K102" s="22" t="b">
        <x:v>0</x:v>
      </x:c>
      <x:c r="L102" s="13" t="n">
        <x:v>34</x:v>
      </x:c>
      <x:c r="M102" s="13" t="n">
        <x:v>13</x:v>
      </x:c>
    </x:row>
    <x:row r="103" ht="22" customHeight="1">
      <x:c r="A103" s="17" t="str">
        <x:f>"01580000"</x:f>
        <x:v>01580000</x:v>
      </x:c>
      <x:c r="B103" s="13" t="n">
        <x:v>42</x:v>
      </x:c>
      <x:c r="C103" s="22" t="b">
        <x:v>0</x:v>
      </x:c>
      <x:c r="D103" s="11" t="n">
        <x:v>0.12225109033772441</x:v>
      </x:c>
      <x:c r="E103" s="11" t="n">
        <x:v>0.13847919257659447</x:v>
      </x:c>
      <x:c r="F103" s="11" t="n">
        <x:v>0.1656100535419266</x:v>
      </x:c>
      <x:c r="G103" s="11" t="n">
        <x:v>-0.016228102238870057</x:v>
      </x:c>
      <x:c r="H103" s="11" t="n">
        <x:v>-0.04335896320420218</x:v>
      </x:c>
      <x:c r="I103" s="11" t="n">
        <x:v>0.4444444444444444</x:v>
      </x:c>
      <x:c r="J103" s="13" t="n">
        <x:v>18</x:v>
      </x:c>
      <x:c r="K103" s="22" t="b">
        <x:v>0</x:v>
      </x:c>
      <x:c r="L103" s="13" t="n">
        <x:v>66</x:v>
      </x:c>
      <x:c r="M103" s="13" t="n">
        <x:v>22</x:v>
      </x:c>
    </x:row>
    <x:row r="104" ht="22" customHeight="1">
      <x:c r="A104" s="17" t="str">
        <x:f>"01583500"</x:f>
        <x:v>01583500</x:v>
      </x:c>
      <x:c r="B104" s="13" t="n">
        <x:v>42</x:v>
      </x:c>
      <x:c r="C104" s="22" t="b">
        <x:v>1</x:v>
      </x:c>
      <x:c r="D104" s="11" t="n">
        <x:v>0.16399081667904658</x:v>
      </x:c>
      <x:c r="E104" s="11" t="n">
        <x:v>0.16946022091537727</x:v>
      </x:c>
      <x:c r="F104" s="11" t="n">
        <x:v>0.16611096845351303</x:v>
      </x:c>
      <x:c r="G104" s="11" t="n">
        <x:v>-0.005469404236330688</x:v>
      </x:c>
      <x:c r="H104" s="11" t="n">
        <x:v>-0.00212015177446645</x:v>
      </x:c>
      <x:c r="I104" s="11" t="n">
        <x:v>1</x:v>
      </x:c>
      <x:c r="J104" s="13" t="n">
        <x:v>10</x:v>
      </x:c>
      <x:c r="K104" s="22" t="b">
        <x:v>0</x:v>
      </x:c>
      <x:c r="L104" s="13" t="n">
        <x:v>23</x:v>
      </x:c>
      <x:c r="M104" s="13" t="n">
        <x:v>9</x:v>
      </x:c>
    </x:row>
    <x:row r="105" ht="22" customHeight="1">
      <x:c r="A105" s="17" t="str">
        <x:f>"01583500"</x:f>
        <x:v>01583500</x:v>
      </x:c>
      <x:c r="B105" s="13" t="n">
        <x:v>42</x:v>
      </x:c>
      <x:c r="C105" s="22" t="b">
        <x:v>0</x:v>
      </x:c>
      <x:c r="D105" s="11" t="n">
        <x:v>0.09375357083267366</x:v>
      </x:c>
      <x:c r="E105" s="11" t="n">
        <x:v>0.10165901686461887</x:v>
      </x:c>
      <x:c r="F105" s="11" t="n">
        <x:v>0.11310350961583404</x:v>
      </x:c>
      <x:c r="G105" s="11" t="n">
        <x:v>-0.007905446031945207</x:v>
      </x:c>
      <x:c r="H105" s="11" t="n">
        <x:v>-0.01934993878316038</x:v>
      </x:c>
      <x:c r="I105" s="11" t="n">
        <x:v>1</x:v>
      </x:c>
      <x:c r="J105" s="13" t="n">
        <x:v>10</x:v>
      </x:c>
      <x:c r="K105" s="22" t="b">
        <x:v>0</x:v>
      </x:c>
      <x:c r="L105" s="13" t="n">
        <x:v>45</x:v>
      </x:c>
      <x:c r="M105" s="13" t="n">
        <x:v>16</x:v>
      </x:c>
    </x:row>
    <x:row r="106" ht="22" customHeight="1">
      <x:c r="A106" s="17" t="str">
        <x:f>"01591400"</x:f>
        <x:v>01591400</x:v>
      </x:c>
      <x:c r="B106" s="13" t="n">
        <x:v>42</x:v>
      </x:c>
      <x:c r="C106" s="22" t="b">
        <x:v>1</x:v>
      </x:c>
      <x:c r="D106" s="11" t="n">
        <x:v>0.16764888954379298</x:v>
      </x:c>
      <x:c r="E106" s="11" t="n">
        <x:v>0.1385888910940396</x:v>
      </x:c>
      <x:c r="F106" s="11" t="n">
        <x:v>0.14936421478182738</x:v>
      </x:c>
      <x:c r="G106" s="11" t="n">
        <x:v>0.029059998449753377</x:v>
      </x:c>
      <x:c r="H106" s="11" t="n">
        <x:v>0.018284674761965602</x:v>
      </x:c>
      <x:c r="I106" s="11"/>
      <x:c r="J106" s="13" t="n">
        <x:v>0</x:v>
      </x:c>
      <x:c r="K106" s="22" t="b">
        <x:v>0</x:v>
      </x:c>
      <x:c r="L106" s="13" t="n">
        <x:v>42</x:v>
      </x:c>
      <x:c r="M106" s="13" t="n">
        <x:v>16</x:v>
      </x:c>
    </x:row>
    <x:row r="107" ht="22" customHeight="1">
      <x:c r="A107" s="17" t="str">
        <x:f>"01591400"</x:f>
        <x:v>01591400</x:v>
      </x:c>
      <x:c r="B107" s="13" t="n">
        <x:v>42</x:v>
      </x:c>
      <x:c r="C107" s="22" t="b">
        <x:v>0</x:v>
      </x:c>
      <x:c r="D107" s="11" t="n">
        <x:v>0.11725080676554955</x:v>
      </x:c>
      <x:c r="E107" s="11" t="n">
        <x:v>0.1012572878173783</x:v>
      </x:c>
      <x:c r="F107" s="11" t="n">
        <x:v>0.11964515744337145</x:v>
      </x:c>
      <x:c r="G107" s="11" t="n">
        <x:v>0.015993518948171248</x:v>
      </x:c>
      <x:c r="H107" s="11" t="n">
        <x:v>-0.0023943506778218993</x:v>
      </x:c>
      <x:c r="I107" s="11" t="n">
        <x:v>1</x:v>
      </x:c>
      <x:c r="J107" s="13" t="n">
        <x:v>10</x:v>
      </x:c>
      <x:c r="K107" s="22" t="b">
        <x:v>0</x:v>
      </x:c>
      <x:c r="L107" s="13" t="n">
        <x:v>51</x:v>
      </x:c>
      <x:c r="M107" s="13" t="n">
        <x:v>18</x:v>
      </x:c>
    </x:row>
    <x:row r="108" ht="22" customHeight="1">
      <x:c r="A108" s="17" t="str">
        <x:f>"01596500"</x:f>
        <x:v>01596500</x:v>
      </x:c>
      <x:c r="B108" s="13" t="n">
        <x:v>42</x:v>
      </x:c>
      <x:c r="C108" s="22" t="b">
        <x:v>1</x:v>
      </x:c>
      <x:c r="D108" s="11" t="n">
        <x:v>0.6274815119717239</x:v>
      </x:c>
      <x:c r="E108" s="11" t="n">
        <x:v>0.6071373730336082</x:v>
      </x:c>
      <x:c r="F108" s="11" t="n">
        <x:v>0.62052379723112</x:v>
      </x:c>
      <x:c r="G108" s="11" t="n">
        <x:v>0.020344138938115708</x:v>
      </x:c>
      <x:c r="H108" s="11" t="n">
        <x:v>0.006957714740603915</x:v>
      </x:c>
      <x:c r="I108" s="11" t="n">
        <x:v>1</x:v>
      </x:c>
      <x:c r="J108" s="13" t="n">
        <x:v>16</x:v>
      </x:c>
      <x:c r="K108" s="22" t="b">
        <x:v>0</x:v>
      </x:c>
      <x:c r="L108" s="13" t="n">
        <x:v>75</x:v>
      </x:c>
      <x:c r="M108" s="13" t="n">
        <x:v>25</x:v>
      </x:c>
    </x:row>
    <x:row r="109" ht="22" customHeight="1">
      <x:c r="A109" s="17" t="str">
        <x:f>"01596500"</x:f>
        <x:v>01596500</x:v>
      </x:c>
      <x:c r="B109" s="13" t="n">
        <x:v>42</x:v>
      </x:c>
      <x:c r="C109" s="22" t="b">
        <x:v>0</x:v>
      </x:c>
      <x:c r="D109" s="11" t="n">
        <x:v>0.3960740608927409</x:v>
      </x:c>
      <x:c r="E109" s="11" t="n">
        <x:v>0.37679347503764693</x:v>
      </x:c>
      <x:c r="F109" s="11" t="n">
        <x:v>0.005261753873313624</x:v>
      </x:c>
      <x:c r="G109" s="11" t="n">
        <x:v>0.019280585855093957</x:v>
      </x:c>
      <x:c r="H109" s="11" t="n">
        <x:v>0.39081230701942726</x:v>
      </x:c>
      <x:c r="I109" s="11" t="n">
        <x:v>0.8</x:v>
      </x:c>
      <x:c r="J109" s="13" t="n">
        <x:v>20</x:v>
      </x:c>
      <x:c r="K109" s="22" t="b">
        <x:v>1</x:v>
      </x:c>
      <x:c r="L109" s="13" t="n">
        <x:v>162</x:v>
      </x:c>
      <x:c r="M109" s="13" t="n">
        <x:v>67</x:v>
      </x:c>
    </x:row>
    <x:row r="110" ht="22" customHeight="1">
      <x:c r="A110" s="17" t="str">
        <x:f>"01613050"</x:f>
        <x:v>01613050</x:v>
      </x:c>
      <x:c r="B110" s="13" t="n">
        <x:v>42</x:v>
      </x:c>
      <x:c r="C110" s="22" t="b">
        <x:v>1</x:v>
      </x:c>
      <x:c r="D110" s="11" t="n">
        <x:v>0.5643944505768219</x:v>
      </x:c>
      <x:c r="E110" s="11" t="n">
        <x:v>0.4926981011017513</x:v>
      </x:c>
      <x:c r="F110" s="11" t="n">
        <x:v>0.5496113074825303</x:v>
      </x:c>
      <x:c r="G110" s="11" t="n">
        <x:v>0.07169634947507064</x:v>
      </x:c>
      <x:c r="H110" s="11" t="n">
        <x:v>0.014783143094291629</x:v>
      </x:c>
      <x:c r="I110" s="11" t="n">
        <x:v>1</x:v>
      </x:c>
      <x:c r="J110" s="13" t="n">
        <x:v>19</x:v>
      </x:c>
      <x:c r="K110" s="22" t="b">
        <x:v>0</x:v>
      </x:c>
      <x:c r="L110" s="13" t="n">
        <x:v>88</x:v>
      </x:c>
      <x:c r="M110" s="13" t="n">
        <x:v>28</x:v>
      </x:c>
    </x:row>
    <x:row r="111" ht="22" customHeight="1">
      <x:c r="A111" s="17" t="str">
        <x:f>"01613050"</x:f>
        <x:v>01613050</x:v>
      </x:c>
      <x:c r="B111" s="13" t="n">
        <x:v>42</x:v>
      </x:c>
      <x:c r="C111" s="22" t="b">
        <x:v>0</x:v>
      </x:c>
      <x:c r="D111" s="11" t="n">
        <x:v>0.28485314238142856</x:v>
      </x:c>
      <x:c r="E111" s="11" t="n">
        <x:v>0.2641045350488046</x:v>
      </x:c>
      <x:c r="F111" s="11" t="n">
        <x:v>0.23120975572503422</x:v>
      </x:c>
      <x:c r="G111" s="11" t="n">
        <x:v>0.02074860733262396</x:v>
      </x:c>
      <x:c r="H111" s="11" t="n">
        <x:v>0.05364338665639434</x:v>
      </x:c>
      <x:c r="I111" s="11" t="n">
        <x:v>0.95</x:v>
      </x:c>
      <x:c r="J111" s="13" t="n">
        <x:v>20</x:v>
      </x:c>
      <x:c r="K111" s="22" t="b">
        <x:v>1</x:v>
      </x:c>
      <x:c r="L111" s="13" t="n">
        <x:v>148</x:v>
      </x:c>
      <x:c r="M111" s="13" t="n">
        <x:v>57</x:v>
      </x:c>
    </x:row>
    <x:row r="112" ht="22" customHeight="1">
      <x:c r="A112" s="17" t="str">
        <x:f>"01620500"</x:f>
        <x:v>01620500</x:v>
      </x:c>
      <x:c r="B112" s="13" t="n">
        <x:v>42</x:v>
      </x:c>
      <x:c r="C112" s="22" t="b">
        <x:v>1</x:v>
      </x:c>
      <x:c r="D112" s="11" t="n">
        <x:v>0.445042685532441</x:v>
      </x:c>
      <x:c r="E112" s="11" t="n">
        <x:v>0.2722241211623938</x:v>
      </x:c>
      <x:c r="F112" s="11" t="n">
        <x:v>0.06555259444087735</x:v>
      </x:c>
      <x:c r="G112" s="11" t="n">
        <x:v>0.17281856437004717</x:v>
      </x:c>
      <x:c r="H112" s="11" t="n">
        <x:v>0.3794900910915636</x:v>
      </x:c>
      <x:c r="I112" s="11" t="n">
        <x:v>1</x:v>
      </x:c>
      <x:c r="J112" s="13" t="n">
        <x:v>19</x:v>
      </x:c>
      <x:c r="K112" s="22" t="b">
        <x:v>0</x:v>
      </x:c>
      <x:c r="L112" s="13" t="n">
        <x:v>107</x:v>
      </x:c>
      <x:c r="M112" s="13" t="n">
        <x:v>35</x:v>
      </x:c>
    </x:row>
    <x:row r="113" ht="22" customHeight="1">
      <x:c r="A113" s="17" t="str">
        <x:f>"01620500"</x:f>
        <x:v>01620500</x:v>
      </x:c>
      <x:c r="B113" s="13" t="n">
        <x:v>42</x:v>
      </x:c>
      <x:c r="C113" s="22" t="b">
        <x:v>0</x:v>
      </x:c>
      <x:c r="D113" s="11" t="n">
        <x:v>0.23164198074842302</x:v>
      </x:c>
      <x:c r="E113" s="11" t="n">
        <x:v>0.1568165936148871</x:v>
      </x:c>
      <x:c r="F113" s="11" t="n">
        <x:v>0.09012121756546121</x:v>
      </x:c>
      <x:c r="G113" s="11" t="n">
        <x:v>0.07482538713353593</x:v>
      </x:c>
      <x:c r="H113" s="11" t="n">
        <x:v>0.1415207631829618</x:v>
      </x:c>
      <x:c r="I113" s="11" t="n">
        <x:v>1</x:v>
      </x:c>
      <x:c r="J113" s="13" t="n">
        <x:v>15</x:v>
      </x:c>
      <x:c r="K113" s="22" t="b">
        <x:v>0</x:v>
      </x:c>
      <x:c r="L113" s="13" t="n">
        <x:v>102</x:v>
      </x:c>
      <x:c r="M113" s="13" t="n">
        <x:v>33</x:v>
      </x:c>
    </x:row>
    <x:row r="114" ht="22" customHeight="1">
      <x:c r="A114" s="17" t="str">
        <x:f>"01634500"</x:f>
        <x:v>01634500</x:v>
      </x:c>
      <x:c r="B114" s="13" t="n">
        <x:v>42</x:v>
      </x:c>
      <x:c r="C114" s="22" t="b">
        <x:v>1</x:v>
      </x:c>
      <x:c r="D114" s="11" t="n">
        <x:v>0.3823896490203692</x:v>
      </x:c>
      <x:c r="E114" s="11" t="n">
        <x:v>0.4032648270252842</x:v>
      </x:c>
      <x:c r="F114" s="11" t="n">
        <x:v>0.35162506871677157</x:v>
      </x:c>
      <x:c r="G114" s="11" t="n">
        <x:v>-0.020875178004915007</x:v>
      </x:c>
      <x:c r="H114" s="11" t="n">
        <x:v>0.030764580303597633</x:v>
      </x:c>
      <x:c r="I114" s="11" t="n">
        <x:v>1</x:v>
      </x:c>
      <x:c r="J114" s="13" t="n">
        <x:v>8</x:v>
      </x:c>
      <x:c r="K114" s="22" t="b">
        <x:v>1</x:v>
      </x:c>
      <x:c r="L114" s="13" t="n">
        <x:v>67</x:v>
      </x:c>
      <x:c r="M114" s="13" t="n">
        <x:v>22</x:v>
      </x:c>
    </x:row>
    <x:row r="115" ht="22" customHeight="1">
      <x:c r="A115" s="17" t="str">
        <x:f>"01634500"</x:f>
        <x:v>01634500</x:v>
      </x:c>
      <x:c r="B115" s="13" t="n">
        <x:v>42</x:v>
      </x:c>
      <x:c r="C115" s="22" t="b">
        <x:v>0</x:v>
      </x:c>
      <x:c r="D115" s="11" t="n">
        <x:v>0.12734083167891896</x:v>
      </x:c>
      <x:c r="E115" s="11" t="n">
        <x:v>0.134572607163586</x:v>
      </x:c>
      <x:c r="F115" s="11" t="n">
        <x:v>0.09366636157646713</x:v>
      </x:c>
      <x:c r="G115" s="11" t="n">
        <x:v>-0.007231775484667025</x:v>
      </x:c>
      <x:c r="H115" s="11" t="n">
        <x:v>0.03367447010245184</x:v>
      </x:c>
      <x:c r="I115" s="11" t="n">
        <x:v>0.25</x:v>
      </x:c>
      <x:c r="J115" s="13" t="n">
        <x:v>20</x:v>
      </x:c>
      <x:c r="K115" s="22" t="b">
        <x:v>0</x:v>
      </x:c>
      <x:c r="L115" s="13" t="n">
        <x:v>94</x:v>
      </x:c>
      <x:c r="M115" s="13" t="n">
        <x:v>33</x:v>
      </x:c>
    </x:row>
    <x:row r="116" ht="22" customHeight="1">
      <x:c r="A116" s="17" t="str">
        <x:f>"01638480"</x:f>
        <x:v>01638480</x:v>
      </x:c>
      <x:c r="B116" s="13" t="n">
        <x:v>42</x:v>
      </x:c>
      <x:c r="C116" s="22" t="b">
        <x:v>1</x:v>
      </x:c>
      <x:c r="D116" s="11" t="n">
        <x:v>0.32850516650743466</x:v>
      </x:c>
      <x:c r="E116" s="11" t="n">
        <x:v>0.28581004537583254</x:v>
      </x:c>
      <x:c r="F116" s="11" t="n">
        <x:v>0.318000414440624</x:v>
      </x:c>
      <x:c r="G116" s="11" t="n">
        <x:v>0.04269512113160212</x:v>
      </x:c>
      <x:c r="H116" s="11" t="n">
        <x:v>0.010504752066810674</x:v>
      </x:c>
      <x:c r="I116" s="11" t="n">
        <x:v>1</x:v>
      </x:c>
      <x:c r="J116" s="13" t="n">
        <x:v>12</x:v>
      </x:c>
      <x:c r="K116" s="22" t="b">
        <x:v>0</x:v>
      </x:c>
      <x:c r="L116" s="13" t="n">
        <x:v>87</x:v>
      </x:c>
      <x:c r="M116" s="13" t="n">
        <x:v>28</x:v>
      </x:c>
    </x:row>
    <x:row r="117" ht="22" customHeight="1">
      <x:c r="A117" s="17" t="str">
        <x:f>"01638480"</x:f>
        <x:v>01638480</x:v>
      </x:c>
      <x:c r="B117" s="13" t="n">
        <x:v>42</x:v>
      </x:c>
      <x:c r="C117" s="22" t="b">
        <x:v>0</x:v>
      </x:c>
      <x:c r="D117" s="11" t="n">
        <x:v>0.12406286127116206</x:v>
      </x:c>
      <x:c r="E117" s="11" t="n">
        <x:v>0.14254456056006792</x:v>
      </x:c>
      <x:c r="F117" s="11" t="n">
        <x:v>0.12028115843889309</x:v>
      </x:c>
      <x:c r="G117" s="11" t="n">
        <x:v>-0.018481699288905862</x:v>
      </x:c>
      <x:c r="H117" s="11" t="n">
        <x:v>0.003781702832268974</x:v>
      </x:c>
      <x:c r="I117" s="11" t="n">
        <x:v>0.625</x:v>
      </x:c>
      <x:c r="J117" s="13" t="n">
        <x:v>16</x:v>
      </x:c>
      <x:c r="K117" s="22" t="b">
        <x:v>0</x:v>
      </x:c>
      <x:c r="L117" s="13" t="n">
        <x:v>75</x:v>
      </x:c>
      <x:c r="M117" s="13" t="n">
        <x:v>25</x:v>
      </x:c>
    </x:row>
    <x:row r="118" ht="22" customHeight="1">
      <x:c r="A118" s="17" t="str">
        <x:f>"01639500"</x:f>
        <x:v>01639500</x:v>
      </x:c>
      <x:c r="B118" s="13" t="n">
        <x:v>42</x:v>
      </x:c>
      <x:c r="C118" s="22" t="b">
        <x:v>1</x:v>
      </x:c>
      <x:c r="D118" s="11" t="n">
        <x:v>0.28751341325871305</x:v>
      </x:c>
      <x:c r="E118" s="11" t="n">
        <x:v>0.24559121321349675</x:v>
      </x:c>
      <x:c r="F118" s="11" t="n">
        <x:v>0.29561160827361843</x:v>
      </x:c>
      <x:c r="G118" s="11" t="n">
        <x:v>0.041922200045216296</x:v>
      </x:c>
      <x:c r="H118" s="11" t="n">
        <x:v>-0.008098195014905385</x:v>
      </x:c>
      <x:c r="I118" s="11" t="n">
        <x:v>0.7222222222222222</x:v>
      </x:c>
      <x:c r="J118" s="13" t="n">
        <x:v>18</x:v>
      </x:c>
      <x:c r="K118" s="22" t="b">
        <x:v>0</x:v>
      </x:c>
      <x:c r="L118" s="13" t="n">
        <x:v>105</x:v>
      </x:c>
      <x:c r="M118" s="13" t="n">
        <x:v>34</x:v>
      </x:c>
    </x:row>
    <x:row r="119" ht="22" customHeight="1">
      <x:c r="A119" s="17" t="str">
        <x:f>"01639500"</x:f>
        <x:v>01639500</x:v>
      </x:c>
      <x:c r="B119" s="13" t="n">
        <x:v>42</x:v>
      </x:c>
      <x:c r="C119" s="22" t="b">
        <x:v>0</x:v>
      </x:c>
      <x:c r="D119" s="11" t="n">
        <x:v>0.15931990297809528</x:v>
      </x:c>
      <x:c r="E119" s="11" t="n">
        <x:v>0.1613341596285086</x:v>
      </x:c>
      <x:c r="F119" s="11" t="n">
        <x:v>0.13154538416134431</x:v>
      </x:c>
      <x:c r="G119" s="11" t="n">
        <x:v>-0.0020142566504133264</x:v>
      </x:c>
      <x:c r="H119" s="11" t="n">
        <x:v>0.02777451881675097</x:v>
      </x:c>
      <x:c r="I119" s="11" t="n">
        <x:v>0.95</x:v>
      </x:c>
      <x:c r="J119" s="13" t="n">
        <x:v>20</x:v>
      </x:c>
      <x:c r="K119" s="22" t="b">
        <x:v>1</x:v>
      </x:c>
      <x:c r="L119" s="13" t="n">
        <x:v>86</x:v>
      </x:c>
      <x:c r="M119" s="13" t="n">
        <x:v>27</x:v>
      </x:c>
    </x:row>
    <x:row r="120" ht="22" customHeight="1">
      <x:c r="A120" s="17" t="str">
        <x:f>"01644000"</x:f>
        <x:v>01644000</x:v>
      </x:c>
      <x:c r="B120" s="13" t="n">
        <x:v>42</x:v>
      </x:c>
      <x:c r="C120" s="22" t="b">
        <x:v>1</x:v>
      </x:c>
      <x:c r="D120" s="11" t="n">
        <x:v>0.39297405504271643</x:v>
      </x:c>
      <x:c r="E120" s="11" t="n">
        <x:v>0.3987304149388917</x:v>
      </x:c>
      <x:c r="F120" s="11" t="n">
        <x:v>0.3556128010474682</x:v>
      </x:c>
      <x:c r="G120" s="11" t="n">
        <x:v>-0.005756359896175289</x:v>
      </x:c>
      <x:c r="H120" s="11" t="n">
        <x:v>0.037361253995248256</x:v>
      </x:c>
      <x:c r="I120" s="11"/>
      <x:c r="J120" s="13" t="n">
        <x:v>0</x:v>
      </x:c>
      <x:c r="K120" s="22" t="b">
        <x:v>0</x:v>
      </x:c>
      <x:c r="L120" s="13" t="n">
        <x:v>76</x:v>
      </x:c>
      <x:c r="M120" s="13" t="n">
        <x:v>25</x:v>
      </x:c>
    </x:row>
    <x:row r="121" ht="22" customHeight="1">
      <x:c r="A121" s="17" t="str">
        <x:f>"01644000"</x:f>
        <x:v>01644000</x:v>
      </x:c>
      <x:c r="B121" s="13" t="n">
        <x:v>42</x:v>
      </x:c>
      <x:c r="C121" s="22" t="b">
        <x:v>0</x:v>
      </x:c>
      <x:c r="D121" s="11" t="n">
        <x:v>0.21153495998281013</x:v>
      </x:c>
      <x:c r="E121" s="11" t="n">
        <x:v>0.13549396722292295</x:v>
      </x:c>
      <x:c r="F121" s="11" t="n">
        <x:v>0.14779459053673505</x:v>
      </x:c>
      <x:c r="G121" s="11" t="n">
        <x:v>0.07604099275988718</x:v>
      </x:c>
      <x:c r="H121" s="11" t="n">
        <x:v>0.06374036944607508</x:v>
      </x:c>
      <x:c r="I121" s="11" t="n">
        <x:v>0.15789473684210525</x:v>
      </x:c>
      <x:c r="J121" s="13" t="n">
        <x:v>19</x:v>
      </x:c>
      <x:c r="K121" s="22" t="b">
        <x:v>0</x:v>
      </x:c>
      <x:c r="L121" s="13" t="n">
        <x:v>105</x:v>
      </x:c>
      <x:c r="M121" s="13" t="n">
        <x:v>34</x:v>
      </x:c>
    </x:row>
    <x:row r="122" ht="22" customHeight="1">
      <x:c r="A122" s="17" t="str">
        <x:f>"01658500"</x:f>
        <x:v>01658500</x:v>
      </x:c>
      <x:c r="B122" s="13" t="n">
        <x:v>42</x:v>
      </x:c>
      <x:c r="C122" s="22" t="b">
        <x:v>1</x:v>
      </x:c>
      <x:c r="D122" s="11" t="n">
        <x:v>0.2004745268040945</x:v>
      </x:c>
      <x:c r="E122" s="11" t="n">
        <x:v>0.1682092154635062</x:v>
      </x:c>
      <x:c r="F122" s="11" t="n">
        <x:v>0.18158159368698057</x:v>
      </x:c>
      <x:c r="G122" s="11" t="n">
        <x:v>0.0322653113405883</x:v>
      </x:c>
      <x:c r="H122" s="11" t="n">
        <x:v>0.01889293311711393</x:v>
      </x:c>
      <x:c r="I122" s="11" t="n">
        <x:v>1</x:v>
      </x:c>
      <x:c r="J122" s="13" t="n">
        <x:v>15</x:v>
      </x:c>
      <x:c r="K122" s="22" t="b">
        <x:v>0</x:v>
      </x:c>
      <x:c r="L122" s="13" t="n">
        <x:v>64</x:v>
      </x:c>
      <x:c r="M122" s="13" t="n">
        <x:v>21</x:v>
      </x:c>
    </x:row>
    <x:row r="123" ht="22" customHeight="1">
      <x:c r="A123" s="17" t="str">
        <x:f>"01658500"</x:f>
        <x:v>01658500</x:v>
      </x:c>
      <x:c r="B123" s="13" t="n">
        <x:v>42</x:v>
      </x:c>
      <x:c r="C123" s="22" t="b">
        <x:v>0</x:v>
      </x:c>
      <x:c r="D123" s="11" t="n">
        <x:v>0.15182048344780574</x:v>
      </x:c>
      <x:c r="E123" s="11" t="n">
        <x:v>0.07576560106649166</x:v>
      </x:c>
      <x:c r="F123" s="11" t="n">
        <x:v>0.14863845773123374</x:v>
      </x:c>
      <x:c r="G123" s="11" t="n">
        <x:v>0.07605488238131408</x:v>
      </x:c>
      <x:c r="H123" s="11" t="n">
        <x:v>0.003182025716572001</x:v>
      </x:c>
      <x:c r="I123" s="11" t="n">
        <x:v>0.10526315789473684</x:v>
      </x:c>
      <x:c r="J123" s="13" t="n">
        <x:v>19</x:v>
      </x:c>
      <x:c r="K123" s="22" t="b">
        <x:v>0</x:v>
      </x:c>
      <x:c r="L123" s="13" t="n">
        <x:v>87</x:v>
      </x:c>
      <x:c r="M123" s="13" t="n">
        <x:v>28</x:v>
      </x:c>
    </x:row>
    <x:row r="124" ht="22" customHeight="1">
      <x:c r="A124" s="17" t="str">
        <x:f>"01664000"</x:f>
        <x:v>01664000</x:v>
      </x:c>
      <x:c r="B124" s="13" t="n">
        <x:v>42</x:v>
      </x:c>
      <x:c r="C124" s="22" t="b">
        <x:v>1</x:v>
      </x:c>
      <x:c r="D124" s="11" t="n">
        <x:v>0.5110492426073768</x:v>
      </x:c>
      <x:c r="E124" s="11" t="n">
        <x:v>0.47157141389469437</x:v>
      </x:c>
      <x:c r="F124" s="11" t="n">
        <x:v>0.4327126961732014</x:v>
      </x:c>
      <x:c r="G124" s="11" t="n">
        <x:v>0.03947782871268246</x:v>
      </x:c>
      <x:c r="H124" s="11" t="n">
        <x:v>0.07833654643417542</x:v>
      </x:c>
      <x:c r="I124" s="11" t="n">
        <x:v>1</x:v>
      </x:c>
      <x:c r="J124" s="13" t="n">
        <x:v>18</x:v>
      </x:c>
      <x:c r="K124" s="22" t="b">
        <x:v>1</x:v>
      </x:c>
      <x:c r="L124" s="13" t="n">
        <x:v>115</x:v>
      </x:c>
      <x:c r="M124" s="13" t="n">
        <x:v>38</x:v>
      </x:c>
    </x:row>
    <x:row r="125" ht="22" customHeight="1">
      <x:c r="A125" s="17" t="str">
        <x:f>"01664000"</x:f>
        <x:v>01664000</x:v>
      </x:c>
      <x:c r="B125" s="13" t="n">
        <x:v>42</x:v>
      </x:c>
      <x:c r="C125" s="22" t="b">
        <x:v>0</x:v>
      </x:c>
      <x:c r="D125" s="11" t="n">
        <x:v>0.389025329517951</x:v>
      </x:c>
      <x:c r="E125" s="11" t="n">
        <x:v>0.30512545406435887</x:v>
      </x:c>
      <x:c r="F125" s="11" t="n">
        <x:v>0.19560170458478876</x:v>
      </x:c>
      <x:c r="G125" s="11" t="n">
        <x:v>0.08389987545359212</x:v>
      </x:c>
      <x:c r="H125" s="11" t="n">
        <x:v>0.19342362493316223</x:v>
      </x:c>
      <x:c r="I125" s="11" t="n">
        <x:v>0.9</x:v>
      </x:c>
      <x:c r="J125" s="13" t="n">
        <x:v>20</x:v>
      </x:c>
      <x:c r="K125" s="22" t="b">
        <x:v>0</x:v>
      </x:c>
      <x:c r="L125" s="13" t="n">
        <x:v>132</x:v>
      </x:c>
      <x:c r="M125" s="13" t="n">
        <x:v>47</x:v>
      </x:c>
    </x:row>
    <x:row r="126" ht="22" customHeight="1">
      <x:c r="A126" s="17" t="str">
        <x:f>"01666500"</x:f>
        <x:v>01666500</x:v>
      </x:c>
      <x:c r="B126" s="13" t="n">
        <x:v>42</x:v>
      </x:c>
      <x:c r="C126" s="22" t="b">
        <x:v>1</x:v>
      </x:c>
      <x:c r="D126" s="11" t="n">
        <x:v>0.29043850585743647</x:v>
      </x:c>
      <x:c r="E126" s="11" t="n">
        <x:v>0.2543564171870323</x:v>
      </x:c>
      <x:c r="F126" s="11" t="n">
        <x:v>0.18878041474113527</x:v>
      </x:c>
      <x:c r="G126" s="11" t="n">
        <x:v>0.03608208867040419</x:v>
      </x:c>
      <x:c r="H126" s="11" t="n">
        <x:v>0.1016580911163012</x:v>
      </x:c>
      <x:c r="I126" s="11" t="n">
        <x:v>1</x:v>
      </x:c>
      <x:c r="J126" s="13" t="n">
        <x:v>9</x:v>
      </x:c>
      <x:c r="K126" s="22" t="b">
        <x:v>1</x:v>
      </x:c>
      <x:c r="L126" s="13" t="n">
        <x:v>93</x:v>
      </x:c>
      <x:c r="M126" s="13" t="n">
        <x:v>30</x:v>
      </x:c>
    </x:row>
    <x:row r="127" ht="22" customHeight="1">
      <x:c r="A127" s="17" t="str">
        <x:f>"01666500"</x:f>
        <x:v>01666500</x:v>
      </x:c>
      <x:c r="B127" s="13" t="n">
        <x:v>42</x:v>
      </x:c>
      <x:c r="C127" s="22" t="b">
        <x:v>0</x:v>
      </x:c>
      <x:c r="D127" s="11" t="n">
        <x:v>0.17742917502883926</x:v>
      </x:c>
      <x:c r="E127" s="11" t="n">
        <x:v>0.174093974836529</x:v>
      </x:c>
      <x:c r="F127" s="11" t="n">
        <x:v>0.04419118490997287</x:v>
      </x:c>
      <x:c r="G127" s="11" t="n">
        <x:v>0.0033352001923102614</x:v>
      </x:c>
      <x:c r="H127" s="11" t="n">
        <x:v>0.1332379901188664</x:v>
      </x:c>
      <x:c r="I127" s="11" t="n">
        <x:v>0.42857142857142855</x:v>
      </x:c>
      <x:c r="J127" s="13" t="n">
        <x:v>14</x:v>
      </x:c>
      <x:c r="K127" s="22" t="b">
        <x:v>0</x:v>
      </x:c>
      <x:c r="L127" s="13" t="n">
        <x:v>66</x:v>
      </x:c>
      <x:c r="M127" s="13" t="n">
        <x:v>22</x:v>
      </x:c>
    </x:row>
    <x:row r="128" ht="22" customHeight="1">
      <x:c r="A128" s="17" t="str">
        <x:f>"01667500"</x:f>
        <x:v>01667500</x:v>
      </x:c>
      <x:c r="B128" s="13" t="n">
        <x:v>42</x:v>
      </x:c>
      <x:c r="C128" s="22" t="b">
        <x:v>1</x:v>
      </x:c>
      <x:c r="D128" s="11" t="n">
        <x:v>0.3691807633796942</x:v>
      </x:c>
      <x:c r="E128" s="11" t="n">
        <x:v>0.37451312049374963</x:v>
      </x:c>
      <x:c r="F128" s="11" t="n">
        <x:v>0.22969028672321845</x:v>
      </x:c>
      <x:c r="G128" s="11" t="n">
        <x:v>-0.0053323571140554415</x:v>
      </x:c>
      <x:c r="H128" s="11" t="n">
        <x:v>0.13949047665647574</x:v>
      </x:c>
      <x:c r="I128" s="11" t="n">
        <x:v>1</x:v>
      </x:c>
      <x:c r="J128" s="13" t="n">
        <x:v>17</x:v>
      </x:c>
      <x:c r="K128" s="22" t="b">
        <x:v>1</x:v>
      </x:c>
      <x:c r="L128" s="13" t="n">
        <x:v>79</x:v>
      </x:c>
      <x:c r="M128" s="13" t="n">
        <x:v>26</x:v>
      </x:c>
    </x:row>
    <x:row r="129" ht="22" customHeight="1">
      <x:c r="A129" s="17" t="str">
        <x:f>"01667500"</x:f>
        <x:v>01667500</x:v>
      </x:c>
      <x:c r="B129" s="13" t="n">
        <x:v>42</x:v>
      </x:c>
      <x:c r="C129" s="22" t="b">
        <x:v>0</x:v>
      </x:c>
      <x:c r="D129" s="11" t="n">
        <x:v>0.29066034414697883</x:v>
      </x:c>
      <x:c r="E129" s="11" t="n">
        <x:v>0.28857884303452086</x:v>
      </x:c>
      <x:c r="F129" s="11" t="n">
        <x:v>-0.4698345009737033</x:v>
      </x:c>
      <x:c r="G129" s="11" t="n">
        <x:v>0.002081501112457973</x:v>
      </x:c>
      <x:c r="H129" s="11" t="n">
        <x:v>0.7604948451206821</x:v>
      </x:c>
      <x:c r="I129" s="11" t="n">
        <x:v>1</x:v>
      </x:c>
      <x:c r="J129" s="13" t="n">
        <x:v>9</x:v>
      </x:c>
      <x:c r="K129" s="22" t="b">
        <x:v>1</x:v>
      </x:c>
      <x:c r="L129" s="13" t="n">
        <x:v>75</x:v>
      </x:c>
      <x:c r="M129" s="13" t="n">
        <x:v>25</x:v>
      </x:c>
    </x:row>
    <x:row r="130" ht="22" customHeight="1">
      <x:c r="A130" s="17" t="str">
        <x:f>"01669000"</x:f>
        <x:v>01669000</x:v>
      </x:c>
      <x:c r="B130" s="13" t="n">
        <x:v>42</x:v>
      </x:c>
      <x:c r="C130" s="22" t="b">
        <x:v>1</x:v>
      </x:c>
      <x:c r="D130" s="11" t="n">
        <x:v>0.549122938428015</x:v>
      </x:c>
      <x:c r="E130" s="11" t="n">
        <x:v>0.539260523380043</x:v>
      </x:c>
      <x:c r="F130" s="11" t="n">
        <x:v>0.37892416833585985</x:v>
      </x:c>
      <x:c r="G130" s="11" t="n">
        <x:v>0.009862415047971917</x:v>
      </x:c>
      <x:c r="H130" s="11" t="n">
        <x:v>0.17019877009215512</x:v>
      </x:c>
      <x:c r="I130" s="11"/>
      <x:c r="J130" s="13" t="n">
        <x:v>0</x:v>
      </x:c>
      <x:c r="K130" s="22" t="b">
        <x:v>0</x:v>
      </x:c>
      <x:c r="L130" s="13" t="n">
        <x:v>69</x:v>
      </x:c>
      <x:c r="M130" s="13" t="n">
        <x:v>23</x:v>
      </x:c>
    </x:row>
    <x:row r="131" ht="22" customHeight="1">
      <x:c r="A131" s="17" t="str">
        <x:f>"01669000"</x:f>
        <x:v>01669000</x:v>
      </x:c>
      <x:c r="B131" s="13" t="n">
        <x:v>42</x:v>
      </x:c>
      <x:c r="C131" s="22" t="b">
        <x:v>0</x:v>
      </x:c>
      <x:c r="D131" s="11" t="n">
        <x:v>0.39255031801940854</x:v>
      </x:c>
      <x:c r="E131" s="11" t="n">
        <x:v>0.3768007953330611</x:v>
      </x:c>
      <x:c r="F131" s="11" t="n">
        <x:v>0.2710158100013166</x:v>
      </x:c>
      <x:c r="G131" s="11" t="n">
        <x:v>0.01574952268634744</x:v>
      </x:c>
      <x:c r="H131" s="11" t="n">
        <x:v>0.12153450801809196</x:v>
      </x:c>
      <x:c r="I131" s="11" t="n">
        <x:v>1</x:v>
      </x:c>
      <x:c r="J131" s="13" t="n">
        <x:v>10</x:v>
      </x:c>
      <x:c r="K131" s="22" t="b">
        <x:v>1</x:v>
      </x:c>
      <x:c r="L131" s="13" t="n">
        <x:v>82</x:v>
      </x:c>
      <x:c r="M131" s="13" t="n">
        <x:v>26</x:v>
      </x:c>
    </x:row>
    <x:row r="132" ht="22" customHeight="1">
      <x:c r="A132" s="17" t="str">
        <x:f>"02011400"</x:f>
        <x:v>02011400</x:v>
      </x:c>
      <x:c r="B132" s="13" t="n">
        <x:v>42</x:v>
      </x:c>
      <x:c r="C132" s="22" t="b">
        <x:v>1</x:v>
      </x:c>
      <x:c r="D132" s="11" t="n">
        <x:v>0.5567187057058485</x:v>
      </x:c>
      <x:c r="E132" s="11" t="n">
        <x:v>0.5569265269346932</x:v>
      </x:c>
      <x:c r="F132" s="11" t="n">
        <x:v>0.3189495116790023</x:v>
      </x:c>
      <x:c r="G132" s="11" t="n">
        <x:v>-0.0002078212288447734</x:v>
      </x:c>
      <x:c r="H132" s="11" t="n">
        <x:v>0.23776919402684615</x:v>
      </x:c>
      <x:c r="I132" s="11" t="n">
        <x:v>1</x:v>
      </x:c>
      <x:c r="J132" s="13" t="n">
        <x:v>14</x:v>
      </x:c>
      <x:c r="K132" s="22" t="b">
        <x:v>1</x:v>
      </x:c>
      <x:c r="L132" s="13" t="n">
        <x:v>92</x:v>
      </x:c>
      <x:c r="M132" s="13" t="n">
        <x:v>30</x:v>
      </x:c>
    </x:row>
    <x:row r="133" ht="22" customHeight="1">
      <x:c r="A133" s="17" t="str">
        <x:f>"02011400"</x:f>
        <x:v>02011400</x:v>
      </x:c>
      <x:c r="B133" s="13" t="n">
        <x:v>42</x:v>
      </x:c>
      <x:c r="C133" s="22" t="b">
        <x:v>0</x:v>
      </x:c>
      <x:c r="D133" s="11" t="n">
        <x:v>0.3680059612993397</x:v>
      </x:c>
      <x:c r="E133" s="11" t="n">
        <x:v>0.34422907221434473</x:v>
      </x:c>
      <x:c r="F133" s="11" t="n">
        <x:v>0.024756258821304056</x:v>
      </x:c>
      <x:c r="G133" s="11" t="n">
        <x:v>0.02377688908499498</x:v>
      </x:c>
      <x:c r="H133" s="11" t="n">
        <x:v>0.34324970247803566</x:v>
      </x:c>
      <x:c r="I133" s="11" t="n">
        <x:v>0.95</x:v>
      </x:c>
      <x:c r="J133" s="13" t="n">
        <x:v>20</x:v>
      </x:c>
      <x:c r="K133" s="22" t="b">
        <x:v>1</x:v>
      </x:c>
      <x:c r="L133" s="13" t="n">
        <x:v>129</x:v>
      </x:c>
      <x:c r="M133" s="13" t="n">
        <x:v>47</x:v>
      </x:c>
    </x:row>
    <x:row r="134" ht="22" customHeight="1">
      <x:c r="A134" s="17" t="str">
        <x:f>"02011460"</x:f>
        <x:v>02011460</x:v>
      </x:c>
      <x:c r="B134" s="13" t="n">
        <x:v>42</x:v>
      </x:c>
      <x:c r="C134" s="22" t="b">
        <x:v>1</x:v>
      </x:c>
      <x:c r="D134" s="11" t="n">
        <x:v>0.4356443898766086</x:v>
      </x:c>
      <x:c r="E134" s="11" t="n">
        <x:v>0.4347893148473213</x:v>
      </x:c>
      <x:c r="F134" s="11" t="n">
        <x:v>0.3535119196440434</x:v>
      </x:c>
      <x:c r="G134" s="11" t="n">
        <x:v>0.0008550750292872777</x:v>
      </x:c>
      <x:c r="H134" s="11" t="n">
        <x:v>0.0821324702325652</x:v>
      </x:c>
      <x:c r="I134" s="11" t="n">
        <x:v>0</x:v>
      </x:c>
      <x:c r="J134" s="13" t="n">
        <x:v>16</x:v>
      </x:c>
      <x:c r="K134" s="22" t="b">
        <x:v>0</x:v>
      </x:c>
      <x:c r="L134" s="13" t="n">
        <x:v>115</x:v>
      </x:c>
      <x:c r="M134" s="13" t="n">
        <x:v>38</x:v>
      </x:c>
    </x:row>
    <x:row r="135" ht="22" customHeight="1">
      <x:c r="A135" s="17" t="str">
        <x:f>"02011460"</x:f>
        <x:v>02011460</x:v>
      </x:c>
      <x:c r="B135" s="13" t="n">
        <x:v>42</x:v>
      </x:c>
      <x:c r="C135" s="22" t="b">
        <x:v>0</x:v>
      </x:c>
      <x:c r="D135" s="11" t="n">
        <x:v>0.2822018570403474</x:v>
      </x:c>
      <x:c r="E135" s="11" t="n">
        <x:v>0.25341477427405046</x:v>
      </x:c>
      <x:c r="F135" s="11" t="n">
        <x:v>0.16318005641561983</x:v>
      </x:c>
      <x:c r="G135" s="11" t="n">
        <x:v>0.028787082766296934</x:v>
      </x:c>
      <x:c r="H135" s="11" t="n">
        <x:v>0.11902180062472756</x:v>
      </x:c>
      <x:c r="I135" s="11" t="n">
        <x:v>0</x:v>
      </x:c>
      <x:c r="J135" s="13" t="n">
        <x:v>13</x:v>
      </x:c>
      <x:c r="K135" s="22" t="b">
        <x:v>0</x:v>
      </x:c>
      <x:c r="L135" s="13" t="n">
        <x:v>121</x:v>
      </x:c>
      <x:c r="M135" s="13" t="n">
        <x:v>41</x:v>
      </x:c>
    </x:row>
    <x:row r="136" ht="22" customHeight="1">
      <x:c r="A136" s="17" t="str">
        <x:f>"02013000"</x:f>
        <x:v>02013000</x:v>
      </x:c>
      <x:c r="B136" s="13" t="n">
        <x:v>42</x:v>
      </x:c>
      <x:c r="C136" s="22" t="b">
        <x:v>1</x:v>
      </x:c>
      <x:c r="D136" s="11" t="n">
        <x:v>0.4254877917282175</x:v>
      </x:c>
      <x:c r="E136" s="11" t="n">
        <x:v>0.42898310362407066</x:v>
      </x:c>
      <x:c r="F136" s="11" t="n">
        <x:v>0.31176913835392395</x:v>
      </x:c>
      <x:c r="G136" s="11" t="n">
        <x:v>-0.0034953118958531704</x:v>
      </x:c>
      <x:c r="H136" s="11" t="n">
        <x:v>0.11371865337429354</x:v>
      </x:c>
      <x:c r="I136" s="11" t="n">
        <x:v>0</x:v>
      </x:c>
      <x:c r="J136" s="13" t="n">
        <x:v>14</x:v>
      </x:c>
      <x:c r="K136" s="22" t="b">
        <x:v>0</x:v>
      </x:c>
      <x:c r="L136" s="13" t="n">
        <x:v>78</x:v>
      </x:c>
      <x:c r="M136" s="13" t="n">
        <x:v>25</x:v>
      </x:c>
    </x:row>
    <x:row r="137" ht="22" customHeight="1">
      <x:c r="A137" s="17" t="str">
        <x:f>"02013000"</x:f>
        <x:v>02013000</x:v>
      </x:c>
      <x:c r="B137" s="13" t="n">
        <x:v>42</x:v>
      </x:c>
      <x:c r="C137" s="22" t="b">
        <x:v>0</x:v>
      </x:c>
      <x:c r="D137" s="11" t="n">
        <x:v>0.1811597587713718</x:v>
      </x:c>
      <x:c r="E137" s="11" t="n">
        <x:v>0.1732389333565706</x:v>
      </x:c>
      <x:c r="F137" s="11" t="n">
        <x:v>0.005380810696397842</x:v>
      </x:c>
      <x:c r="G137" s="11" t="n">
        <x:v>0.007920825414801214</x:v>
      </x:c>
      <x:c r="H137" s="11" t="n">
        <x:v>0.17577894807497396</x:v>
      </x:c>
      <x:c r="I137" s="11" t="n">
        <x:v>0.75</x:v>
      </x:c>
      <x:c r="J137" s="13" t="n">
        <x:v>20</x:v>
      </x:c>
      <x:c r="K137" s="22" t="b">
        <x:v>0</x:v>
      </x:c>
      <x:c r="L137" s="13" t="n">
        <x:v>102</x:v>
      </x:c>
      <x:c r="M137" s="13" t="n">
        <x:v>33</x:v>
      </x:c>
    </x:row>
    <x:row r="138" ht="22" customHeight="1">
      <x:c r="A138" s="17" t="str">
        <x:f>"02014000"</x:f>
        <x:v>02014000</x:v>
      </x:c>
      <x:c r="B138" s="13" t="n">
        <x:v>42</x:v>
      </x:c>
      <x:c r="C138" s="22" t="b">
        <x:v>1</x:v>
      </x:c>
      <x:c r="D138" s="11" t="n">
        <x:v>0.5440087459098801</x:v>
      </x:c>
      <x:c r="E138" s="11" t="n">
        <x:v>0.550831363509809</x:v>
      </x:c>
      <x:c r="F138" s="11" t="n">
        <x:v>-0.2952938247229502</x:v>
      </x:c>
      <x:c r="G138" s="11" t="n">
        <x:v>-0.00682261759992886</x:v>
      </x:c>
      <x:c r="H138" s="11" t="n">
        <x:v>0.8393025706328303</x:v>
      </x:c>
      <x:c r="I138" s="11" t="n">
        <x:v>0.1111111111111111</x:v>
      </x:c>
      <x:c r="J138" s="13" t="n">
        <x:v>18</x:v>
      </x:c>
      <x:c r="K138" s="22" t="b">
        <x:v>0</x:v>
      </x:c>
      <x:c r="L138" s="13" t="n">
        <x:v>68</x:v>
      </x:c>
      <x:c r="M138" s="13" t="n">
        <x:v>23</x:v>
      </x:c>
    </x:row>
    <x:row r="139" ht="22" customHeight="1">
      <x:c r="A139" s="17" t="str">
        <x:f>"02014000"</x:f>
        <x:v>02014000</x:v>
      </x:c>
      <x:c r="B139" s="13" t="n">
        <x:v>42</x:v>
      </x:c>
      <x:c r="C139" s="22" t="b">
        <x:v>0</x:v>
      </x:c>
      <x:c r="D139" s="11" t="n">
        <x:v>0.34013040698197883</x:v>
      </x:c>
      <x:c r="E139" s="11" t="n">
        <x:v>0.28716106612719305</x:v>
      </x:c>
      <x:c r="F139" s="11" t="n">
        <x:v>-0.39915155341687836</x:v>
      </x:c>
      <x:c r="G139" s="11" t="n">
        <x:v>0.052969340854785774</x:v>
      </x:c>
      <x:c r="H139" s="11" t="n">
        <x:v>0.7392819603988572</x:v>
      </x:c>
      <x:c r="I139" s="11" t="n">
        <x:v>0.85</x:v>
      </x:c>
      <x:c r="J139" s="13" t="n">
        <x:v>20</x:v>
      </x:c>
      <x:c r="K139" s="22" t="b">
        <x:v>0</x:v>
      </x:c>
      <x:c r="L139" s="13" t="n">
        <x:v>153</x:v>
      </x:c>
      <x:c r="M139" s="13" t="n">
        <x:v>60</x:v>
      </x:c>
    </x:row>
    <x:row r="140" ht="22" customHeight="1">
      <x:c r="A140" s="17" t="str">
        <x:f>"02015700"</x:f>
        <x:v>02015700</x:v>
      </x:c>
      <x:c r="B140" s="13" t="n">
        <x:v>42</x:v>
      </x:c>
      <x:c r="C140" s="22" t="b">
        <x:v>1</x:v>
      </x:c>
      <x:c r="D140" s="11" t="n">
        <x:v>0.37953748874316606</x:v>
      </x:c>
      <x:c r="E140" s="11" t="n">
        <x:v>0.3589059181569031</x:v>
      </x:c>
      <x:c r="F140" s="11" t="n">
        <x:v>0.3122137936663012</x:v>
      </x:c>
      <x:c r="G140" s="11" t="n">
        <x:v>0.02063157058626297</x:v>
      </x:c>
      <x:c r="H140" s="11" t="n">
        <x:v>0.06732369507686486</x:v>
      </x:c>
      <x:c r="I140" s="11" t="n">
        <x:v>1</x:v>
      </x:c>
      <x:c r="J140" s="13" t="n">
        <x:v>16</x:v>
      </x:c>
      <x:c r="K140" s="22" t="b">
        <x:v>1</x:v>
      </x:c>
      <x:c r="L140" s="13" t="n">
        <x:v>70</x:v>
      </x:c>
      <x:c r="M140" s="13" t="n">
        <x:v>23</x:v>
      </x:c>
    </x:row>
    <x:row r="141" ht="22" customHeight="1">
      <x:c r="A141" s="17" t="str">
        <x:f>"02015700"</x:f>
        <x:v>02015700</x:v>
      </x:c>
      <x:c r="B141" s="13" t="n">
        <x:v>42</x:v>
      </x:c>
      <x:c r="C141" s="22" t="b">
        <x:v>0</x:v>
      </x:c>
      <x:c r="D141" s="11" t="n">
        <x:v>0.2407990616685901</x:v>
      </x:c>
      <x:c r="E141" s="11" t="n">
        <x:v>0.20927988428683342</x:v>
      </x:c>
      <x:c r="F141" s="11" t="n">
        <x:v>0.17796043002243078</x:v>
      </x:c>
      <x:c r="G141" s="11" t="n">
        <x:v>0.03151917738175669</x:v>
      </x:c>
      <x:c r="H141" s="11" t="n">
        <x:v>0.06283863164615933</x:v>
      </x:c>
      <x:c r="I141" s="11" t="n">
        <x:v>1</x:v>
      </x:c>
      <x:c r="J141" s="13" t="n">
        <x:v>19</x:v>
      </x:c>
      <x:c r="K141" s="22" t="b">
        <x:v>1</x:v>
      </x:c>
      <x:c r="L141" s="13" t="n">
        <x:v>103</x:v>
      </x:c>
      <x:c r="M141" s="13" t="n">
        <x:v>34</x:v>
      </x:c>
    </x:row>
    <x:row r="142" ht="22" customHeight="1">
      <x:c r="A142" s="17" t="str">
        <x:f>"02016000"</x:f>
        <x:v>02016000</x:v>
      </x:c>
      <x:c r="B142" s="13" t="n">
        <x:v>42</x:v>
      </x:c>
      <x:c r="C142" s="22" t="b">
        <x:v>1</x:v>
      </x:c>
      <x:c r="D142" s="11" t="n">
        <x:v>0.521241557306817</x:v>
      </x:c>
      <x:c r="E142" s="11" t="n">
        <x:v>0.5013991272249092</x:v>
      </x:c>
      <x:c r="F142" s="11" t="n">
        <x:v>0.3676579507406754</x:v>
      </x:c>
      <x:c r="G142" s="11" t="n">
        <x:v>0.01984243008190778</x:v>
      </x:c>
      <x:c r="H142" s="11" t="n">
        <x:v>0.15358360656614156</x:v>
      </x:c>
      <x:c r="I142" s="11" t="n">
        <x:v>1</x:v>
      </x:c>
      <x:c r="J142" s="13" t="n">
        <x:v>20</x:v>
      </x:c>
      <x:c r="K142" s="22" t="b">
        <x:v>1</x:v>
      </x:c>
      <x:c r="L142" s="13" t="n">
        <x:v>128</x:v>
      </x:c>
      <x:c r="M142" s="13" t="n">
        <x:v>45</x:v>
      </x:c>
    </x:row>
    <x:row r="143" ht="22" customHeight="1">
      <x:c r="A143" s="17" t="str">
        <x:f>"02016000"</x:f>
        <x:v>02016000</x:v>
      </x:c>
      <x:c r="B143" s="13" t="n">
        <x:v>42</x:v>
      </x:c>
      <x:c r="C143" s="22" t="b">
        <x:v>0</x:v>
      </x:c>
      <x:c r="D143" s="11" t="n">
        <x:v>0.4094882186405445</x:v>
      </x:c>
      <x:c r="E143" s="11" t="n">
        <x:v>0.29157597318176065</x:v>
      </x:c>
      <x:c r="F143" s="11" t="n">
        <x:v>0.18600837626095945</x:v>
      </x:c>
      <x:c r="G143" s="11" t="n">
        <x:v>0.11791224545878387</x:v>
      </x:c>
      <x:c r="H143" s="11" t="n">
        <x:v>0.22347984237958507</x:v>
      </x:c>
      <x:c r="I143" s="11" t="n">
        <x:v>1</x:v>
      </x:c>
      <x:c r="J143" s="13" t="n">
        <x:v>19</x:v>
      </x:c>
      <x:c r="K143" s="22" t="b">
        <x:v>0</x:v>
      </x:c>
      <x:c r="L143" s="13" t="n">
        <x:v>114</x:v>
      </x:c>
      <x:c r="M143" s="13" t="n">
        <x:v>41</x:v>
      </x:c>
    </x:row>
    <x:row r="144" ht="22" customHeight="1">
      <x:c r="A144" s="17" t="str">
        <x:f>"02017500"</x:f>
        <x:v>02017500</x:v>
      </x:c>
      <x:c r="B144" s="13" t="n">
        <x:v>42</x:v>
      </x:c>
      <x:c r="C144" s="22" t="b">
        <x:v>1</x:v>
      </x:c>
      <x:c r="D144" s="11" t="n">
        <x:v>0.6208590417175563</x:v>
      </x:c>
      <x:c r="E144" s="11" t="n">
        <x:v>0.601654763404722</x:v>
      </x:c>
      <x:c r="F144" s="11" t="n">
        <x:v>0.48623165707887717</x:v>
      </x:c>
      <x:c r="G144" s="11" t="n">
        <x:v>0.019204278312834333</x:v>
      </x:c>
      <x:c r="H144" s="11" t="n">
        <x:v>0.13462738463867918</x:v>
      </x:c>
      <x:c r="I144" s="11" t="n">
        <x:v>1</x:v>
      </x:c>
      <x:c r="J144" s="13" t="n">
        <x:v>17</x:v>
      </x:c>
      <x:c r="K144" s="22" t="b">
        <x:v>1</x:v>
      </x:c>
      <x:c r="L144" s="13" t="n">
        <x:v>76</x:v>
      </x:c>
      <x:c r="M144" s="13" t="n">
        <x:v>25</x:v>
      </x:c>
    </x:row>
    <x:row r="145" ht="22" customHeight="1">
      <x:c r="A145" s="17" t="str">
        <x:f>"02017500"</x:f>
        <x:v>02017500</x:v>
      </x:c>
      <x:c r="B145" s="13" t="n">
        <x:v>42</x:v>
      </x:c>
      <x:c r="C145" s="22" t="b">
        <x:v>0</x:v>
      </x:c>
      <x:c r="D145" s="11" t="n">
        <x:v>0.3721080428815836</x:v>
      </x:c>
      <x:c r="E145" s="11" t="n">
        <x:v>0.3324484181324875</x:v>
      </x:c>
      <x:c r="F145" s="11" t="n">
        <x:v>-0.7430821475783096</x:v>
      </x:c>
      <x:c r="G145" s="11" t="n">
        <x:v>0.03965962474909612</x:v>
      </x:c>
      <x:c r="H145" s="11" t="n">
        <x:v>1.1151901904598933</x:v>
      </x:c>
      <x:c r="I145" s="11" t="n">
        <x:v>0.47058823529411764</x:v>
      </x:c>
      <x:c r="J145" s="13" t="n">
        <x:v>17</x:v>
      </x:c>
      <x:c r="K145" s="22" t="b">
        <x:v>0</x:v>
      </x:c>
      <x:c r="L145" s="13" t="n">
        <x:v>131</x:v>
      </x:c>
      <x:c r="M145" s="13" t="n">
        <x:v>46</x:v>
      </x:c>
    </x:row>
    <x:row r="146" ht="22" customHeight="1">
      <x:c r="A146" s="17" t="str">
        <x:f>"02018000"</x:f>
        <x:v>02018000</x:v>
      </x:c>
      <x:c r="B146" s="13" t="n">
        <x:v>42</x:v>
      </x:c>
      <x:c r="C146" s="22" t="b">
        <x:v>1</x:v>
      </x:c>
      <x:c r="D146" s="11" t="n">
        <x:v>0.5719550542575281</x:v>
      </x:c>
      <x:c r="E146" s="11" t="n">
        <x:v>0.565747898890901</x:v>
      </x:c>
      <x:c r="F146" s="11" t="n">
        <x:v>0.1968012160499949</x:v>
      </x:c>
      <x:c r="G146" s="11" t="n">
        <x:v>0.006207155366627082</x:v>
      </x:c>
      <x:c r="H146" s="11" t="n">
        <x:v>0.37515383820753323</x:v>
      </x:c>
      <x:c r="I146" s="11" t="n">
        <x:v>0.75</x:v>
      </x:c>
      <x:c r="J146" s="13" t="n">
        <x:v>20</x:v>
      </x:c>
      <x:c r="K146" s="22" t="b">
        <x:v>0</x:v>
      </x:c>
      <x:c r="L146" s="13" t="n">
        <x:v>131</x:v>
      </x:c>
      <x:c r="M146" s="13" t="n">
        <x:v>46</x:v>
      </x:c>
    </x:row>
    <x:row r="147" ht="22" customHeight="1">
      <x:c r="A147" s="17" t="str">
        <x:f>"02018000"</x:f>
        <x:v>02018000</x:v>
      </x:c>
      <x:c r="B147" s="13" t="n">
        <x:v>42</x:v>
      </x:c>
      <x:c r="C147" s="22" t="b">
        <x:v>0</x:v>
      </x:c>
      <x:c r="D147" s="11" t="n">
        <x:v>0.4156836084788471</x:v>
      </x:c>
      <x:c r="E147" s="11" t="n">
        <x:v>0.41568905019997093</x:v>
      </x:c>
      <x:c r="F147" s="11" t="n">
        <x:v>-0.5465696597867424</x:v>
      </x:c>
      <x:c r="G147" s="11" t="n">
        <x:v>-0.000005441721123822241</x:v>
      </x:c>
      <x:c r="H147" s="11" t="n">
        <x:v>0.9622532682655895</x:v>
      </x:c>
      <x:c r="I147" s="11" t="n">
        <x:v>1</x:v>
      </x:c>
      <x:c r="J147" s="13" t="n">
        <x:v>20</x:v>
      </x:c>
      <x:c r="K147" s="22" t="b">
        <x:v>1</x:v>
      </x:c>
      <x:c r="L147" s="13" t="n">
        <x:v>125</x:v>
      </x:c>
      <x:c r="M147" s="13" t="n">
        <x:v>43</x:v>
      </x:c>
    </x:row>
    <x:row r="148" ht="22" customHeight="1">
      <x:c r="A148" s="17" t="str">
        <x:f>"02027000"</x:f>
        <x:v>02027000</x:v>
      </x:c>
      <x:c r="B148" s="13" t="n">
        <x:v>42</x:v>
      </x:c>
      <x:c r="C148" s="22" t="b">
        <x:v>1</x:v>
      </x:c>
      <x:c r="D148" s="11" t="n">
        <x:v>0.48356904926537736</x:v>
      </x:c>
      <x:c r="E148" s="11" t="n">
        <x:v>0.4725251524929598</x:v>
      </x:c>
      <x:c r="F148" s="11" t="n">
        <x:v>0.3105815019814018</x:v>
      </x:c>
      <x:c r="G148" s="11" t="n">
        <x:v>0.011043896772417572</x:v>
      </x:c>
      <x:c r="H148" s="11" t="n">
        <x:v>0.17298754728397558</x:v>
      </x:c>
      <x:c r="I148" s="11" t="n">
        <x:v>1</x:v>
      </x:c>
      <x:c r="J148" s="13" t="n">
        <x:v>20</x:v>
      </x:c>
      <x:c r="K148" s="22" t="b">
        <x:v>1</x:v>
      </x:c>
      <x:c r="L148" s="13" t="n">
        <x:v>118</x:v>
      </x:c>
      <x:c r="M148" s="13" t="n">
        <x:v>40</x:v>
      </x:c>
    </x:row>
    <x:row r="149" ht="22" customHeight="1">
      <x:c r="A149" s="17" t="str">
        <x:f>"02027000"</x:f>
        <x:v>02027000</x:v>
      </x:c>
      <x:c r="B149" s="13" t="n">
        <x:v>42</x:v>
      </x:c>
      <x:c r="C149" s="22" t="b">
        <x:v>0</x:v>
      </x:c>
      <x:c r="D149" s="11" t="n">
        <x:v>0.2395841278015457</x:v>
      </x:c>
      <x:c r="E149" s="11" t="n">
        <x:v>0.19385363206321704</x:v>
      </x:c>
      <x:c r="F149" s="11" t="n">
        <x:v>-0.26708226435022087</x:v>
      </x:c>
      <x:c r="G149" s="11" t="n">
        <x:v>0.04573049573832866</x:v>
      </x:c>
      <x:c r="H149" s="11" t="n">
        <x:v>0.5066663921517666</x:v>
      </x:c>
      <x:c r="I149" s="11" t="n">
        <x:v>0.15</x:v>
      </x:c>
      <x:c r="J149" s="13" t="n">
        <x:v>20</x:v>
      </x:c>
      <x:c r="K149" s="22" t="b">
        <x:v>0</x:v>
      </x:c>
      <x:c r="L149" s="13" t="n">
        <x:v>128</x:v>
      </x:c>
      <x:c r="M149" s="13" t="n">
        <x:v>45</x:v>
      </x:c>
    </x:row>
    <x:row r="150" ht="22" customHeight="1">
      <x:c r="A150" s="17" t="str">
        <x:f>"02027500"</x:f>
        <x:v>02027500</x:v>
      </x:c>
      <x:c r="B150" s="13" t="n">
        <x:v>42</x:v>
      </x:c>
      <x:c r="C150" s="22" t="b">
        <x:v>1</x:v>
      </x:c>
      <x:c r="D150" s="11" t="n">
        <x:v>0.6293051250232109</x:v>
      </x:c>
      <x:c r="E150" s="11" t="n">
        <x:v>0.6217540894224824</x:v>
      </x:c>
      <x:c r="F150" s="11" t="n">
        <x:v>-0.22056992738112235</x:v>
      </x:c>
      <x:c r="G150" s="11" t="n">
        <x:v>0.007551035600728451</x:v>
      </x:c>
      <x:c r="H150" s="11" t="n">
        <x:v>0.8498750524043333</x:v>
      </x:c>
      <x:c r="I150" s="11" t="n">
        <x:v>1</x:v>
      </x:c>
      <x:c r="J150" s="13" t="n">
        <x:v>17</x:v>
      </x:c>
      <x:c r="K150" s="22" t="b">
        <x:v>1</x:v>
      </x:c>
      <x:c r="L150" s="13" t="n">
        <x:v>72</x:v>
      </x:c>
      <x:c r="M150" s="13" t="n">
        <x:v>24</x:v>
      </x:c>
    </x:row>
    <x:row r="151" ht="22" customHeight="1">
      <x:c r="A151" s="17" t="str">
        <x:f>"02027500"</x:f>
        <x:v>02027500</x:v>
      </x:c>
      <x:c r="B151" s="13" t="n">
        <x:v>42</x:v>
      </x:c>
      <x:c r="C151" s="22" t="b">
        <x:v>0</x:v>
      </x:c>
      <x:c r="D151" s="11" t="n">
        <x:v>0.30329847236613694</x:v>
      </x:c>
      <x:c r="E151" s="11" t="n">
        <x:v>0.198436733834068</x:v>
      </x:c>
      <x:c r="F151" s="11" t="n">
        <x:v>-0.21614376015274317</x:v>
      </x:c>
      <x:c r="G151" s="11" t="n">
        <x:v>0.10486173853206893</x:v>
      </x:c>
      <x:c r="H151" s="11" t="n">
        <x:v>0.5194422325188801</x:v>
      </x:c>
      <x:c r="I151" s="11" t="n">
        <x:v>0.10526315789473684</x:v>
      </x:c>
      <x:c r="J151" s="13" t="n">
        <x:v>19</x:v>
      </x:c>
      <x:c r="K151" s="22" t="b">
        <x:v>0</x:v>
      </x:c>
      <x:c r="L151" s="13" t="n">
        <x:v>106</x:v>
      </x:c>
      <x:c r="M151" s="13" t="n">
        <x:v>37</x:v>
      </x:c>
    </x:row>
    <x:row r="152" ht="22" customHeight="1">
      <x:c r="A152" s="17" t="str">
        <x:f>"02028500"</x:f>
        <x:v>02028500</x:v>
      </x:c>
      <x:c r="B152" s="13" t="n">
        <x:v>42</x:v>
      </x:c>
      <x:c r="C152" s="22" t="b">
        <x:v>1</x:v>
      </x:c>
      <x:c r="D152" s="11" t="n">
        <x:v>0.41655560981172646</x:v>
      </x:c>
      <x:c r="E152" s="11" t="n">
        <x:v>0.3943765731524711</x:v>
      </x:c>
      <x:c r="F152" s="11" t="n">
        <x:v>0.2229084018151195</x:v>
      </x:c>
      <x:c r="G152" s="11" t="n">
        <x:v>0.022179036659255358</x:v>
      </x:c>
      <x:c r="H152" s="11" t="n">
        <x:v>0.19364720799660695</x:v>
      </x:c>
      <x:c r="I152" s="11" t="n">
        <x:v>1</x:v>
      </x:c>
      <x:c r="J152" s="13" t="n">
        <x:v>12</x:v>
      </x:c>
      <x:c r="K152" s="22" t="b">
        <x:v>1</x:v>
      </x:c>
      <x:c r="L152" s="13" t="n">
        <x:v>64</x:v>
      </x:c>
      <x:c r="M152" s="13" t="n">
        <x:v>21</x:v>
      </x:c>
    </x:row>
    <x:row r="153" ht="22" customHeight="1">
      <x:c r="A153" s="17" t="str">
        <x:f>"02028500"</x:f>
        <x:v>02028500</x:v>
      </x:c>
      <x:c r="B153" s="13" t="n">
        <x:v>42</x:v>
      </x:c>
      <x:c r="C153" s="22" t="b">
        <x:v>0</x:v>
      </x:c>
      <x:c r="D153" s="11" t="n">
        <x:v>0.24063813550512814</x:v>
      </x:c>
      <x:c r="E153" s="11" t="n">
        <x:v>0.20862618170763636</x:v>
      </x:c>
      <x:c r="F153" s="11" t="n">
        <x:v>0.10230085199580896</x:v>
      </x:c>
      <x:c r="G153" s="11" t="n">
        <x:v>0.03201195379749178</x:v>
      </x:c>
      <x:c r="H153" s="11" t="n">
        <x:v>0.13833728350931918</x:v>
      </x:c>
      <x:c r="I153" s="11" t="n">
        <x:v>0.631578947368421</x:v>
      </x:c>
      <x:c r="J153" s="13" t="n">
        <x:v>19</x:v>
      </x:c>
      <x:c r="K153" s="22" t="b">
        <x:v>0</x:v>
      </x:c>
      <x:c r="L153" s="13" t="n">
        <x:v>119</x:v>
      </x:c>
      <x:c r="M153" s="13" t="n">
        <x:v>41</x:v>
      </x:c>
    </x:row>
    <x:row r="154" ht="22" customHeight="1">
      <x:c r="A154" s="17" t="str">
        <x:f>"02038850"</x:f>
        <x:v>02038850</x:v>
      </x:c>
      <x:c r="B154" s="13" t="n">
        <x:v>42</x:v>
      </x:c>
      <x:c r="C154" s="22" t="b">
        <x:v>1</x:v>
      </x:c>
      <x:c r="D154" s="11" t="n">
        <x:v>0.20498479462104402</x:v>
      </x:c>
      <x:c r="E154" s="11" t="n">
        <x:v>0.21213973472392023</x:v>
      </x:c>
      <x:c r="F154" s="11" t="n">
        <x:v>0.19692054562486627</x:v>
      </x:c>
      <x:c r="G154" s="11" t="n">
        <x:v>-0.007154940102876206</x:v>
      </x:c>
      <x:c r="H154" s="11" t="n">
        <x:v>0.008064248996177747</x:v>
      </x:c>
      <x:c r="I154" s="11" t="n">
        <x:v>1</x:v>
      </x:c>
      <x:c r="J154" s="13" t="n">
        <x:v>17</x:v>
      </x:c>
      <x:c r="K154" s="22" t="b">
        <x:v>0</x:v>
      </x:c>
      <x:c r="L154" s="13" t="n">
        <x:v>50</x:v>
      </x:c>
      <x:c r="M154" s="13" t="n">
        <x:v>17</x:v>
      </x:c>
    </x:row>
    <x:row r="155" ht="22" customHeight="1">
      <x:c r="A155" s="17" t="str">
        <x:f>"02038850"</x:f>
        <x:v>02038850</x:v>
      </x:c>
      <x:c r="B155" s="13" t="n">
        <x:v>42</x:v>
      </x:c>
      <x:c r="C155" s="22" t="b">
        <x:v>0</x:v>
      </x:c>
      <x:c r="D155" s="11" t="n">
        <x:v>0.07762768409421805</x:v>
      </x:c>
      <x:c r="E155" s="11" t="n">
        <x:v>0.07230647080493546</x:v>
      </x:c>
      <x:c r="F155" s="11" t="n">
        <x:v>-0.06142680303028092</x:v>
      </x:c>
      <x:c r="G155" s="11" t="n">
        <x:v>0.005321213289282589</x:v>
      </x:c>
      <x:c r="H155" s="11" t="n">
        <x:v>0.13905448712449897</x:v>
      </x:c>
      <x:c r="I155" s="11" t="n">
        <x:v>0.1</x:v>
      </x:c>
      <x:c r="J155" s="13" t="n">
        <x:v>20</x:v>
      </x:c>
      <x:c r="K155" s="22" t="b">
        <x:v>0</x:v>
      </x:c>
      <x:c r="L155" s="13" t="n">
        <x:v>69</x:v>
      </x:c>
      <x:c r="M155" s="13" t="n">
        <x:v>23</x:v>
      </x:c>
    </x:row>
    <x:row r="156" ht="22" customHeight="1">
      <x:c r="A156" s="17" t="str">
        <x:f>"02046000"</x:f>
        <x:v>02046000</x:v>
      </x:c>
      <x:c r="B156" s="13" t="n">
        <x:v>42</x:v>
      </x:c>
      <x:c r="C156" s="22" t="b">
        <x:v>1</x:v>
      </x:c>
      <x:c r="D156" s="11" t="n">
        <x:v>0.6418147453006054</x:v>
      </x:c>
      <x:c r="E156" s="11" t="n">
        <x:v>0.6008750212058648</x:v>
      </x:c>
      <x:c r="F156" s="11" t="n">
        <x:v>-0.7225825671129431</x:v>
      </x:c>
      <x:c r="G156" s="11" t="n">
        <x:v>0.04093972409474067</x:v>
      </x:c>
      <x:c r="H156" s="11" t="n">
        <x:v>1.3643973124135487</x:v>
      </x:c>
      <x:c r="I156" s="11" t="n">
        <x:v>1</x:v>
      </x:c>
      <x:c r="J156" s="13" t="n">
        <x:v>13</x:v>
      </x:c>
      <x:c r="K156" s="22" t="b">
        <x:v>1</x:v>
      </x:c>
      <x:c r="L156" s="13" t="n">
        <x:v>98</x:v>
      </x:c>
      <x:c r="M156" s="13" t="n">
        <x:v>31</x:v>
      </x:c>
    </x:row>
    <x:row r="157" ht="22" customHeight="1">
      <x:c r="A157" s="17" t="str">
        <x:f>"02046000"</x:f>
        <x:v>02046000</x:v>
      </x:c>
      <x:c r="B157" s="13" t="n">
        <x:v>42</x:v>
      </x:c>
      <x:c r="C157" s="22" t="b">
        <x:v>0</x:v>
      </x:c>
      <x:c r="D157" s="11" t="n">
        <x:v>0.38993400454661176</x:v>
      </x:c>
      <x:c r="E157" s="11" t="n">
        <x:v>0.4116731708111636</x:v>
      </x:c>
      <x:c r="F157" s="11" t="n">
        <x:v>-1.922681264446275</x:v>
      </x:c>
      <x:c r="G157" s="11" t="n">
        <x:v>-0.021739166264551857</x:v>
      </x:c>
      <x:c r="H157" s="11" t="n">
        <x:v>2.3126152689928867</x:v>
      </x:c>
      <x:c r="I157" s="11" t="n">
        <x:v>0.9473684210526315</x:v>
      </x:c>
      <x:c r="J157" s="13" t="n">
        <x:v>19</x:v>
      </x:c>
      <x:c r="K157" s="22" t="b">
        <x:v>1</x:v>
      </x:c>
      <x:c r="L157" s="13" t="n">
        <x:v>135</x:v>
      </x:c>
      <x:c r="M157" s="13" t="n">
        <x:v>49</x:v>
      </x:c>
    </x:row>
    <x:row r="158" ht="22" customHeight="1">
      <x:c r="A158" s="17" t="str">
        <x:f>"02051500"</x:f>
        <x:v>02051500</x:v>
      </x:c>
      <x:c r="B158" s="13" t="n">
        <x:v>42</x:v>
      </x:c>
      <x:c r="C158" s="22" t="b">
        <x:v>1</x:v>
      </x:c>
      <x:c r="D158" s="11" t="n">
        <x:v>0.6517794013022804</x:v>
      </x:c>
      <x:c r="E158" s="11" t="n">
        <x:v>0.5269232601669189</x:v>
      </x:c>
      <x:c r="F158" s="11" t="n">
        <x:v>0.01012467669945949</x:v>
      </x:c>
      <x:c r="G158" s="11" t="n">
        <x:v>0.12485614113536148</x:v>
      </x:c>
      <x:c r="H158" s="11" t="n">
        <x:v>0.6416547246028209</x:v>
      </x:c>
      <x:c r="I158" s="11" t="n">
        <x:v>0.65</x:v>
      </x:c>
      <x:c r="J158" s="13" t="n">
        <x:v>20</x:v>
      </x:c>
      <x:c r="K158" s="22" t="b">
        <x:v>0</x:v>
      </x:c>
      <x:c r="L158" s="13" t="n">
        <x:v>161</x:v>
      </x:c>
      <x:c r="M158" s="13" t="n">
        <x:v>88</x:v>
      </x:c>
    </x:row>
    <x:row r="159" ht="22" customHeight="1">
      <x:c r="A159" s="17" t="str">
        <x:f>"02051500"</x:f>
        <x:v>02051500</x:v>
      </x:c>
      <x:c r="B159" s="13" t="n">
        <x:v>42</x:v>
      </x:c>
      <x:c r="C159" s="22" t="b">
        <x:v>0</x:v>
      </x:c>
      <x:c r="D159" s="11" t="n">
        <x:v>0.4195703850967023</x:v>
      </x:c>
      <x:c r="E159" s="11" t="n">
        <x:v>0.4976706340617164</x:v>
      </x:c>
      <x:c r="F159" s="11" t="n">
        <x:v>-2.699380020923088</x:v>
      </x:c>
      <x:c r="G159" s="11" t="n">
        <x:v>-0.07810024896501411</x:v>
      </x:c>
      <x:c r="H159" s="11" t="n">
        <x:v>3.11895040601979</x:v>
      </x:c>
      <x:c r="I159" s="11" t="n">
        <x:v>1</x:v>
      </x:c>
      <x:c r="J159" s="13" t="n">
        <x:v>16</x:v>
      </x:c>
      <x:c r="K159" s="22" t="b">
        <x:v>1</x:v>
      </x:c>
      <x:c r="L159" s="13" t="n">
        <x:v>112</x:v>
      </x:c>
      <x:c r="M159" s="13" t="n">
        <x:v>37</x:v>
      </x:c>
    </x:row>
    <x:row r="160" ht="22" customHeight="1">
      <x:c r="A160" s="17" t="str">
        <x:f>"02053200"</x:f>
        <x:v>02053200</x:v>
      </x:c>
      <x:c r="B160" s="13" t="n">
        <x:v>42</x:v>
      </x:c>
      <x:c r="C160" s="22" t="b">
        <x:v>1</x:v>
      </x:c>
      <x:c r="D160" s="11" t="n">
        <x:v>0.9489081768445222</x:v>
      </x:c>
      <x:c r="E160" s="11" t="n">
        <x:v>0.9379319603246559</x:v>
      </x:c>
      <x:c r="F160" s="11" t="n">
        <x:v>0.08472576291276357</x:v>
      </x:c>
      <x:c r="G160" s="11" t="n">
        <x:v>0.010976216519866355</x:v>
      </x:c>
      <x:c r="H160" s="11" t="n">
        <x:v>0.8641824139317587</x:v>
      </x:c>
      <x:c r="I160" s="11" t="n">
        <x:v>1</x:v>
      </x:c>
      <x:c r="J160" s="13" t="n">
        <x:v>14</x:v>
      </x:c>
      <x:c r="K160" s="22" t="b">
        <x:v>1</x:v>
      </x:c>
      <x:c r="L160" s="13" t="n">
        <x:v>83</x:v>
      </x:c>
      <x:c r="M160" s="13" t="n">
        <x:v>27</x:v>
      </x:c>
    </x:row>
    <x:row r="161" ht="22" customHeight="1">
      <x:c r="A161" s="17" t="str">
        <x:f>"02053200"</x:f>
        <x:v>02053200</x:v>
      </x:c>
      <x:c r="B161" s="13" t="n">
        <x:v>42</x:v>
      </x:c>
      <x:c r="C161" s="22" t="b">
        <x:v>0</x:v>
      </x:c>
      <x:c r="D161" s="11" t="n">
        <x:v>0.7423825652690325</x:v>
      </x:c>
      <x:c r="E161" s="11" t="n">
        <x:v>0.734036796102858</x:v>
      </x:c>
      <x:c r="F161" s="11" t="n">
        <x:v>-1.1248530302292248</x:v>
      </x:c>
      <x:c r="G161" s="11" t="n">
        <x:v>0.008345769166174466</x:v>
      </x:c>
      <x:c r="H161" s="11" t="n">
        <x:v>1.8672355954982574</x:v>
      </x:c>
      <x:c r="I161" s="11" t="n">
        <x:v>0.6666666666666666</x:v>
      </x:c>
      <x:c r="J161" s="13" t="n">
        <x:v>18</x:v>
      </x:c>
      <x:c r="K161" s="22" t="b">
        <x:v>0</x:v>
      </x:c>
      <x:c r="L161" s="13" t="n">
        <x:v>119</x:v>
      </x:c>
      <x:c r="M161" s="13" t="n">
        <x:v>41</x:v>
      </x:c>
    </x:row>
    <x:row r="162" ht="22" customHeight="1">
      <x:c r="A162" s="17" t="str">
        <x:f>"02053800"</x:f>
        <x:v>02053800</x:v>
      </x:c>
      <x:c r="B162" s="13" t="n">
        <x:v>42</x:v>
      </x:c>
      <x:c r="C162" s="22" t="b">
        <x:v>1</x:v>
      </x:c>
      <x:c r="D162" s="11" t="n">
        <x:v>0.5059762258578535</x:v>
      </x:c>
      <x:c r="E162" s="11" t="n">
        <x:v>0.5054716203543346</x:v>
      </x:c>
      <x:c r="F162" s="11" t="n">
        <x:v>0.3180366719112756</x:v>
      </x:c>
      <x:c r="G162" s="11" t="n">
        <x:v>0.0005046055035189401</x:v>
      </x:c>
      <x:c r="H162" s="11" t="n">
        <x:v>0.1879395539465779</x:v>
      </x:c>
      <x:c r="I162" s="11" t="n">
        <x:v>0.7333333333333333</x:v>
      </x:c>
      <x:c r="J162" s="13" t="n">
        <x:v>15</x:v>
      </x:c>
      <x:c r="K162" s="22" t="b">
        <x:v>0</x:v>
      </x:c>
      <x:c r="L162" s="13" t="n">
        <x:v>95</x:v>
      </x:c>
      <x:c r="M162" s="13" t="n">
        <x:v>31</x:v>
      </x:c>
    </x:row>
    <x:row r="163" ht="22" customHeight="1">
      <x:c r="A163" s="17" t="str">
        <x:f>"02053800"</x:f>
        <x:v>02053800</x:v>
      </x:c>
      <x:c r="B163" s="13" t="n">
        <x:v>42</x:v>
      </x:c>
      <x:c r="C163" s="22" t="b">
        <x:v>0</x:v>
      </x:c>
      <x:c r="D163" s="11" t="n">
        <x:v>0.2501820027412709</x:v>
      </x:c>
      <x:c r="E163" s="11" t="n">
        <x:v>0.2370456585315377</x:v>
      </x:c>
      <x:c r="F163" s="11" t="n">
        <x:v>-0.318637859948423</x:v>
      </x:c>
      <x:c r="G163" s="11" t="n">
        <x:v>0.013136344209733197</x:v>
      </x:c>
      <x:c r="H163" s="11" t="n">
        <x:v>0.5688198626896939</x:v>
      </x:c>
      <x:c r="I163" s="11" t="n">
        <x:v>1</x:v>
      </x:c>
      <x:c r="J163" s="13" t="n">
        <x:v>17</x:v>
      </x:c>
      <x:c r="K163" s="22" t="b">
        <x:v>1</x:v>
      </x:c>
      <x:c r="L163" s="13" t="n">
        <x:v>111</x:v>
      </x:c>
      <x:c r="M163" s="13" t="n">
        <x:v>37</x:v>
      </x:c>
    </x:row>
    <x:row r="164" ht="22" customHeight="1">
      <x:c r="A164" s="17" t="str">
        <x:f>"02055100"</x:f>
        <x:v>02055100</x:v>
      </x:c>
      <x:c r="B164" s="13" t="n">
        <x:v>42</x:v>
      </x:c>
      <x:c r="C164" s="22" t="b">
        <x:v>1</x:v>
      </x:c>
      <x:c r="D164" s="11" t="n">
        <x:v>0.2884513274154089</x:v>
      </x:c>
      <x:c r="E164" s="11" t="n">
        <x:v>0.29292912754118905</x:v>
      </x:c>
      <x:c r="F164" s="11" t="n">
        <x:v>0.2754582266691916</x:v>
      </x:c>
      <x:c r="G164" s="11" t="n">
        <x:v>-0.00447780012578014</x:v>
      </x:c>
      <x:c r="H164" s="11" t="n">
        <x:v>0.01299310074621729</x:v>
      </x:c>
      <x:c r="I164" s="11"/>
      <x:c r="J164" s="13" t="n">
        <x:v>0</x:v>
      </x:c>
      <x:c r="K164" s="22" t="b">
        <x:v>0</x:v>
      </x:c>
      <x:c r="L164" s="13" t="n">
        <x:v>39</x:v>
      </x:c>
      <x:c r="M164" s="13" t="n">
        <x:v>15</x:v>
      </x:c>
    </x:row>
    <x:row r="165" ht="22" customHeight="1">
      <x:c r="A165" s="17" t="str">
        <x:f>"02055100"</x:f>
        <x:v>02055100</x:v>
      </x:c>
      <x:c r="B165" s="13" t="n">
        <x:v>42</x:v>
      </x:c>
      <x:c r="C165" s="22" t="b">
        <x:v>0</x:v>
      </x:c>
      <x:c r="D165" s="11" t="n">
        <x:v>0.16043369081817094</x:v>
      </x:c>
      <x:c r="E165" s="11" t="n">
        <x:v>0.16222676809936587</x:v>
      </x:c>
      <x:c r="F165" s="11" t="n">
        <x:v>-0.32663972590120216</x:v>
      </x:c>
      <x:c r="G165" s="11" t="n">
        <x:v>-0.0017930772811949325</x:v>
      </x:c>
      <x:c r="H165" s="11" t="n">
        <x:v>0.4870734167193731</x:v>
      </x:c>
      <x:c r="I165" s="11" t="n">
        <x:v>0.7368421052631579</x:v>
      </x:c>
      <x:c r="J165" s="13" t="n">
        <x:v>19</x:v>
      </x:c>
      <x:c r="K165" s="22" t="b">
        <x:v>0</x:v>
      </x:c>
      <x:c r="L165" s="13" t="n">
        <x:v>64</x:v>
      </x:c>
      <x:c r="M165" s="13" t="n">
        <x:v>21</x:v>
      </x:c>
    </x:row>
    <x:row r="166" ht="22" customHeight="1">
      <x:c r="A166" s="17" t="str">
        <x:f>"02056900"</x:f>
        <x:v>02056900</x:v>
      </x:c>
      <x:c r="B166" s="13" t="n">
        <x:v>42</x:v>
      </x:c>
      <x:c r="C166" s="22" t="b">
        <x:v>1</x:v>
      </x:c>
      <x:c r="D166" s="11" t="n">
        <x:v>0.3090018436142977</x:v>
      </x:c>
      <x:c r="E166" s="11" t="n">
        <x:v>0.26479086425364384</x:v>
      </x:c>
      <x:c r="F166" s="11" t="n">
        <x:v>0.29658933165895995</x:v>
      </x:c>
      <x:c r="G166" s="11" t="n">
        <x:v>0.04421097936065388</x:v>
      </x:c>
      <x:c r="H166" s="11" t="n">
        <x:v>0.012412511955337768</x:v>
      </x:c>
      <x:c r="I166" s="11" t="n">
        <x:v>0.8125</x:v>
      </x:c>
      <x:c r="J166" s="13" t="n">
        <x:v>16</x:v>
      </x:c>
      <x:c r="K166" s="22" t="b">
        <x:v>0</x:v>
      </x:c>
      <x:c r="L166" s="13" t="n">
        <x:v>86</x:v>
      </x:c>
      <x:c r="M166" s="13" t="n">
        <x:v>27</x:v>
      </x:c>
    </x:row>
    <x:row r="167" ht="22" customHeight="1">
      <x:c r="A167" s="17" t="str">
        <x:f>"02056900"</x:f>
        <x:v>02056900</x:v>
      </x:c>
      <x:c r="B167" s="13" t="n">
        <x:v>42</x:v>
      </x:c>
      <x:c r="C167" s="22" t="b">
        <x:v>0</x:v>
      </x:c>
      <x:c r="D167" s="11" t="n">
        <x:v>0.20347449819844643</x:v>
      </x:c>
      <x:c r="E167" s="11" t="n">
        <x:v>0.17193027760675184</x:v>
      </x:c>
      <x:c r="F167" s="11" t="n">
        <x:v>0.20650637007104633</x:v>
      </x:c>
      <x:c r="G167" s="11" t="n">
        <x:v>0.031544220591694594</x:v>
      </x:c>
      <x:c r="H167" s="11" t="n">
        <x:v>-0.0030318718725999005</x:v>
      </x:c>
      <x:c r="I167" s="11" t="n">
        <x:v>0.2777777777777778</x:v>
      </x:c>
      <x:c r="J167" s="13" t="n">
        <x:v>18</x:v>
      </x:c>
      <x:c r="K167" s="22" t="b">
        <x:v>0</x:v>
      </x:c>
      <x:c r="L167" s="13" t="n">
        <x:v>111</x:v>
      </x:c>
      <x:c r="M167" s="13" t="n">
        <x:v>37</x:v>
      </x:c>
    </x:row>
    <x:row r="168" ht="22" customHeight="1">
      <x:c r="A168" s="17" t="str">
        <x:f>"02059500"</x:f>
        <x:v>02059500</x:v>
      </x:c>
      <x:c r="B168" s="13" t="n">
        <x:v>42</x:v>
      </x:c>
      <x:c r="C168" s="22" t="b">
        <x:v>1</x:v>
      </x:c>
      <x:c r="D168" s="11" t="n">
        <x:v>0.18613937134714265</x:v>
      </x:c>
      <x:c r="E168" s="11" t="n">
        <x:v>0.16998823259339524</x:v>
      </x:c>
      <x:c r="F168" s="11" t="n">
        <x:v>0.07938248996157227</x:v>
      </x:c>
      <x:c r="G168" s="11" t="n">
        <x:v>0.016151138753747407</x:v>
      </x:c>
      <x:c r="H168" s="11" t="n">
        <x:v>0.10675688138557038</x:v>
      </x:c>
      <x:c r="I168" s="11" t="n">
        <x:v>1</x:v>
      </x:c>
      <x:c r="J168" s="13" t="n">
        <x:v>16</x:v>
      </x:c>
      <x:c r="K168" s="22" t="b">
        <x:v>1</x:v>
      </x:c>
      <x:c r="L168" s="13" t="n">
        <x:v>63</x:v>
      </x:c>
      <x:c r="M168" s="13" t="n">
        <x:v>21</x:v>
      </x:c>
    </x:row>
    <x:row r="169" ht="22" customHeight="1">
      <x:c r="A169" s="17" t="str">
        <x:f>"02059500"</x:f>
        <x:v>02059500</x:v>
      </x:c>
      <x:c r="B169" s="13" t="n">
        <x:v>42</x:v>
      </x:c>
      <x:c r="C169" s="22" t="b">
        <x:v>0</x:v>
      </x:c>
      <x:c r="D169" s="11" t="n">
        <x:v>0.12573407557799</x:v>
      </x:c>
      <x:c r="E169" s="11" t="n">
        <x:v>0.14083979804229696</x:v>
      </x:c>
      <x:c r="F169" s="11" t="n">
        <x:v>-0.29228911698618965</x:v>
      </x:c>
      <x:c r="G169" s="11" t="n">
        <x:v>-0.01510572246430697</x:v>
      </x:c>
      <x:c r="H169" s="11" t="n">
        <x:v>0.41802319256417964</x:v>
      </x:c>
      <x:c r="I169" s="11" t="n">
        <x:v>1</x:v>
      </x:c>
      <x:c r="J169" s="13" t="n">
        <x:v>18</x:v>
      </x:c>
      <x:c r="K169" s="22" t="b">
        <x:v>1</x:v>
      </x:c>
      <x:c r="L169" s="13" t="n">
        <x:v>69</x:v>
      </x:c>
      <x:c r="M169" s="13" t="n">
        <x:v>23</x:v>
      </x:c>
    </x:row>
    <x:row r="170" ht="22" customHeight="1">
      <x:c r="A170" s="17" t="str">
        <x:f>"02064000"</x:f>
        <x:v>02064000</x:v>
      </x:c>
      <x:c r="B170" s="13" t="n">
        <x:v>42</x:v>
      </x:c>
      <x:c r="C170" s="22" t="b">
        <x:v>1</x:v>
      </x:c>
      <x:c r="D170" s="11" t="n">
        <x:v>0.35528195144742214</x:v>
      </x:c>
      <x:c r="E170" s="11" t="n">
        <x:v>0.33674493615438006</x:v>
      </x:c>
      <x:c r="F170" s="11" t="n">
        <x:v>0.23096140307104307</x:v>
      </x:c>
      <x:c r="G170" s="11" t="n">
        <x:v>0.01853701529304208</x:v>
      </x:c>
      <x:c r="H170" s="11" t="n">
        <x:v>0.12432054837637907</x:v>
      </x:c>
      <x:c r="I170" s="11" t="n">
        <x:v>0.5333333333333333</x:v>
      </x:c>
      <x:c r="J170" s="13" t="n">
        <x:v>15</x:v>
      </x:c>
      <x:c r="K170" s="22" t="b">
        <x:v>0</x:v>
      </x:c>
      <x:c r="L170" s="13" t="n">
        <x:v>66</x:v>
      </x:c>
      <x:c r="M170" s="13" t="n">
        <x:v>22</x:v>
      </x:c>
    </x:row>
    <x:row r="171" ht="22" customHeight="1">
      <x:c r="A171" s="17" t="str">
        <x:f>"02064000"</x:f>
        <x:v>02064000</x:v>
      </x:c>
      <x:c r="B171" s="13" t="n">
        <x:v>42</x:v>
      </x:c>
      <x:c r="C171" s="22" t="b">
        <x:v>0</x:v>
      </x:c>
      <x:c r="D171" s="11" t="n">
        <x:v>0.21603338198553024</x:v>
      </x:c>
      <x:c r="E171" s="11" t="n">
        <x:v>0.2168480348626236</x:v>
      </x:c>
      <x:c r="F171" s="11" t="n">
        <x:v>-0.8614919418438813</x:v>
      </x:c>
      <x:c r="G171" s="11" t="n">
        <x:v>-0.0008146528770933692</x:v>
      </x:c>
      <x:c r="H171" s="11" t="n">
        <x:v>1.0775253238294116</x:v>
      </x:c>
      <x:c r="I171" s="11" t="n">
        <x:v>1</x:v>
      </x:c>
      <x:c r="J171" s="13" t="n">
        <x:v>10</x:v>
      </x:c>
      <x:c r="K171" s="22" t="b">
        <x:v>1</x:v>
      </x:c>
      <x:c r="L171" s="13" t="n">
        <x:v>62</x:v>
      </x:c>
      <x:c r="M171" s="13" t="n">
        <x:v>21</x:v>
      </x:c>
    </x:row>
    <x:row r="172" ht="22" customHeight="1">
      <x:c r="A172" s="17" t="str">
        <x:f>"02065500"</x:f>
        <x:v>02065500</x:v>
      </x:c>
      <x:c r="B172" s="13" t="n">
        <x:v>42</x:v>
      </x:c>
      <x:c r="C172" s="22" t="b">
        <x:v>1</x:v>
      </x:c>
      <x:c r="D172" s="11" t="n">
        <x:v>0.45946218590594023</x:v>
      </x:c>
      <x:c r="E172" s="11" t="n">
        <x:v>0.397359391134962</x:v>
      </x:c>
      <x:c r="F172" s="11" t="n">
        <x:v>0.10350212267015524</x:v>
      </x:c>
      <x:c r="G172" s="11" t="n">
        <x:v>0.06210279477097824</x:v>
      </x:c>
      <x:c r="H172" s="11" t="n">
        <x:v>0.355960063235785</x:v>
      </x:c>
      <x:c r="I172" s="11" t="n">
        <x:v>0.6153846153846154</x:v>
      </x:c>
      <x:c r="J172" s="13" t="n">
        <x:v>13</x:v>
      </x:c>
      <x:c r="K172" s="22" t="b">
        <x:v>0</x:v>
      </x:c>
      <x:c r="L172" s="13" t="n">
        <x:v>117</x:v>
      </x:c>
      <x:c r="M172" s="13" t="n">
        <x:v>43</x:v>
      </x:c>
    </x:row>
    <x:row r="173" ht="22" customHeight="1">
      <x:c r="A173" s="17" t="str">
        <x:f>"02065500"</x:f>
        <x:v>02065500</x:v>
      </x:c>
      <x:c r="B173" s="13" t="n">
        <x:v>42</x:v>
      </x:c>
      <x:c r="C173" s="22" t="b">
        <x:v>0</x:v>
      </x:c>
      <x:c r="D173" s="11" t="n">
        <x:v>0.29601936027200215</x:v>
      </x:c>
      <x:c r="E173" s="11" t="n">
        <x:v>0.29313995195514664</x:v>
      </x:c>
      <x:c r="F173" s="11" t="n">
        <x:v>-0.026383327601914086</x:v>
      </x:c>
      <x:c r="G173" s="11" t="n">
        <x:v>0.002879408316855514</x:v>
      </x:c>
      <x:c r="H173" s="11" t="n">
        <x:v>0.32240268787391624</x:v>
      </x:c>
      <x:c r="I173" s="11" t="n">
        <x:v>0.65</x:v>
      </x:c>
      <x:c r="J173" s="13" t="n">
        <x:v>20</x:v>
      </x:c>
      <x:c r="K173" s="22" t="b">
        <x:v>0</x:v>
      </x:c>
      <x:c r="L173" s="13" t="n">
        <x:v>109</x:v>
      </x:c>
      <x:c r="M173" s="13" t="n">
        <x:v>36</x:v>
      </x:c>
    </x:row>
    <x:row r="174" ht="22" customHeight="1">
      <x:c r="A174" s="17" t="str">
        <x:f>"02069700"</x:f>
        <x:v>02069700</x:v>
      </x:c>
      <x:c r="B174" s="13" t="n">
        <x:v>42</x:v>
      </x:c>
      <x:c r="C174" s="22" t="b">
        <x:v>1</x:v>
      </x:c>
      <x:c r="D174" s="11" t="n">
        <x:v>0.3777497232855894</x:v>
      </x:c>
      <x:c r="E174" s="11" t="n">
        <x:v>0.37416653004303413</x:v>
      </x:c>
      <x:c r="F174" s="11" t="n">
        <x:v>0.2546851136856769</x:v>
      </x:c>
      <x:c r="G174" s="11" t="n">
        <x:v>0.0035831932425552937</x:v>
      </x:c>
      <x:c r="H174" s="11" t="n">
        <x:v>0.1230646095999125</x:v>
      </x:c>
      <x:c r="I174" s="11"/>
      <x:c r="J174" s="13" t="n">
        <x:v>0</x:v>
      </x:c>
      <x:c r="K174" s="22" t="b">
        <x:v>0</x:v>
      </x:c>
      <x:c r="L174" s="13" t="n">
        <x:v>55</x:v>
      </x:c>
      <x:c r="M174" s="13" t="n">
        <x:v>18</x:v>
      </x:c>
    </x:row>
    <x:row r="175" ht="22" customHeight="1">
      <x:c r="A175" s="17" t="str">
        <x:f>"02069700"</x:f>
        <x:v>02069700</x:v>
      </x:c>
      <x:c r="B175" s="13" t="n">
        <x:v>42</x:v>
      </x:c>
      <x:c r="C175" s="22" t="b">
        <x:v>0</x:v>
      </x:c>
      <x:c r="D175" s="11" t="n">
        <x:v>0.194011508238094</x:v>
      </x:c>
      <x:c r="E175" s="11" t="n">
        <x:v>0.1651310625132395</x:v>
      </x:c>
      <x:c r="F175" s="11" t="n">
        <x:v>-0.4057579188948077</x:v>
      </x:c>
      <x:c r="G175" s="11" t="n">
        <x:v>0.028880445724854487</x:v>
      </x:c>
      <x:c r="H175" s="11" t="n">
        <x:v>0.5997694271329017</x:v>
      </x:c>
      <x:c r="I175" s="11" t="n">
        <x:v>1</x:v>
      </x:c>
      <x:c r="J175" s="13" t="n">
        <x:v>8</x:v>
      </x:c>
      <x:c r="K175" s="22" t="b">
        <x:v>1</x:v>
      </x:c>
      <x:c r="L175" s="13" t="n">
        <x:v>82</x:v>
      </x:c>
      <x:c r="M175" s="13" t="n">
        <x:v>26</x:v>
      </x:c>
    </x:row>
    <x:row r="176" ht="22" customHeight="1">
      <x:c r="A176" s="17" t="str">
        <x:f>"02070000"</x:f>
        <x:v>02070000</x:v>
      </x:c>
      <x:c r="B176" s="13" t="n">
        <x:v>42</x:v>
      </x:c>
      <x:c r="C176" s="22" t="b">
        <x:v>1</x:v>
      </x:c>
      <x:c r="D176" s="11" t="n">
        <x:v>0.22514261605539188</x:v>
      </x:c>
      <x:c r="E176" s="11" t="n">
        <x:v>0.23851967330780355</x:v>
      </x:c>
      <x:c r="F176" s="11" t="n">
        <x:v>0.18818322727213632</x:v>
      </x:c>
      <x:c r="G176" s="11" t="n">
        <x:v>-0.013377057252411673</x:v>
      </x:c>
      <x:c r="H176" s="11" t="n">
        <x:v>0.03695938878325555</x:v>
      </x:c>
      <x:c r="I176" s="11" t="n">
        <x:v>0.8235294117647058</x:v>
      </x:c>
      <x:c r="J176" s="13" t="n">
        <x:v>17</x:v>
      </x:c>
      <x:c r="K176" s="22" t="b">
        <x:v>1</x:v>
      </x:c>
      <x:c r="L176" s="13" t="n">
        <x:v>68</x:v>
      </x:c>
      <x:c r="M176" s="13" t="n">
        <x:v>23</x:v>
      </x:c>
    </x:row>
    <x:row r="177" ht="22" customHeight="1">
      <x:c r="A177" s="17" t="str">
        <x:f>"02070000"</x:f>
        <x:v>02070000</x:v>
      </x:c>
      <x:c r="B177" s="13" t="n">
        <x:v>42</x:v>
      </x:c>
      <x:c r="C177" s="22" t="b">
        <x:v>0</x:v>
      </x:c>
      <x:c r="D177" s="11" t="n">
        <x:v>0.14917051670089188</x:v>
      </x:c>
      <x:c r="E177" s="11" t="n">
        <x:v>0.12541938560441612</x:v>
      </x:c>
      <x:c r="F177" s="11" t="n">
        <x:v>-0.09831919358367869</x:v>
      </x:c>
      <x:c r="G177" s="11" t="n">
        <x:v>0.023751131096475753</x:v>
      </x:c>
      <x:c r="H177" s="11" t="n">
        <x:v>0.24748971028457056</x:v>
      </x:c>
      <x:c r="I177" s="11"/>
      <x:c r="J177" s="13" t="n">
        <x:v>0</x:v>
      </x:c>
      <x:c r="K177" s="22" t="b">
        <x:v>0</x:v>
      </x:c>
      <x:c r="L177" s="13" t="n">
        <x:v>58</x:v>
      </x:c>
      <x:c r="M177" s="13" t="n">
        <x:v>19</x:v>
      </x:c>
    </x:row>
    <x:row r="178" ht="22" customHeight="1">
      <x:c r="A178" s="17" t="str">
        <x:f>"02074500"</x:f>
        <x:v>02074500</x:v>
      </x:c>
      <x:c r="B178" s="13" t="n">
        <x:v>42</x:v>
      </x:c>
      <x:c r="C178" s="22" t="b">
        <x:v>1</x:v>
      </x:c>
      <x:c r="D178" s="11" t="n">
        <x:v>0.2774585795413427</x:v>
      </x:c>
      <x:c r="E178" s="11" t="n">
        <x:v>0.2730039742167416</x:v>
      </x:c>
      <x:c r="F178" s="11" t="n">
        <x:v>0.2751512453491052</x:v>
      </x:c>
      <x:c r="G178" s="11" t="n">
        <x:v>0.004454605324601069</x:v>
      </x:c>
      <x:c r="H178" s="11" t="n">
        <x:v>0.002307334192237498</x:v>
      </x:c>
      <x:c r="I178" s="11" t="n">
        <x:v>1</x:v>
      </x:c>
      <x:c r="J178" s="13" t="n">
        <x:v>12</x:v>
      </x:c>
      <x:c r="K178" s="22" t="b">
        <x:v>0</x:v>
      </x:c>
      <x:c r="L178" s="13" t="n">
        <x:v>72</x:v>
      </x:c>
      <x:c r="M178" s="13" t="n">
        <x:v>24</x:v>
      </x:c>
    </x:row>
    <x:row r="179" ht="22" customHeight="1">
      <x:c r="A179" s="17" t="str">
        <x:f>"02074500"</x:f>
        <x:v>02074500</x:v>
      </x:c>
      <x:c r="B179" s="13" t="n">
        <x:v>42</x:v>
      </x:c>
      <x:c r="C179" s="22" t="b">
        <x:v>0</x:v>
      </x:c>
      <x:c r="D179" s="11" t="n">
        <x:v>0.1315279708388366</x:v>
      </x:c>
      <x:c r="E179" s="11" t="n">
        <x:v>0.05120567484074412</x:v>
      </x:c>
      <x:c r="F179" s="11" t="n">
        <x:v>-0.02090644633936911</x:v>
      </x:c>
      <x:c r="G179" s="11" t="n">
        <x:v>0.08032229599809249</x:v>
      </x:c>
      <x:c r="H179" s="11" t="n">
        <x:v>0.15243441717820572</x:v>
      </x:c>
      <x:c r="I179" s="11" t="n">
        <x:v>1</x:v>
      </x:c>
      <x:c r="J179" s="13" t="n">
        <x:v>20</x:v>
      </x:c>
      <x:c r="K179" s="22" t="b">
        <x:v>0</x:v>
      </x:c>
      <x:c r="L179" s="13" t="n">
        <x:v>80</x:v>
      </x:c>
      <x:c r="M179" s="13" t="n">
        <x:v>27</x:v>
      </x:c>
    </x:row>
    <x:row r="180" ht="22" customHeight="1">
      <x:c r="A180" s="17" t="str">
        <x:f>"02077200"</x:f>
        <x:v>02077200</x:v>
      </x:c>
      <x:c r="B180" s="13" t="n">
        <x:v>42</x:v>
      </x:c>
      <x:c r="C180" s="22" t="b">
        <x:v>1</x:v>
      </x:c>
      <x:c r="D180" s="11" t="n">
        <x:v>0.3355704970638659</x:v>
      </x:c>
      <x:c r="E180" s="11" t="n">
        <x:v>0.30853780431411537</x:v>
      </x:c>
      <x:c r="F180" s="11" t="n">
        <x:v>0.23883911960555604</x:v>
      </x:c>
      <x:c r="G180" s="11" t="n">
        <x:v>0.02703269274975051</x:v>
      </x:c>
      <x:c r="H180" s="11" t="n">
        <x:v>0.09673137745830984</x:v>
      </x:c>
      <x:c r="I180" s="11" t="n">
        <x:v>0.9411764705882353</x:v>
      </x:c>
      <x:c r="J180" s="13" t="n">
        <x:v>17</x:v>
      </x:c>
      <x:c r="K180" s="22" t="b">
        <x:v>1</x:v>
      </x:c>
      <x:c r="L180" s="13" t="n">
        <x:v>47</x:v>
      </x:c>
      <x:c r="M180" s="13" t="n">
        <x:v>17</x:v>
      </x:c>
    </x:row>
    <x:row r="181" ht="22" customHeight="1">
      <x:c r="A181" s="17" t="str">
        <x:f>"02077200"</x:f>
        <x:v>02077200</x:v>
      </x:c>
      <x:c r="B181" s="13" t="n">
        <x:v>42</x:v>
      </x:c>
      <x:c r="C181" s="22" t="b">
        <x:v>0</x:v>
      </x:c>
      <x:c r="D181" s="11" t="n">
        <x:v>0.2508521923705016</x:v>
      </x:c>
      <x:c r="E181" s="11" t="n">
        <x:v>0.055827210409918115</x:v>
      </x:c>
      <x:c r="F181" s="11" t="n">
        <x:v>0.2361856332504435</x:v>
      </x:c>
      <x:c r="G181" s="11" t="n">
        <x:v>0.1950249819605835</x:v>
      </x:c>
      <x:c r="H181" s="11" t="n">
        <x:v>0.014666559120058098</x:v>
      </x:c>
      <x:c r="I181" s="11" t="n">
        <x:v>1</x:v>
      </x:c>
      <x:c r="J181" s="13" t="n">
        <x:v>20</x:v>
      </x:c>
      <x:c r="K181" s="22" t="b">
        <x:v>0</x:v>
      </x:c>
      <x:c r="L181" s="13" t="n">
        <x:v>89</x:v>
      </x:c>
      <x:c r="M181" s="13" t="n">
        <x:v>28</x:v>
      </x:c>
    </x:row>
    <x:row r="182" ht="22" customHeight="1">
      <x:c r="A182" s="17" t="str">
        <x:f>"02081500"</x:f>
        <x:v>02081500</x:v>
      </x:c>
      <x:c r="B182" s="13" t="n">
        <x:v>42</x:v>
      </x:c>
      <x:c r="C182" s="22" t="b">
        <x:v>1</x:v>
      </x:c>
      <x:c r="D182" s="11" t="n">
        <x:v>0.27389839254650805</x:v>
      </x:c>
      <x:c r="E182" s="11" t="n">
        <x:v>0.13942898439675921</x:v>
      </x:c>
      <x:c r="F182" s="11" t="n">
        <x:v>0.139628095106879</x:v>
      </x:c>
      <x:c r="G182" s="11" t="n">
        <x:v>0.13446940814974884</x:v>
      </x:c>
      <x:c r="H182" s="11" t="n">
        <x:v>0.13427029743962904</x:v>
      </x:c>
      <x:c r="I182" s="11" t="n">
        <x:v>1</x:v>
      </x:c>
      <x:c r="J182" s="13" t="n">
        <x:v>14</x:v>
      </x:c>
      <x:c r="K182" s="22" t="b">
        <x:v>0</x:v>
      </x:c>
      <x:c r="L182" s="13" t="n">
        <x:v>77</x:v>
      </x:c>
      <x:c r="M182" s="13" t="n">
        <x:v>25</x:v>
      </x:c>
    </x:row>
    <x:row r="183" ht="22" customHeight="1">
      <x:c r="A183" s="17" t="str">
        <x:f>"02081500"</x:f>
        <x:v>02081500</x:v>
      </x:c>
      <x:c r="B183" s="13" t="n">
        <x:v>42</x:v>
      </x:c>
      <x:c r="C183" s="22" t="b">
        <x:v>0</x:v>
      </x:c>
      <x:c r="D183" s="11" t="n">
        <x:v>0.16930325261832313</x:v>
      </x:c>
      <x:c r="E183" s="11" t="n">
        <x:v>0.12347236282708562</x:v>
      </x:c>
      <x:c r="F183" s="11" t="n">
        <x:v>-0.4026851426470657</x:v>
      </x:c>
      <x:c r="G183" s="11" t="n">
        <x:v>0.045830889791237506</x:v>
      </x:c>
      <x:c r="H183" s="11" t="n">
        <x:v>0.5719883952653888</x:v>
      </x:c>
      <x:c r="I183" s="11" t="n">
        <x:v>1</x:v>
      </x:c>
      <x:c r="J183" s="13" t="n">
        <x:v>20</x:v>
      </x:c>
      <x:c r="K183" s="22" t="b">
        <x:v>1</x:v>
      </x:c>
      <x:c r="L183" s="13" t="n">
        <x:v>98</x:v>
      </x:c>
      <x:c r="M183" s="13" t="n">
        <x:v>34</x:v>
      </x:c>
    </x:row>
    <x:row r="184" ht="22" customHeight="1">
      <x:c r="A184" s="17" t="str">
        <x:f>"02082950"</x:f>
        <x:v>02082950</x:v>
      </x:c>
      <x:c r="B184" s="13" t="n">
        <x:v>42</x:v>
      </x:c>
      <x:c r="C184" s="22" t="b">
        <x:v>1</x:v>
      </x:c>
      <x:c r="D184" s="11" t="n">
        <x:v>0.6478090519209132</x:v>
      </x:c>
      <x:c r="E184" s="11" t="n">
        <x:v>0.6508645641971278</x:v>
      </x:c>
      <x:c r="F184" s="11" t="n">
        <x:v>-0.45354741741906435</x:v>
      </x:c>
      <x:c r="G184" s="11" t="n">
        <x:v>-0.003055512276214589</x:v>
      </x:c>
      <x:c r="H184" s="11" t="n">
        <x:v>1.1013564693399776</x:v>
      </x:c>
      <x:c r="I184" s="11" t="n">
        <x:v>0.7</x:v>
      </x:c>
      <x:c r="J184" s="13" t="n">
        <x:v>20</x:v>
      </x:c>
      <x:c r="K184" s="22" t="b">
        <x:v>0</x:v>
      </x:c>
      <x:c r="L184" s="13" t="n">
        <x:v>119</x:v>
      </x:c>
      <x:c r="M184" s="13" t="n">
        <x:v>41</x:v>
      </x:c>
    </x:row>
    <x:row r="185" ht="22" customHeight="1">
      <x:c r="A185" s="17" t="str">
        <x:f>"02082950"</x:f>
        <x:v>02082950</x:v>
      </x:c>
      <x:c r="B185" s="13" t="n">
        <x:v>42</x:v>
      </x:c>
      <x:c r="C185" s="22" t="b">
        <x:v>0</x:v>
      </x:c>
      <x:c r="D185" s="11" t="n">
        <x:v>0.06649967270310486</x:v>
      </x:c>
      <x:c r="E185" s="11" t="n">
        <x:v>0.08868948177346292</x:v>
      </x:c>
      <x:c r="F185" s="11" t="n">
        <x:v>-7.858444332206155</x:v>
      </x:c>
      <x:c r="G185" s="11" t="n">
        <x:v>-0.022189809070358057</x:v>
      </x:c>
      <x:c r="H185" s="11" t="n">
        <x:v>7.92494400490926</x:v>
      </x:c>
      <x:c r="I185" s="11" t="n">
        <x:v>1</x:v>
      </x:c>
      <x:c r="J185" s="13" t="n">
        <x:v>17</x:v>
      </x:c>
      <x:c r="K185" s="22" t="b">
        <x:v>1</x:v>
      </x:c>
      <x:c r="L185" s="13" t="n">
        <x:v>90</x:v>
      </x:c>
      <x:c r="M185" s="13" t="n">
        <x:v>33</x:v>
      </x:c>
    </x:row>
    <x:row r="186" ht="22" customHeight="1">
      <x:c r="A186" s="17" t="str">
        <x:f>"02092500"</x:f>
        <x:v>02092500</x:v>
      </x:c>
      <x:c r="B186" s="13" t="n">
        <x:v>42</x:v>
      </x:c>
      <x:c r="C186" s="22" t="b">
        <x:v>1</x:v>
      </x:c>
      <x:c r="D186" s="11" t="n">
        <x:v>0.9543002419701953</x:v>
      </x:c>
      <x:c r="E186" s="11" t="n">
        <x:v>0.9226778064340813</x:v>
      </x:c>
      <x:c r="F186" s="11" t="n">
        <x:v>-0.5420690948910931</x:v>
      </x:c>
      <x:c r="G186" s="11" t="n">
        <x:v>0.03162243553611399</x:v>
      </x:c>
      <x:c r="H186" s="11" t="n">
        <x:v>1.4963693368612883</x:v>
      </x:c>
      <x:c r="I186" s="11"/>
      <x:c r="J186" s="13" t="n">
        <x:v>0</x:v>
      </x:c>
      <x:c r="K186" s="22" t="b">
        <x:v>0</x:v>
      </x:c>
      <x:c r="L186" s="13" t="n">
        <x:v>51</x:v>
      </x:c>
      <x:c r="M186" s="13" t="n">
        <x:v>18</x:v>
      </x:c>
    </x:row>
    <x:row r="187" ht="22" customHeight="1">
      <x:c r="A187" s="17" t="str">
        <x:f>"02092500"</x:f>
        <x:v>02092500</x:v>
      </x:c>
      <x:c r="B187" s="13" t="n">
        <x:v>42</x:v>
      </x:c>
      <x:c r="C187" s="22" t="b">
        <x:v>0</x:v>
      </x:c>
      <x:c r="D187" s="11" t="n">
        <x:v>0.6025462043299346</x:v>
      </x:c>
      <x:c r="E187" s="11" t="n">
        <x:v>0.30437089713512555</x:v>
      </x:c>
      <x:c r="F187" s="11" t="n">
        <x:v>0.29187545535110593</x:v>
      </x:c>
      <x:c r="G187" s="11" t="n">
        <x:v>0.298175307194809</x:v>
      </x:c>
      <x:c r="H187" s="11" t="n">
        <x:v>0.3106707489788286</x:v>
      </x:c>
      <x:c r="I187" s="11" t="n">
        <x:v>0</x:v>
      </x:c>
      <x:c r="J187" s="13" t="n">
        <x:v>14</x:v>
      </x:c>
      <x:c r="K187" s="22" t="b">
        <x:v>0</x:v>
      </x:c>
      <x:c r="L187" s="13" t="n">
        <x:v>75</x:v>
      </x:c>
      <x:c r="M187" s="13" t="n">
        <x:v>25</x:v>
      </x:c>
    </x:row>
    <x:row r="188" ht="22" customHeight="1">
      <x:c r="A188" s="17" t="str">
        <x:f>"02102908"</x:f>
        <x:v>02102908</x:v>
      </x:c>
      <x:c r="B188" s="13" t="n">
        <x:v>42</x:v>
      </x:c>
      <x:c r="C188" s="22" t="b">
        <x:v>1</x:v>
      </x:c>
      <x:c r="D188" s="11" t="n">
        <x:v>0.40691439721632827</x:v>
      </x:c>
      <x:c r="E188" s="11" t="n">
        <x:v>0.33253303267293655</x:v>
      </x:c>
      <x:c r="F188" s="11" t="n">
        <x:v>0.36251976496901406</x:v>
      </x:c>
      <x:c r="G188" s="11" t="n">
        <x:v>0.07438136454339173</x:v>
      </x:c>
      <x:c r="H188" s="11" t="n">
        <x:v>0.044394632247314214</x:v>
      </x:c>
      <x:c r="I188" s="11" t="n">
        <x:v>1</x:v>
      </x:c>
      <x:c r="J188" s="13" t="n">
        <x:v>6</x:v>
      </x:c>
      <x:c r="K188" s="22" t="b">
        <x:v>0</x:v>
      </x:c>
      <x:c r="L188" s="13" t="n">
        <x:v>90</x:v>
      </x:c>
      <x:c r="M188" s="13" t="n">
        <x:v>28</x:v>
      </x:c>
    </x:row>
    <x:row r="189" ht="22" customHeight="1">
      <x:c r="A189" s="17" t="str">
        <x:f>"02102908"</x:f>
        <x:v>02102908</x:v>
      </x:c>
      <x:c r="B189" s="13" t="n">
        <x:v>42</x:v>
      </x:c>
      <x:c r="C189" s="22" t="b">
        <x:v>0</x:v>
      </x:c>
      <x:c r="D189" s="11" t="n">
        <x:v>0.05826776727197436</x:v>
      </x:c>
      <x:c r="E189" s="11" t="n">
        <x:v>0.11938641661318816</x:v>
      </x:c>
      <x:c r="F189" s="11" t="n">
        <x:v>-0.8001443306940486</x:v>
      </x:c>
      <x:c r="G189" s="11" t="n">
        <x:v>-0.061118649341213804</x:v>
      </x:c>
      <x:c r="H189" s="11" t="n">
        <x:v>0.8584120979660229</x:v>
      </x:c>
      <x:c r="I189" s="11" t="n">
        <x:v>0</x:v>
      </x:c>
      <x:c r="J189" s="13" t="n">
        <x:v>10</x:v>
      </x:c>
      <x:c r="K189" s="22" t="b">
        <x:v>0</x:v>
      </x:c>
      <x:c r="L189" s="13" t="n">
        <x:v>83</x:v>
      </x:c>
      <x:c r="M189" s="13" t="n">
        <x:v>27</x:v>
      </x:c>
    </x:row>
    <x:row r="190" ht="22" customHeight="1">
      <x:c r="A190" s="17" t="str">
        <x:f>"02108000"</x:f>
        <x:v>02108000</x:v>
      </x:c>
      <x:c r="B190" s="13" t="n">
        <x:v>42</x:v>
      </x:c>
      <x:c r="C190" s="22" t="b">
        <x:v>1</x:v>
      </x:c>
      <x:c r="D190" s="11" t="n">
        <x:v>0.9654037246819535</x:v>
      </x:c>
      <x:c r="E190" s="11" t="n">
        <x:v>0.9366155237472794</x:v>
      </x:c>
      <x:c r="F190" s="11" t="n">
        <x:v>-1.7371340904912782</x:v>
      </x:c>
      <x:c r="G190" s="11" t="n">
        <x:v>0.028788200934674046</x:v>
      </x:c>
      <x:c r="H190" s="11" t="n">
        <x:v>2.7025378151732316</x:v>
      </x:c>
      <x:c r="I190" s="11" t="n">
        <x:v>1</x:v>
      </x:c>
      <x:c r="J190" s="13" t="n">
        <x:v>15</x:v>
      </x:c>
      <x:c r="K190" s="22" t="b">
        <x:v>1</x:v>
      </x:c>
      <x:c r="L190" s="13" t="n">
        <x:v>78</x:v>
      </x:c>
      <x:c r="M190" s="13" t="n">
        <x:v>25</x:v>
      </x:c>
    </x:row>
    <x:row r="191" ht="22" customHeight="1">
      <x:c r="A191" s="17" t="str">
        <x:f>"02108000"</x:f>
        <x:v>02108000</x:v>
      </x:c>
      <x:c r="B191" s="13" t="n">
        <x:v>42</x:v>
      </x:c>
      <x:c r="C191" s="22" t="b">
        <x:v>0</x:v>
      </x:c>
      <x:c r="D191" s="11" t="n">
        <x:v>0.5503239849093035</x:v>
      </x:c>
      <x:c r="E191" s="11" t="n">
        <x:v>0.306333898460839</x:v>
      </x:c>
      <x:c r="F191" s="11" t="n">
        <x:v>-1.088268616535054</x:v>
      </x:c>
      <x:c r="G191" s="11" t="n">
        <x:v>0.24399008644846443</x:v>
      </x:c>
      <x:c r="H191" s="11" t="n">
        <x:v>1.6385926014443575</x:v>
      </x:c>
      <x:c r="I191" s="11" t="n">
        <x:v>0.3</x:v>
      </x:c>
      <x:c r="J191" s="13" t="n">
        <x:v>20</x:v>
      </x:c>
      <x:c r="K191" s="22" t="b">
        <x:v>0</x:v>
      </x:c>
      <x:c r="L191" s="13" t="n">
        <x:v>105</x:v>
      </x:c>
      <x:c r="M191" s="13" t="n">
        <x:v>36</x:v>
      </x:c>
    </x:row>
    <x:row r="192" ht="22" customHeight="1">
      <x:c r="A192" s="17" t="str">
        <x:f>"02111180"</x:f>
        <x:v>02111180</x:v>
      </x:c>
      <x:c r="B192" s="13" t="n">
        <x:v>42</x:v>
      </x:c>
      <x:c r="C192" s="22" t="b">
        <x:v>1</x:v>
      </x:c>
      <x:c r="D192" s="11" t="n">
        <x:v>0.45031853858972803</x:v>
      </x:c>
      <x:c r="E192" s="11" t="n">
        <x:v>0.4280689904424695</x:v>
      </x:c>
      <x:c r="F192" s="11" t="n">
        <x:v>0.3229317823063107</x:v>
      </x:c>
      <x:c r="G192" s="11" t="n">
        <x:v>0.022249548147258547</x:v>
      </x:c>
      <x:c r="H192" s="11" t="n">
        <x:v>0.12738675628341734</x:v>
      </x:c>
      <x:c r="I192" s="11" t="n">
        <x:v>1</x:v>
      </x:c>
      <x:c r="J192" s="13" t="n">
        <x:v>9</x:v>
      </x:c>
      <x:c r="K192" s="22" t="b">
        <x:v>1</x:v>
      </x:c>
      <x:c r="L192" s="13" t="n">
        <x:v>86</x:v>
      </x:c>
      <x:c r="M192" s="13" t="n">
        <x:v>27</x:v>
      </x:c>
    </x:row>
    <x:row r="193" ht="22" customHeight="1">
      <x:c r="A193" s="17" t="str">
        <x:f>"02111180"</x:f>
        <x:v>02111180</x:v>
      </x:c>
      <x:c r="B193" s="13" t="n">
        <x:v>42</x:v>
      </x:c>
      <x:c r="C193" s="22" t="b">
        <x:v>0</x:v>
      </x:c>
      <x:c r="D193" s="11" t="n">
        <x:v>0.12909806766955667</x:v>
      </x:c>
      <x:c r="E193" s="11" t="n">
        <x:v>0.11175417588655856</x:v>
      </x:c>
      <x:c r="F193" s="11" t="n">
        <x:v>-0.06591389978107287</x:v>
      </x:c>
      <x:c r="G193" s="11" t="n">
        <x:v>0.01734389178299811</x:v>
      </x:c>
      <x:c r="H193" s="11" t="n">
        <x:v>0.19501196745062954</x:v>
      </x:c>
      <x:c r="I193" s="11" t="n">
        <x:v>1</x:v>
      </x:c>
      <x:c r="J193" s="13" t="n">
        <x:v>8</x:v>
      </x:c>
      <x:c r="K193" s="22" t="b">
        <x:v>1</x:v>
      </x:c>
      <x:c r="L193" s="13" t="n">
        <x:v>89</x:v>
      </x:c>
      <x:c r="M193" s="13" t="n">
        <x:v>28</x:v>
      </x:c>
    </x:row>
    <x:row r="194" ht="22" customHeight="1">
      <x:c r="A194" s="17" t="str">
        <x:f>"02112120"</x:f>
        <x:v>02112120</x:v>
      </x:c>
      <x:c r="B194" s="13" t="n">
        <x:v>42</x:v>
      </x:c>
      <x:c r="C194" s="22" t="b">
        <x:v>1</x:v>
      </x:c>
      <x:c r="D194" s="11" t="n">
        <x:v>0.3784385635420836</x:v>
      </x:c>
      <x:c r="E194" s="11" t="n">
        <x:v>0.37419224585908817</x:v>
      </x:c>
      <x:c r="F194" s="11" t="n">
        <x:v>0.3306792886017196</x:v>
      </x:c>
      <x:c r="G194" s="11" t="n">
        <x:v>0.0042463176829954374</x:v>
      </x:c>
      <x:c r="H194" s="11" t="n">
        <x:v>0.04775927494036403</x:v>
      </x:c>
      <x:c r="I194" s="11" t="n">
        <x:v>0.35</x:v>
      </x:c>
      <x:c r="J194" s="13" t="n">
        <x:v>20</x:v>
      </x:c>
      <x:c r="K194" s="22" t="b">
        <x:v>0</x:v>
      </x:c>
      <x:c r="L194" s="13" t="n">
        <x:v>95</x:v>
      </x:c>
      <x:c r="M194" s="13" t="n">
        <x:v>31</x:v>
      </x:c>
    </x:row>
    <x:row r="195" ht="22" customHeight="1">
      <x:c r="A195" s="17" t="str">
        <x:f>"02112120"</x:f>
        <x:v>02112120</x:v>
      </x:c>
      <x:c r="B195" s="13" t="n">
        <x:v>42</x:v>
      </x:c>
      <x:c r="C195" s="22" t="b">
        <x:v>0</x:v>
      </x:c>
      <x:c r="D195" s="11" t="n">
        <x:v>0.1647050386074529</x:v>
      </x:c>
      <x:c r="E195" s="11" t="n">
        <x:v>0.12579805257568288</x:v>
      </x:c>
      <x:c r="F195" s="11" t="n">
        <x:v>0.016420194157049317</x:v>
      </x:c>
      <x:c r="G195" s="11" t="n">
        <x:v>0.03890698603177001</x:v>
      </x:c>
      <x:c r="H195" s="11" t="n">
        <x:v>0.14828484445040357</x:v>
      </x:c>
      <x:c r="I195" s="11" t="n">
        <x:v>1</x:v>
      </x:c>
      <x:c r="J195" s="13" t="n">
        <x:v>8</x:v>
      </x:c>
      <x:c r="K195" s="22" t="b">
        <x:v>1</x:v>
      </x:c>
      <x:c r="L195" s="13" t="n">
        <x:v>71</x:v>
      </x:c>
      <x:c r="M195" s="13" t="n">
        <x:v>23</x:v>
      </x:c>
    </x:row>
    <x:row r="196" ht="22" customHeight="1">
      <x:c r="A196" s="17" t="str">
        <x:f>"02112360"</x:f>
        <x:v>02112360</x:v>
      </x:c>
      <x:c r="B196" s="13" t="n">
        <x:v>42</x:v>
      </x:c>
      <x:c r="C196" s="22" t="b">
        <x:v>1</x:v>
      </x:c>
      <x:c r="D196" s="11" t="n">
        <x:v>0.4105455906753621</x:v>
      </x:c>
      <x:c r="E196" s="11" t="n">
        <x:v>0.40257401438099005</x:v>
      </x:c>
      <x:c r="F196" s="11" t="n">
        <x:v>0.20679566786163972</x:v>
      </x:c>
      <x:c r="G196" s="11" t="n">
        <x:v>0.007971576294372062</x:v>
      </x:c>
      <x:c r="H196" s="11" t="n">
        <x:v>0.2037499228137224</x:v>
      </x:c>
      <x:c r="I196" s="11" t="n">
        <x:v>0.45</x:v>
      </x:c>
      <x:c r="J196" s="13" t="n">
        <x:v>20</x:v>
      </x:c>
      <x:c r="K196" s="22" t="b">
        <x:v>0</x:v>
      </x:c>
      <x:c r="L196" s="13" t="n">
        <x:v>91</x:v>
      </x:c>
      <x:c r="M196" s="13" t="n">
        <x:v>29</x:v>
      </x:c>
    </x:row>
    <x:row r="197" ht="22" customHeight="1">
      <x:c r="A197" s="17" t="str">
        <x:f>"02112360"</x:f>
        <x:v>02112360</x:v>
      </x:c>
      <x:c r="B197" s="13" t="n">
        <x:v>42</x:v>
      </x:c>
      <x:c r="C197" s="22" t="b">
        <x:v>0</x:v>
      </x:c>
      <x:c r="D197" s="11" t="n">
        <x:v>0.17016118833417415</x:v>
      </x:c>
      <x:c r="E197" s="11" t="n">
        <x:v>0.12690100455524578</x:v>
      </x:c>
      <x:c r="F197" s="11" t="n">
        <x:v>-0.03886818539063519</x:v>
      </x:c>
      <x:c r="G197" s="11" t="n">
        <x:v>0.043260183778928374</x:v>
      </x:c>
      <x:c r="H197" s="11" t="n">
        <x:v>0.20902937372480934</x:v>
      </x:c>
      <x:c r="I197" s="11" t="n">
        <x:v>0.9</x:v>
      </x:c>
      <x:c r="J197" s="13" t="n">
        <x:v>20</x:v>
      </x:c>
      <x:c r="K197" s="22" t="b">
        <x:v>1</x:v>
      </x:c>
      <x:c r="L197" s="13" t="n">
        <x:v>98</x:v>
      </x:c>
      <x:c r="M197" s="13" t="n">
        <x:v>31</x:v>
      </x:c>
    </x:row>
    <x:row r="198" ht="22" customHeight="1">
      <x:c r="A198" s="17" t="str">
        <x:f>"02118500"</x:f>
        <x:v>02118500</x:v>
      </x:c>
      <x:c r="B198" s="13" t="n">
        <x:v>42</x:v>
      </x:c>
      <x:c r="C198" s="22" t="b">
        <x:v>1</x:v>
      </x:c>
      <x:c r="D198" s="11" t="n">
        <x:v>0.2902370915899567</x:v>
      </x:c>
      <x:c r="E198" s="11" t="n">
        <x:v>0.2691270242174173</x:v>
      </x:c>
      <x:c r="F198" s="11" t="n">
        <x:v>0.2576456700878266</x:v>
      </x:c>
      <x:c r="G198" s="11" t="n">
        <x:v>0.0211100673725394</x:v>
      </x:c>
      <x:c r="H198" s="11" t="n">
        <x:v>0.032591421502130125</x:v>
      </x:c>
      <x:c r="I198" s="11" t="n">
        <x:v>1</x:v>
      </x:c>
      <x:c r="J198" s="13" t="n">
        <x:v>11</x:v>
      </x:c>
      <x:c r="K198" s="22" t="b">
        <x:v>1</x:v>
      </x:c>
      <x:c r="L198" s="13" t="n">
        <x:v>70</x:v>
      </x:c>
      <x:c r="M198" s="13" t="n">
        <x:v>23</x:v>
      </x:c>
    </x:row>
    <x:row r="199" ht="22" customHeight="1">
      <x:c r="A199" s="17" t="str">
        <x:f>"02118500"</x:f>
        <x:v>02118500</x:v>
      </x:c>
      <x:c r="B199" s="13" t="n">
        <x:v>42</x:v>
      </x:c>
      <x:c r="C199" s="22" t="b">
        <x:v>0</x:v>
      </x:c>
      <x:c r="D199" s="11" t="n">
        <x:v>0.14414378767513236</x:v>
      </x:c>
      <x:c r="E199" s="11" t="n">
        <x:v>0.13222286770159697</x:v>
      </x:c>
      <x:c r="F199" s="11" t="n">
        <x:v>0.01255335586385431</x:v>
      </x:c>
      <x:c r="G199" s="11" t="n">
        <x:v>0.011920919973535393</x:v>
      </x:c>
      <x:c r="H199" s="11" t="n">
        <x:v>0.13159043181127805</x:v>
      </x:c>
      <x:c r="I199" s="11" t="n">
        <x:v>0.35</x:v>
      </x:c>
      <x:c r="J199" s="13" t="n">
        <x:v>20</x:v>
      </x:c>
      <x:c r="K199" s="22" t="b">
        <x:v>0</x:v>
      </x:c>
      <x:c r="L199" s="13" t="n">
        <x:v>88</x:v>
      </x:c>
      <x:c r="M199" s="13" t="n">
        <x:v>28</x:v>
      </x:c>
    </x:row>
    <x:row r="200" ht="22" customHeight="1">
      <x:c r="A200" s="17" t="str">
        <x:f>"02128000"</x:f>
        <x:v>02128000</x:v>
      </x:c>
      <x:c r="B200" s="13" t="n">
        <x:v>42</x:v>
      </x:c>
      <x:c r="C200" s="22" t="b">
        <x:v>1</x:v>
      </x:c>
      <x:c r="D200" s="11" t="n">
        <x:v>0.30187303780760366</x:v>
      </x:c>
      <x:c r="E200" s="11" t="n">
        <x:v>0.277155360498062</x:v>
      </x:c>
      <x:c r="F200" s="11" t="n">
        <x:v>0.0924080928129607</x:v>
      </x:c>
      <x:c r="G200" s="11" t="n">
        <x:v>0.024717677309541664</x:v>
      </x:c>
      <x:c r="H200" s="11" t="n">
        <x:v>0.20946494499464297</x:v>
      </x:c>
      <x:c r="I200" s="11"/>
      <x:c r="J200" s="13" t="n">
        <x:v>0</x:v>
      </x:c>
      <x:c r="K200" s="22" t="b">
        <x:v>0</x:v>
      </x:c>
      <x:c r="L200" s="13" t="n">
        <x:v>50</x:v>
      </x:c>
      <x:c r="M200" s="13" t="n">
        <x:v>17</x:v>
      </x:c>
    </x:row>
    <x:row r="201" ht="22" customHeight="1">
      <x:c r="A201" s="17" t="str">
        <x:f>"02128000"</x:f>
        <x:v>02128000</x:v>
      </x:c>
      <x:c r="B201" s="13" t="n">
        <x:v>42</x:v>
      </x:c>
      <x:c r="C201" s="22" t="b">
        <x:v>0</x:v>
      </x:c>
      <x:c r="D201" s="11" t="n">
        <x:v>0.2546590606955964</x:v>
      </x:c>
      <x:c r="E201" s="11" t="n">
        <x:v>0.23782508134952984</x:v>
      </x:c>
      <x:c r="F201" s="11" t="n">
        <x:v>-0.2656117494577708</x:v>
      </x:c>
      <x:c r="G201" s="11" t="n">
        <x:v>0.016833979346066563</x:v>
      </x:c>
      <x:c r="H201" s="11" t="n">
        <x:v>0.5202708101533672</x:v>
      </x:c>
      <x:c r="I201" s="11" t="n">
        <x:v>1</x:v>
      </x:c>
      <x:c r="J201" s="13" t="n">
        <x:v>15</x:v>
      </x:c>
      <x:c r="K201" s="22" t="b">
        <x:v>1</x:v>
      </x:c>
      <x:c r="L201" s="13" t="n">
        <x:v>60</x:v>
      </x:c>
      <x:c r="M201" s="13" t="n">
        <x:v>20</x:v>
      </x:c>
    </x:row>
    <x:row r="202" ht="22" customHeight="1">
      <x:c r="A202" s="17" t="str">
        <x:f>"02143000"</x:f>
        <x:v>02143000</x:v>
      </x:c>
      <x:c r="B202" s="13" t="n">
        <x:v>42</x:v>
      </x:c>
      <x:c r="C202" s="22" t="b">
        <x:v>1</x:v>
      </x:c>
      <x:c r="D202" s="11" t="n">
        <x:v>0.3621256840514906</x:v>
      </x:c>
      <x:c r="E202" s="11" t="n">
        <x:v>0.397163071759298</x:v>
      </x:c>
      <x:c r="F202" s="11" t="n">
        <x:v>0.13972624777084297</x:v>
      </x:c>
      <x:c r="G202" s="11" t="n">
        <x:v>-0.0350373877078074</x:v>
      </x:c>
      <x:c r="H202" s="11" t="n">
        <x:v>0.22239943628064762</x:v>
      </x:c>
      <x:c r="I202" s="11" t="n">
        <x:v>1</x:v>
      </x:c>
      <x:c r="J202" s="13" t="n">
        <x:v>13</x:v>
      </x:c>
      <x:c r="K202" s="22" t="b">
        <x:v>1</x:v>
      </x:c>
      <x:c r="L202" s="13" t="n">
        <x:v>74</x:v>
      </x:c>
      <x:c r="M202" s="13" t="n">
        <x:v>24</x:v>
      </x:c>
    </x:row>
    <x:row r="203" ht="22" customHeight="1">
      <x:c r="A203" s="17" t="str">
        <x:f>"02143000"</x:f>
        <x:v>02143000</x:v>
      </x:c>
      <x:c r="B203" s="13" t="n">
        <x:v>42</x:v>
      </x:c>
      <x:c r="C203" s="22" t="b">
        <x:v>0</x:v>
      </x:c>
      <x:c r="D203" s="11" t="n">
        <x:v>0.27263727574018426</x:v>
      </x:c>
      <x:c r="E203" s="11" t="n">
        <x:v>0.27372495417015685</x:v>
      </x:c>
      <x:c r="F203" s="11" t="n">
        <x:v>-0.028435886901872376</x:v>
      </x:c>
      <x:c r="G203" s="11" t="n">
        <x:v>-0.001087678429972594</x:v>
      </x:c>
      <x:c r="H203" s="11" t="n">
        <x:v>0.30107316264205664</x:v>
      </x:c>
      <x:c r="I203" s="11"/>
      <x:c r="J203" s="13" t="n">
        <x:v>0</x:v>
      </x:c>
      <x:c r="K203" s="22" t="b">
        <x:v>0</x:v>
      </x:c>
      <x:c r="L203" s="13" t="n">
        <x:v>78</x:v>
      </x:c>
      <x:c r="M203" s="13" t="n">
        <x:v>25</x:v>
      </x:c>
    </x:row>
    <x:row r="204" ht="22" customHeight="1">
      <x:c r="A204" s="17" t="str">
        <x:f>"02143040"</x:f>
        <x:v>02143040</x:v>
      </x:c>
      <x:c r="B204" s="13" t="n">
        <x:v>42</x:v>
      </x:c>
      <x:c r="C204" s="22" t="b">
        <x:v>1</x:v>
      </x:c>
      <x:c r="D204" s="11" t="n">
        <x:v>0.320781691188209</x:v>
      </x:c>
      <x:c r="E204" s="11" t="n">
        <x:v>0.3001548190490805</x:v>
      </x:c>
      <x:c r="F204" s="11" t="n">
        <x:v>0.30031088189390553</x:v>
      </x:c>
      <x:c r="G204" s="11" t="n">
        <x:v>0.020626872139128505</x:v>
      </x:c>
      <x:c r="H204" s="11" t="n">
        <x:v>0.02047080929430345</x:v>
      </x:c>
      <x:c r="I204" s="11" t="n">
        <x:v>1</x:v>
      </x:c>
      <x:c r="J204" s="13" t="n">
        <x:v>14</x:v>
      </x:c>
      <x:c r="K204" s="22" t="b">
        <x:v>1</x:v>
      </x:c>
      <x:c r="L204" s="13" t="n">
        <x:v>70</x:v>
      </x:c>
      <x:c r="M204" s="13" t="n">
        <x:v>23</x:v>
      </x:c>
    </x:row>
    <x:row r="205" ht="22" customHeight="1">
      <x:c r="A205" s="17" t="str">
        <x:f>"02143040"</x:f>
        <x:v>02143040</x:v>
      </x:c>
      <x:c r="B205" s="13" t="n">
        <x:v>42</x:v>
      </x:c>
      <x:c r="C205" s="22" t="b">
        <x:v>0</x:v>
      </x:c>
      <x:c r="D205" s="11" t="n">
        <x:v>0.20233992814122637</x:v>
      </x:c>
      <x:c r="E205" s="11" t="n">
        <x:v>0.20800701320484194</x:v>
      </x:c>
      <x:c r="F205" s="11" t="n">
        <x:v>-0.2546131197367967</x:v>
      </x:c>
      <x:c r="G205" s="11" t="n">
        <x:v>-0.005667085063615573</x:v>
      </x:c>
      <x:c r="H205" s="11" t="n">
        <x:v>0.45695304787802304</x:v>
      </x:c>
      <x:c r="I205" s="11" t="n">
        <x:v>0.4375</x:v>
      </x:c>
      <x:c r="J205" s="13" t="n">
        <x:v>16</x:v>
      </x:c>
      <x:c r="K205" s="22" t="b">
        <x:v>0</x:v>
      </x:c>
      <x:c r="L205" s="13" t="n">
        <x:v>82</x:v>
      </x:c>
      <x:c r="M205" s="13" t="n">
        <x:v>26</x:v>
      </x:c>
    </x:row>
    <x:row r="206" ht="22" customHeight="1">
      <x:c r="A206" s="17" t="str">
        <x:f>"02149000"</x:f>
        <x:v>02149000</x:v>
      </x:c>
      <x:c r="B206" s="13" t="n">
        <x:v>42</x:v>
      </x:c>
      <x:c r="C206" s="22" t="b">
        <x:v>1</x:v>
      </x:c>
      <x:c r="D206" s="11" t="n">
        <x:v>0.38168131319425724</x:v>
      </x:c>
      <x:c r="E206" s="11" t="n">
        <x:v>0.35179762959013894</x:v>
      </x:c>
      <x:c r="F206" s="11" t="n">
        <x:v>0.278069255577742</x:v>
      </x:c>
      <x:c r="G206" s="11" t="n">
        <x:v>0.029883683604118305</x:v>
      </x:c>
      <x:c r="H206" s="11" t="n">
        <x:v>0.10361205761651526</x:v>
      </x:c>
      <x:c r="I206" s="11"/>
      <x:c r="J206" s="13" t="n">
        <x:v>0</x:v>
      </x:c>
      <x:c r="K206" s="22" t="b">
        <x:v>0</x:v>
      </x:c>
      <x:c r="L206" s="13" t="n">
        <x:v>46</x:v>
      </x:c>
      <x:c r="M206" s="13" t="n">
        <x:v>17</x:v>
      </x:c>
    </x:row>
    <x:row r="207" ht="22" customHeight="1">
      <x:c r="A207" s="17" t="str">
        <x:f>"02149000"</x:f>
        <x:v>02149000</x:v>
      </x:c>
      <x:c r="B207" s="13" t="n">
        <x:v>42</x:v>
      </x:c>
      <x:c r="C207" s="22" t="b">
        <x:v>0</x:v>
      </x:c>
      <x:c r="D207" s="11" t="n">
        <x:v>0.24884287619066925</x:v>
      </x:c>
      <x:c r="E207" s="11" t="n">
        <x:v>0.16726088573607467</x:v>
      </x:c>
      <x:c r="F207" s="11" t="n">
        <x:v>0.03988848364097253</x:v>
      </x:c>
      <x:c r="G207" s="11" t="n">
        <x:v>0.08158199045459458</x:v>
      </x:c>
      <x:c r="H207" s="11" t="n">
        <x:v>0.20895439254969672</x:v>
      </x:c>
      <x:c r="I207" s="11" t="n">
        <x:v>0.8947368421052632</x:v>
      </x:c>
      <x:c r="J207" s="13" t="n">
        <x:v>19</x:v>
      </x:c>
      <x:c r="K207" s="22" t="b">
        <x:v>0</x:v>
      </x:c>
      <x:c r="L207" s="13" t="n">
        <x:v>87</x:v>
      </x:c>
      <x:c r="M207" s="13" t="n">
        <x:v>28</x:v>
      </x:c>
    </x:row>
    <x:row r="208" ht="22" customHeight="1">
      <x:c r="A208" s="17" t="str">
        <x:f>"02152100"</x:f>
        <x:v>02152100</x:v>
      </x:c>
      <x:c r="B208" s="13" t="n">
        <x:v>42</x:v>
      </x:c>
      <x:c r="C208" s="22" t="b">
        <x:v>1</x:v>
      </x:c>
      <x:c r="D208" s="11" t="n">
        <x:v>0.3175228922323139</x:v>
      </x:c>
      <x:c r="E208" s="11" t="n">
        <x:v>0.3022099476508814</x:v>
      </x:c>
      <x:c r="F208" s="11" t="n">
        <x:v>0.26221430738275386</x:v>
      </x:c>
      <x:c r="G208" s="11" t="n">
        <x:v>0.015312944581432508</x:v>
      </x:c>
      <x:c r="H208" s="11" t="n">
        <x:v>0.05530858484956003</x:v>
      </x:c>
      <x:c r="I208" s="11" t="n">
        <x:v>0.3157894736842105</x:v>
      </x:c>
      <x:c r="J208" s="13" t="n">
        <x:v>19</x:v>
      </x:c>
      <x:c r="K208" s="22" t="b">
        <x:v>0</x:v>
      </x:c>
      <x:c r="L208" s="13" t="n">
        <x:v>70</x:v>
      </x:c>
      <x:c r="M208" s="13" t="n">
        <x:v>23</x:v>
      </x:c>
    </x:row>
    <x:row r="209" ht="22" customHeight="1">
      <x:c r="A209" s="17" t="str">
        <x:f>"02152100"</x:f>
        <x:v>02152100</x:v>
      </x:c>
      <x:c r="B209" s="13" t="n">
        <x:v>42</x:v>
      </x:c>
      <x:c r="C209" s="22" t="b">
        <x:v>0</x:v>
      </x:c>
      <x:c r="D209" s="11" t="n">
        <x:v>0.1889738991755382</x:v>
      </x:c>
      <x:c r="E209" s="11" t="n">
        <x:v>0.1956024378477319</x:v>
      </x:c>
      <x:c r="F209" s="11" t="n">
        <x:v>-0.10937437027545993</x:v>
      </x:c>
      <x:c r="G209" s="11" t="n">
        <x:v>-0.006628538672193707</x:v>
      </x:c>
      <x:c r="H209" s="11" t="n">
        <x:v>0.2983482694509981</x:v>
      </x:c>
      <x:c r="I209" s="11"/>
      <x:c r="J209" s="13" t="n">
        <x:v>0</x:v>
      </x:c>
      <x:c r="K209" s="22" t="b">
        <x:v>0</x:v>
      </x:c>
      <x:c r="L209" s="13" t="n">
        <x:v>60</x:v>
      </x:c>
      <x:c r="M209" s="13" t="n">
        <x:v>20</x:v>
      </x:c>
    </x:row>
    <x:row r="210" ht="22" customHeight="1">
      <x:c r="A210" s="17" t="str">
        <x:f>"02177000"</x:f>
        <x:v>02177000</x:v>
      </x:c>
      <x:c r="B210" s="13" t="n">
        <x:v>42</x:v>
      </x:c>
      <x:c r="C210" s="22" t="b">
        <x:v>1</x:v>
      </x:c>
      <x:c r="D210" s="11" t="n">
        <x:v>0.7225652377499376</x:v>
      </x:c>
      <x:c r="E210" s="11" t="n">
        <x:v>0.5813583792971609</x:v>
      </x:c>
      <x:c r="F210" s="11" t="n">
        <x:v>0.7215792038254976</x:v>
      </x:c>
      <x:c r="G210" s="11" t="n">
        <x:v>0.1412068584527767</x:v>
      </x:c>
      <x:c r="H210" s="11" t="n">
        <x:v>0.0009860339244400773</x:v>
      </x:c>
      <x:c r="I210" s="11" t="n">
        <x:v>1</x:v>
      </x:c>
      <x:c r="J210" s="13" t="n">
        <x:v>19</x:v>
      </x:c>
      <x:c r="K210" s="22" t="b">
        <x:v>0</x:v>
      </x:c>
      <x:c r="L210" s="13" t="n">
        <x:v>80</x:v>
      </x:c>
      <x:c r="M210" s="13" t="n">
        <x:v>26</x:v>
      </x:c>
    </x:row>
    <x:row r="211" ht="22" customHeight="1">
      <x:c r="A211" s="17" t="str">
        <x:f>"02177000"</x:f>
        <x:v>02177000</x:v>
      </x:c>
      <x:c r="B211" s="13" t="n">
        <x:v>42</x:v>
      </x:c>
      <x:c r="C211" s="22" t="b">
        <x:v>0</x:v>
      </x:c>
      <x:c r="D211" s="11" t="n">
        <x:v>0.5024207825909048</x:v>
      </x:c>
      <x:c r="E211" s="11" t="n">
        <x:v>0.34228168850975793</x:v>
      </x:c>
      <x:c r="F211" s="11" t="n">
        <x:v>0.12884954644724567</x:v>
      </x:c>
      <x:c r="G211" s="11" t="n">
        <x:v>0.1601390940811469</x:v>
      </x:c>
      <x:c r="H211" s="11" t="n">
        <x:v>0.37357123614365917</x:v>
      </x:c>
      <x:c r="I211" s="11" t="n">
        <x:v>0.13333333333333333</x:v>
      </x:c>
      <x:c r="J211" s="13" t="n">
        <x:v>15</x:v>
      </x:c>
      <x:c r="K211" s="22" t="b">
        <x:v>0</x:v>
      </x:c>
      <x:c r="L211" s="13" t="n">
        <x:v>86</x:v>
      </x:c>
      <x:c r="M211" s="13" t="n">
        <x:v>27</x:v>
      </x:c>
    </x:row>
    <x:row r="212" ht="22" customHeight="1">
      <x:c r="A212" s="17" t="str">
        <x:f>"02202600"</x:f>
        <x:v>02202600</x:v>
      </x:c>
      <x:c r="B212" s="13" t="n">
        <x:v>42</x:v>
      </x:c>
      <x:c r="C212" s="22" t="b">
        <x:v>1</x:v>
      </x:c>
      <x:c r="D212" s="11" t="n">
        <x:v>0.9463609926769667</x:v>
      </x:c>
      <x:c r="E212" s="11" t="n">
        <x:v>0.9301887683474414</x:v>
      </x:c>
      <x:c r="F212" s="11" t="n">
        <x:v>-0.4394871969986609</x:v>
      </x:c>
      <x:c r="G212" s="11" t="n">
        <x:v>0.016172224329525364</x:v>
      </x:c>
      <x:c r="H212" s="11" t="n">
        <x:v>1.3858481896756276</x:v>
      </x:c>
      <x:c r="I212" s="11"/>
      <x:c r="J212" s="13" t="n">
        <x:v>0</x:v>
      </x:c>
      <x:c r="K212" s="22" t="b">
        <x:v>0</x:v>
      </x:c>
      <x:c r="L212" s="13" t="n">
        <x:v>53</x:v>
      </x:c>
      <x:c r="M212" s="13" t="n">
        <x:v>18</x:v>
      </x:c>
    </x:row>
    <x:row r="213" ht="22" customHeight="1">
      <x:c r="A213" s="17" t="str">
        <x:f>"02202600"</x:f>
        <x:v>02202600</x:v>
      </x:c>
      <x:c r="B213" s="13" t="n">
        <x:v>42</x:v>
      </x:c>
      <x:c r="C213" s="22" t="b">
        <x:v>0</x:v>
      </x:c>
      <x:c r="D213" s="11" t="n">
        <x:v>0.2141971836693065</x:v>
      </x:c>
      <x:c r="E213" s="11" t="n">
        <x:v>0.4799039504008644</x:v>
      </x:c>
      <x:c r="F213" s="11" t="n">
        <x:v>-4.27905455388698</x:v>
      </x:c>
      <x:c r="G213" s="11" t="n">
        <x:v>-0.2657067667315579</x:v>
      </x:c>
      <x:c r="H213" s="11" t="n">
        <x:v>4.493251737556287</x:v>
      </x:c>
      <x:c r="I213" s="11" t="n">
        <x:v>1</x:v>
      </x:c>
      <x:c r="J213" s="13" t="n">
        <x:v>20</x:v>
      </x:c>
      <x:c r="K213" s="22" t="b">
        <x:v>1</x:v>
      </x:c>
      <x:c r="L213" s="13" t="n">
        <x:v>134</x:v>
      </x:c>
      <x:c r="M213" s="13" t="n">
        <x:v>48</x:v>
      </x:c>
    </x:row>
    <x:row r="214" ht="22" customHeight="1">
      <x:c r="A214" s="17" t="str">
        <x:f>"02212600"</x:f>
        <x:v>02212600</x:v>
      </x:c>
      <x:c r="B214" s="13" t="n">
        <x:v>42</x:v>
      </x:c>
      <x:c r="C214" s="22" t="b">
        <x:v>1</x:v>
      </x:c>
      <x:c r="D214" s="11" t="n">
        <x:v>0.32764740572972206</x:v>
      </x:c>
      <x:c r="E214" s="11" t="n">
        <x:v>0.32412652619578897</x:v>
      </x:c>
      <x:c r="F214" s="11" t="n">
        <x:v>0.027730132598531188</x:v>
      </x:c>
      <x:c r="G214" s="11" t="n">
        <x:v>0.0035208795339330967</x:v>
      </x:c>
      <x:c r="H214" s="11" t="n">
        <x:v>0.2999172731311909</x:v>
      </x:c>
      <x:c r="I214" s="11" t="n">
        <x:v>0.6</x:v>
      </x:c>
      <x:c r="J214" s="13" t="n">
        <x:v>15</x:v>
      </x:c>
      <x:c r="K214" s="22" t="b">
        <x:v>0</x:v>
      </x:c>
      <x:c r="L214" s="13" t="n">
        <x:v>73</x:v>
      </x:c>
      <x:c r="M214" s="13" t="n">
        <x:v>24</x:v>
      </x:c>
    </x:row>
    <x:row r="215" ht="22" customHeight="1">
      <x:c r="A215" s="17" t="str">
        <x:f>"02212600"</x:f>
        <x:v>02212600</x:v>
      </x:c>
      <x:c r="B215" s="13" t="n">
        <x:v>42</x:v>
      </x:c>
      <x:c r="C215" s="22" t="b">
        <x:v>0</x:v>
      </x:c>
      <x:c r="D215" s="11" t="n">
        <x:v>0.22485411895049878</x:v>
      </x:c>
      <x:c r="E215" s="11" t="n">
        <x:v>0.19746709990025602</x:v>
      </x:c>
      <x:c r="F215" s="11" t="n">
        <x:v>-0.00043782156062888156</x:v>
      </x:c>
      <x:c r="G215" s="11" t="n">
        <x:v>0.027387019050242767</x:v>
      </x:c>
      <x:c r="H215" s="11" t="n">
        <x:v>0.22529194051112766</x:v>
      </x:c>
      <x:c r="I215" s="11" t="n">
        <x:v>0.16666666666666666</x:v>
      </x:c>
      <x:c r="J215" s="13" t="n">
        <x:v>18</x:v>
      </x:c>
      <x:c r="K215" s="22" t="b">
        <x:v>0</x:v>
      </x:c>
      <x:c r="L215" s="13" t="n">
        <x:v>104</x:v>
      </x:c>
      <x:c r="M215" s="13" t="n">
        <x:v>34</x:v>
      </x:c>
    </x:row>
    <x:row r="216" ht="22" customHeight="1">
      <x:c r="A216" s="17" t="str">
        <x:f>"02221525"</x:f>
        <x:v>02221525</x:v>
      </x:c>
      <x:c r="B216" s="13" t="n">
        <x:v>42</x:v>
      </x:c>
      <x:c r="C216" s="22" t="b">
        <x:v>1</x:v>
      </x:c>
      <x:c r="D216" s="11" t="n">
        <x:v>0.5716233739199581</x:v>
      </x:c>
      <x:c r="E216" s="11" t="n">
        <x:v>0.529041650879044</x:v>
      </x:c>
      <x:c r="F216" s="11" t="n">
        <x:v>-0.8694313836595422</x:v>
      </x:c>
      <x:c r="G216" s="11" t="n">
        <x:v>0.04258172304091412</x:v>
      </x:c>
      <x:c r="H216" s="11" t="n">
        <x:v>1.4410547575795003</x:v>
      </x:c>
      <x:c r="I216" s="11" t="n">
        <x:v>1</x:v>
      </x:c>
      <x:c r="J216" s="13" t="n">
        <x:v>7</x:v>
      </x:c>
      <x:c r="K216" s="22" t="b">
        <x:v>1</x:v>
      </x:c>
      <x:c r="L216" s="13" t="n">
        <x:v>95</x:v>
      </x:c>
      <x:c r="M216" s="13" t="n">
        <x:v>31</x:v>
      </x:c>
    </x:row>
    <x:row r="217" ht="22" customHeight="1">
      <x:c r="A217" s="17" t="str">
        <x:f>"02221525"</x:f>
        <x:v>02221525</x:v>
      </x:c>
      <x:c r="B217" s="13" t="n">
        <x:v>42</x:v>
      </x:c>
      <x:c r="C217" s="22" t="b">
        <x:v>0</x:v>
      </x:c>
      <x:c r="D217" s="11" t="n">
        <x:v>0.400353207713815</x:v>
      </x:c>
      <x:c r="E217" s="11" t="n">
        <x:v>0.3826595125723319</x:v>
      </x:c>
      <x:c r="F217" s="11" t="n">
        <x:v>-0.4757580892055391</x:v>
      </x:c>
      <x:c r="G217" s="11" t="n">
        <x:v>0.017693695141483112</x:v>
      </x:c>
      <x:c r="H217" s="11" t="n">
        <x:v>0.8761112969193541</x:v>
      </x:c>
      <x:c r="I217" s="11" t="n">
        <x:v>0.6</x:v>
      </x:c>
      <x:c r="J217" s="13" t="n">
        <x:v>20</x:v>
      </x:c>
      <x:c r="K217" s="22" t="b">
        <x:v>0</x:v>
      </x:c>
      <x:c r="L217" s="13" t="n">
        <x:v>144</x:v>
      </x:c>
      <x:c r="M217" s="13" t="n">
        <x:v>54</x:v>
      </x:c>
    </x:row>
    <x:row r="218" ht="22" customHeight="1">
      <x:c r="A218" s="17" t="str">
        <x:f>"02231000"</x:f>
        <x:v>02231000</x:v>
      </x:c>
      <x:c r="B218" s="13" t="n">
        <x:v>42</x:v>
      </x:c>
      <x:c r="C218" s="22" t="b">
        <x:v>1</x:v>
      </x:c>
      <x:c r="D218" s="11" t="n">
        <x:v>0.7567492701008333</x:v>
      </x:c>
      <x:c r="E218" s="11" t="n">
        <x:v>0.7230300067127255</x:v>
      </x:c>
      <x:c r="F218" s="11" t="n">
        <x:v>0.6174616044095923</x:v>
      </x:c>
      <x:c r="G218" s="11" t="n">
        <x:v>0.03371926338810771</x:v>
      </x:c>
      <x:c r="H218" s="11" t="n">
        <x:v>0.13928766569124096</x:v>
      </x:c>
      <x:c r="I218" s="11"/>
      <x:c r="J218" s="13" t="n">
        <x:v>0</x:v>
      </x:c>
      <x:c r="K218" s="22" t="b">
        <x:v>0</x:v>
      </x:c>
      <x:c r="L218" s="13" t="n">
        <x:v>57</x:v>
      </x:c>
      <x:c r="M218" s="13" t="n">
        <x:v>19</x:v>
      </x:c>
    </x:row>
    <x:row r="219" ht="22" customHeight="1">
      <x:c r="A219" s="17" t="str">
        <x:f>"02231000"</x:f>
        <x:v>02231000</x:v>
      </x:c>
      <x:c r="B219" s="13" t="n">
        <x:v>42</x:v>
      </x:c>
      <x:c r="C219" s="22" t="b">
        <x:v>0</x:v>
      </x:c>
      <x:c r="D219" s="11" t="n">
        <x:v>0.4433735613199</x:v>
      </x:c>
      <x:c r="E219" s="11" t="n">
        <x:v>0.1798043671633336</x:v>
      </x:c>
      <x:c r="F219" s="11" t="n">
        <x:v>0.20773826024504938</x:v>
      </x:c>
      <x:c r="G219" s="11" t="n">
        <x:v>0.26356919415656643</x:v>
      </x:c>
      <x:c r="H219" s="11" t="n">
        <x:v>0.23563530107485064</x:v>
      </x:c>
      <x:c r="I219" s="11" t="n">
        <x:v>0.1</x:v>
      </x:c>
      <x:c r="J219" s="13" t="n">
        <x:v>20</x:v>
      </x:c>
      <x:c r="K219" s="22" t="b">
        <x:v>0</x:v>
      </x:c>
      <x:c r="L219" s="13" t="n">
        <x:v>106</x:v>
      </x:c>
      <x:c r="M219" s="13" t="n">
        <x:v>41</x:v>
      </x:c>
    </x:row>
    <x:row r="220" ht="22" customHeight="1">
      <x:c r="A220" s="17" t="str">
        <x:f>"02231342"</x:f>
        <x:v>02231342</x:v>
      </x:c>
      <x:c r="B220" s="13" t="n">
        <x:v>42</x:v>
      </x:c>
      <x:c r="C220" s="22" t="b">
        <x:v>1</x:v>
      </x:c>
      <x:c r="D220" s="11" t="n">
        <x:v>0.8664912239432683</x:v>
      </x:c>
      <x:c r="E220" s="11" t="n">
        <x:v>0.8551247615184449</x:v>
      </x:c>
      <x:c r="F220" s="11" t="n">
        <x:v>0.19730657405421637</x:v>
      </x:c>
      <x:c r="G220" s="11" t="n">
        <x:v>0.01136646242482342</x:v>
      </x:c>
      <x:c r="H220" s="11" t="n">
        <x:v>0.6691846498890519</x:v>
      </x:c>
      <x:c r="I220" s="11"/>
      <x:c r="J220" s="13" t="n">
        <x:v>0</x:v>
      </x:c>
      <x:c r="K220" s="22" t="b">
        <x:v>0</x:v>
      </x:c>
      <x:c r="L220" s="13" t="n">
        <x:v>62</x:v>
      </x:c>
      <x:c r="M220" s="13" t="n">
        <x:v>21</x:v>
      </x:c>
    </x:row>
    <x:row r="221" ht="22" customHeight="1">
      <x:c r="A221" s="17" t="str">
        <x:f>"02231342"</x:f>
        <x:v>02231342</x:v>
      </x:c>
      <x:c r="B221" s="13" t="n">
        <x:v>42</x:v>
      </x:c>
      <x:c r="C221" s="22" t="b">
        <x:v>0</x:v>
      </x:c>
      <x:c r="D221" s="11" t="n">
        <x:v>-0.2742968162130599</x:v>
      </x:c>
      <x:c r="E221" s="11" t="n">
        <x:v>-0.22266446984880295</x:v>
      </x:c>
      <x:c r="F221" s="11" t="n">
        <x:v>-2.3624468894116695</x:v>
      </x:c>
      <x:c r="G221" s="11" t="n">
        <x:v>-0.051632346364256954</x:v>
      </x:c>
      <x:c r="H221" s="11" t="n">
        <x:v>2.0881500731986096</x:v>
      </x:c>
      <x:c r="I221" s="11" t="n">
        <x:v>1</x:v>
      </x:c>
      <x:c r="J221" s="13" t="n">
        <x:v>14</x:v>
      </x:c>
      <x:c r="K221" s="22" t="b">
        <x:v>1</x:v>
      </x:c>
      <x:c r="L221" s="13" t="n">
        <x:v>97</x:v>
      </x:c>
      <x:c r="M221" s="13" t="n">
        <x:v>31</x:v>
      </x:c>
    </x:row>
    <x:row r="222" ht="22" customHeight="1">
      <x:c r="A222" s="17" t="str">
        <x:f>"02245500"</x:f>
        <x:v>02245500</x:v>
      </x:c>
      <x:c r="B222" s="13" t="n">
        <x:v>42</x:v>
      </x:c>
      <x:c r="C222" s="22" t="b">
        <x:v>1</x:v>
      </x:c>
      <x:c r="D222" s="11" t="n">
        <x:v>0.6749447695844712</x:v>
      </x:c>
      <x:c r="E222" s="11" t="n">
        <x:v>0.6319659919032192</x:v>
      </x:c>
      <x:c r="F222" s="11" t="n">
        <x:v>0.5024547339617804</x:v>
      </x:c>
      <x:c r="G222" s="11" t="n">
        <x:v>0.04297877768125202</x:v>
      </x:c>
      <x:c r="H222" s="11" t="n">
        <x:v>0.17249003562269083</x:v>
      </x:c>
      <x:c r="I222" s="11" t="n">
        <x:v>1</x:v>
      </x:c>
      <x:c r="J222" s="13" t="n">
        <x:v>9</x:v>
      </x:c>
      <x:c r="K222" s="22" t="b">
        <x:v>1</x:v>
      </x:c>
      <x:c r="L222" s="13" t="n">
        <x:v>80</x:v>
      </x:c>
      <x:c r="M222" s="13" t="n">
        <x:v>26</x:v>
      </x:c>
    </x:row>
    <x:row r="223" ht="22" customHeight="1">
      <x:c r="A223" s="17" t="str">
        <x:f>"02245500"</x:f>
        <x:v>02245500</x:v>
      </x:c>
      <x:c r="B223" s="13" t="n">
        <x:v>42</x:v>
      </x:c>
      <x:c r="C223" s="22" t="b">
        <x:v>0</x:v>
      </x:c>
      <x:c r="D223" s="11" t="n">
        <x:v>0.4474524296787066</x:v>
      </x:c>
      <x:c r="E223" s="11" t="n">
        <x:v>0.4873891193875821</x:v>
      </x:c>
      <x:c r="F223" s="11" t="n">
        <x:v>-0.36142613079173436</x:v>
      </x:c>
      <x:c r="G223" s="11" t="n">
        <x:v>-0.03993668970887554</x:v>
      </x:c>
      <x:c r="H223" s="11" t="n">
        <x:v>0.8088785604704409</x:v>
      </x:c>
      <x:c r="I223" s="11" t="n">
        <x:v>0.95</x:v>
      </x:c>
      <x:c r="J223" s="13" t="n">
        <x:v>20</x:v>
      </x:c>
      <x:c r="K223" s="22" t="b">
        <x:v>1</x:v>
      </x:c>
      <x:c r="L223" s="13" t="n">
        <x:v>107</x:v>
      </x:c>
      <x:c r="M223" s="13" t="n">
        <x:v>35</x:v>
      </x:c>
    </x:row>
    <x:row r="224" ht="22" customHeight="1">
      <x:c r="A224" s="17" t="str">
        <x:f>"02246000"</x:f>
        <x:v>02246000</x:v>
      </x:c>
      <x:c r="B224" s="13" t="n">
        <x:v>42</x:v>
      </x:c>
      <x:c r="C224" s="22" t="b">
        <x:v>1</x:v>
      </x:c>
      <x:c r="D224" s="11" t="n">
        <x:v>0.6634418459688325</x:v>
      </x:c>
      <x:c r="E224" s="11" t="n">
        <x:v>0.6385796804931405</x:v>
      </x:c>
      <x:c r="F224" s="11" t="n">
        <x:v>0.5542022854812769</x:v>
      </x:c>
      <x:c r="G224" s="11" t="n">
        <x:v>0.024862165475691977</x:v>
      </x:c>
      <x:c r="H224" s="11" t="n">
        <x:v>0.10923956048755556</x:v>
      </x:c>
      <x:c r="I224" s="11" t="n">
        <x:v>1</x:v>
      </x:c>
      <x:c r="J224" s="13" t="n">
        <x:v>20</x:v>
      </x:c>
      <x:c r="K224" s="22" t="b">
        <x:v>1</x:v>
      </x:c>
      <x:c r="L224" s="13" t="n">
        <x:v>98</x:v>
      </x:c>
      <x:c r="M224" s="13" t="n">
        <x:v>31</x:v>
      </x:c>
    </x:row>
    <x:row r="225" ht="22" customHeight="1">
      <x:c r="A225" s="17" t="str">
        <x:f>"02246000"</x:f>
        <x:v>02246000</x:v>
      </x:c>
      <x:c r="B225" s="13" t="n">
        <x:v>42</x:v>
      </x:c>
      <x:c r="C225" s="22" t="b">
        <x:v>0</x:v>
      </x:c>
      <x:c r="D225" s="11" t="n">
        <x:v>0.6030080999347879</x:v>
      </x:c>
      <x:c r="E225" s="11" t="n">
        <x:v>0.6198967093630358</x:v>
      </x:c>
      <x:c r="F225" s="11" t="n">
        <x:v>0.5014934505302591</x:v>
      </x:c>
      <x:c r="G225" s="11" t="n">
        <x:v>-0.01688860942824788</x:v>
      </x:c>
      <x:c r="H225" s="11" t="n">
        <x:v>0.10151464940452881</x:v>
      </x:c>
      <x:c r="I225" s="11" t="n">
        <x:v>0.4444444444444444</x:v>
      </x:c>
      <x:c r="J225" s="13" t="n">
        <x:v>18</x:v>
      </x:c>
      <x:c r="K225" s="22" t="b">
        <x:v>0</x:v>
      </x:c>
      <x:c r="L225" s="13" t="n">
        <x:v>121</x:v>
      </x:c>
      <x:c r="M225" s="13" t="n">
        <x:v>41</x:v>
      </x:c>
    </x:row>
    <x:row r="226" ht="22" customHeight="1">
      <x:c r="A226" s="17" t="str">
        <x:f>"02296500"</x:f>
        <x:v>02296500</x:v>
      </x:c>
      <x:c r="B226" s="13" t="n">
        <x:v>42</x:v>
      </x:c>
      <x:c r="C226" s="22" t="b">
        <x:v>1</x:v>
      </x:c>
      <x:c r="D226" s="11" t="n">
        <x:v>0.9696467733900569</x:v>
      </x:c>
      <x:c r="E226" s="11" t="n">
        <x:v>0.926096243902974</x:v>
      </x:c>
      <x:c r="F226" s="11" t="n">
        <x:v>-0.578052128959361</x:v>
      </x:c>
      <x:c r="G226" s="11" t="n">
        <x:v>0.043550529487082934</x:v>
      </x:c>
      <x:c r="H226" s="11" t="n">
        <x:v>1.5476989023494179</x:v>
      </x:c>
      <x:c r="I226" s="11"/>
      <x:c r="J226" s="13" t="n">
        <x:v>0</x:v>
      </x:c>
      <x:c r="K226" s="22" t="b">
        <x:v>0</x:v>
      </x:c>
      <x:c r="L226" s="13" t="n">
        <x:v>67</x:v>
      </x:c>
      <x:c r="M226" s="13" t="n">
        <x:v>22</x:v>
      </x:c>
    </x:row>
    <x:row r="227" ht="22" customHeight="1">
      <x:c r="A227" s="17" t="str">
        <x:f>"02296500"</x:f>
        <x:v>02296500</x:v>
      </x:c>
      <x:c r="B227" s="13" t="n">
        <x:v>42</x:v>
      </x:c>
      <x:c r="C227" s="22" t="b">
        <x:v>0</x:v>
      </x:c>
      <x:c r="D227" s="11" t="n">
        <x:v>0.27296938416698724</x:v>
      </x:c>
      <x:c r="E227" s="11" t="n">
        <x:v>0.3018358568563706</x:v>
      </x:c>
      <x:c r="F227" s="11" t="n">
        <x:v>-2.74403370232641</x:v>
      </x:c>
      <x:c r="G227" s="11" t="n">
        <x:v>-0.02886647268938336</x:v>
      </x:c>
      <x:c r="H227" s="11" t="n">
        <x:v>3.017003086493397</x:v>
      </x:c>
      <x:c r="I227" s="11" t="n">
        <x:v>0.7</x:v>
      </x:c>
      <x:c r="J227" s="13" t="n">
        <x:v>20</x:v>
      </x:c>
      <x:c r="K227" s="22" t="b">
        <x:v>0</x:v>
      </x:c>
      <x:c r="L227" s="13" t="n">
        <x:v>130</x:v>
      </x:c>
      <x:c r="M227" s="13" t="n">
        <x:v>45</x:v>
      </x:c>
    </x:row>
    <x:row r="228" ht="22" customHeight="1">
      <x:c r="A228" s="17" t="str">
        <x:f>"02297155"</x:f>
        <x:v>02297155</x:v>
      </x:c>
      <x:c r="B228" s="13" t="n">
        <x:v>42</x:v>
      </x:c>
      <x:c r="C228" s="22" t="b">
        <x:v>1</x:v>
      </x:c>
      <x:c r="D228" s="11" t="n">
        <x:v>0.8228766648788507</x:v>
      </x:c>
      <x:c r="E228" s="11" t="n">
        <x:v>0.6861224909957901</x:v>
      </x:c>
      <x:c r="F228" s="11" t="n">
        <x:v>0.3163508597045658</x:v>
      </x:c>
      <x:c r="G228" s="11" t="n">
        <x:v>0.13675417388306055</x:v>
      </x:c>
      <x:c r="H228" s="11" t="n">
        <x:v>0.5065258051742849</x:v>
      </x:c>
      <x:c r="I228" s="11" t="n">
        <x:v>1</x:v>
      </x:c>
      <x:c r="J228" s="13" t="n">
        <x:v>10</x:v>
      </x:c>
      <x:c r="K228" s="22" t="b">
        <x:v>0</x:v>
      </x:c>
      <x:c r="L228" s="13" t="n">
        <x:v>70</x:v>
      </x:c>
      <x:c r="M228" s="13" t="n">
        <x:v>24</x:v>
      </x:c>
    </x:row>
    <x:row r="229" ht="22" customHeight="1">
      <x:c r="A229" s="17" t="str">
        <x:f>"02297155"</x:f>
        <x:v>02297155</x:v>
      </x:c>
      <x:c r="B229" s="13" t="n">
        <x:v>42</x:v>
      </x:c>
      <x:c r="C229" s="22" t="b">
        <x:v>0</x:v>
      </x:c>
      <x:c r="D229" s="11" t="n">
        <x:v>0.4337705658574851</x:v>
      </x:c>
      <x:c r="E229" s="11" t="n">
        <x:v>0.07360464646520282</x:v>
      </x:c>
      <x:c r="F229" s="11" t="n">
        <x:v>-0.11256840791530687</x:v>
      </x:c>
      <x:c r="G229" s="11" t="n">
        <x:v>0.36016591939228226</x:v>
      </x:c>
      <x:c r="H229" s="11" t="n">
        <x:v>0.546338973772792</x:v>
      </x:c>
      <x:c r="I229" s="11" t="n">
        <x:v>0.7</x:v>
      </x:c>
      <x:c r="J229" s="13" t="n">
        <x:v>20</x:v>
      </x:c>
      <x:c r="K229" s="22" t="b">
        <x:v>0</x:v>
      </x:c>
      <x:c r="L229" s="13" t="n">
        <x:v>140</x:v>
      </x:c>
      <x:c r="M229" s="13" t="n">
        <x:v>52</x:v>
      </x:c>
    </x:row>
    <x:row r="230" ht="22" customHeight="1">
      <x:c r="A230" s="17" t="str">
        <x:f>"02297310"</x:f>
        <x:v>02297310</x:v>
      </x:c>
      <x:c r="B230" s="13" t="n">
        <x:v>42</x:v>
      </x:c>
      <x:c r="C230" s="22" t="b">
        <x:v>1</x:v>
      </x:c>
      <x:c r="D230" s="11" t="n">
        <x:v>0.9271023012456909</x:v>
      </x:c>
      <x:c r="E230" s="11" t="n">
        <x:v>0.8229976507217793</x:v>
      </x:c>
      <x:c r="F230" s="11" t="n">
        <x:v>0.2693571649198122</x:v>
      </x:c>
      <x:c r="G230" s="11" t="n">
        <x:v>0.1041046505239116</x:v>
      </x:c>
      <x:c r="H230" s="11" t="n">
        <x:v>0.6577451363258787</x:v>
      </x:c>
      <x:c r="I230" s="11" t="n">
        <x:v>1</x:v>
      </x:c>
      <x:c r="J230" s="13" t="n">
        <x:v>13</x:v>
      </x:c>
      <x:c r="K230" s="22" t="b">
        <x:v>0</x:v>
      </x:c>
      <x:c r="L230" s="13" t="n">
        <x:v>89</x:v>
      </x:c>
      <x:c r="M230" s="13" t="n">
        <x:v>30</x:v>
      </x:c>
    </x:row>
    <x:row r="231" ht="22" customHeight="1">
      <x:c r="A231" s="17" t="str">
        <x:f>"02297310"</x:f>
        <x:v>02297310</x:v>
      </x:c>
      <x:c r="B231" s="13" t="n">
        <x:v>42</x:v>
      </x:c>
      <x:c r="C231" s="22" t="b">
        <x:v>0</x:v>
      </x:c>
      <x:c r="D231" s="11" t="n">
        <x:v>0.1015126337498552</x:v>
      </x:c>
      <x:c r="E231" s="11" t="n">
        <x:v>-0.3592173721886158</x:v>
      </x:c>
      <x:c r="F231" s="11" t="n">
        <x:v>-4.311201619355496</x:v>
      </x:c>
      <x:c r="G231" s="11" t="n">
        <x:v>0.460730005938471</x:v>
      </x:c>
      <x:c r="H231" s="11" t="n">
        <x:v>4.412714253105351</x:v>
      </x:c>
      <x:c r="I231" s="11" t="n">
        <x:v>0.7894736842105263</x:v>
      </x:c>
      <x:c r="J231" s="13" t="n">
        <x:v>19</x:v>
      </x:c>
      <x:c r="K231" s="22" t="b">
        <x:v>0</x:v>
      </x:c>
      <x:c r="L231" s="13" t="n">
        <x:v>91</x:v>
      </x:c>
      <x:c r="M231" s="13" t="n">
        <x:v>29</x:v>
      </x:c>
    </x:row>
    <x:row r="232" ht="22" customHeight="1">
      <x:c r="A232" s="17" t="str">
        <x:f>"02298123"</x:f>
        <x:v>02298123</x:v>
      </x:c>
      <x:c r="B232" s="13" t="n">
        <x:v>42</x:v>
      </x:c>
      <x:c r="C232" s="22" t="b">
        <x:v>1</x:v>
      </x:c>
      <x:c r="D232" s="11" t="n">
        <x:v>0.978513203766779</x:v>
      </x:c>
      <x:c r="E232" s="11" t="n">
        <x:v>0.9627424496557042</x:v>
      </x:c>
      <x:c r="F232" s="11" t="n">
        <x:v>0.03813106695567081</x:v>
      </x:c>
      <x:c r="G232" s="11" t="n">
        <x:v>0.01577075411107476</x:v>
      </x:c>
      <x:c r="H232" s="11" t="n">
        <x:v>0.9403821368111082</x:v>
      </x:c>
      <x:c r="I232" s="11" t="n">
        <x:v>1</x:v>
      </x:c>
      <x:c r="J232" s="13" t="n">
        <x:v>9</x:v>
      </x:c>
      <x:c r="K232" s="22" t="b">
        <x:v>1</x:v>
      </x:c>
      <x:c r="L232" s="13" t="n">
        <x:v>69</x:v>
      </x:c>
      <x:c r="M232" s="13" t="n">
        <x:v>23</x:v>
      </x:c>
    </x:row>
    <x:row r="233" ht="22" customHeight="1">
      <x:c r="A233" s="17" t="str">
        <x:f>"02298123"</x:f>
        <x:v>02298123</x:v>
      </x:c>
      <x:c r="B233" s="13" t="n">
        <x:v>42</x:v>
      </x:c>
      <x:c r="C233" s="22" t="b">
        <x:v>0</x:v>
      </x:c>
      <x:c r="D233" s="11" t="n">
        <x:v>0.7127577242373021</x:v>
      </x:c>
      <x:c r="E233" s="11" t="n">
        <x:v>0.6419048324516597</x:v>
      </x:c>
      <x:c r="F233" s="11" t="n">
        <x:v>0.4808367722484347</x:v>
      </x:c>
      <x:c r="G233" s="11" t="n">
        <x:v>0.07085289178564236</x:v>
      </x:c>
      <x:c r="H233" s="11" t="n">
        <x:v>0.23192095198886742</x:v>
      </x:c>
      <x:c r="I233" s="11" t="n">
        <x:v>0.47368421052631576</x:v>
      </x:c>
      <x:c r="J233" s="13" t="n">
        <x:v>19</x:v>
      </x:c>
      <x:c r="K233" s="22" t="b">
        <x:v>0</x:v>
      </x:c>
      <x:c r="L233" s="13" t="n">
        <x:v>113</x:v>
      </x:c>
      <x:c r="M233" s="13" t="n">
        <x:v>37</x:v>
      </x:c>
    </x:row>
    <x:row r="234" ht="22" customHeight="1">
      <x:c r="A234" s="17" t="str">
        <x:f>"02298608"</x:f>
        <x:v>02298608</x:v>
      </x:c>
      <x:c r="B234" s="13" t="n">
        <x:v>42</x:v>
      </x:c>
      <x:c r="C234" s="22" t="b">
        <x:v>1</x:v>
      </x:c>
      <x:c r="D234" s="11" t="n">
        <x:v>0.9212667600752871</x:v>
      </x:c>
      <x:c r="E234" s="11" t="n">
        <x:v>0.8411996399742404</x:v>
      </x:c>
      <x:c r="F234" s="11" t="n">
        <x:v>-1.7587512438868056</x:v>
      </x:c>
      <x:c r="G234" s="11" t="n">
        <x:v>0.08006712010104666</x:v>
      </x:c>
      <x:c r="H234" s="11" t="n">
        <x:v>2.6800180039620924</x:v>
      </x:c>
      <x:c r="I234" s="11"/>
      <x:c r="J234" s="13" t="n">
        <x:v>0</x:v>
      </x:c>
      <x:c r="K234" s="22" t="b">
        <x:v>0</x:v>
      </x:c>
      <x:c r="L234" s="13" t="n">
        <x:v>69</x:v>
      </x:c>
      <x:c r="M234" s="13" t="n">
        <x:v>23</x:v>
      </x:c>
    </x:row>
    <x:row r="235" ht="22" customHeight="1">
      <x:c r="A235" s="17" t="str">
        <x:f>"02298608"</x:f>
        <x:v>02298608</x:v>
      </x:c>
      <x:c r="B235" s="13" t="n">
        <x:v>42</x:v>
      </x:c>
      <x:c r="C235" s="22" t="b">
        <x:v>0</x:v>
      </x:c>
      <x:c r="D235" s="11" t="n">
        <x:v>0.5401227502240646</x:v>
      </x:c>
      <x:c r="E235" s="11" t="n">
        <x:v>0.12595977870019137</x:v>
      </x:c>
      <x:c r="F235" s="11" t="n">
        <x:v>-2.6732369477323954</x:v>
      </x:c>
      <x:c r="G235" s="11" t="n">
        <x:v>0.41416297152387327</x:v>
      </x:c>
      <x:c r="H235" s="11" t="n">
        <x:v>3.2133596979564603</x:v>
      </x:c>
      <x:c r="I235" s="11" t="n">
        <x:v>0.6470588235294118</x:v>
      </x:c>
      <x:c r="J235" s="13" t="n">
        <x:v>17</x:v>
      </x:c>
      <x:c r="K235" s="22" t="b">
        <x:v>0</x:v>
      </x:c>
      <x:c r="L235" s="13" t="n">
        <x:v>111</x:v>
      </x:c>
      <x:c r="M235" s="13" t="n">
        <x:v>37</x:v>
      </x:c>
    </x:row>
    <x:row r="236" ht="22" customHeight="1">
      <x:c r="A236" s="17" t="str">
        <x:f>"02299950"</x:f>
        <x:v>02299950</x:v>
      </x:c>
      <x:c r="B236" s="13" t="n">
        <x:v>42</x:v>
      </x:c>
      <x:c r="C236" s="22" t="b">
        <x:v>1</x:v>
      </x:c>
      <x:c r="D236" s="11" t="n">
        <x:v>0.8121635519101568</x:v>
      </x:c>
      <x:c r="E236" s="11" t="n">
        <x:v>0.5926247057065477</x:v>
      </x:c>
      <x:c r="F236" s="11" t="n">
        <x:v>0.5287900024103493</x:v>
      </x:c>
      <x:c r="G236" s="11" t="n">
        <x:v>0.21953884620360908</x:v>
      </x:c>
      <x:c r="H236" s="11" t="n">
        <x:v>0.2833735494998074</x:v>
      </x:c>
      <x:c r="I236" s="11" t="n">
        <x:v>1</x:v>
      </x:c>
      <x:c r="J236" s="13" t="n">
        <x:v>17</x:v>
      </x:c>
      <x:c r="K236" s="22" t="b">
        <x:v>0</x:v>
      </x:c>
      <x:c r="L236" s="13" t="n">
        <x:v>104</x:v>
      </x:c>
      <x:c r="M236" s="13" t="n">
        <x:v>34</x:v>
      </x:c>
    </x:row>
    <x:row r="237" ht="22" customHeight="1">
      <x:c r="A237" s="17" t="str">
        <x:f>"02299950"</x:f>
        <x:v>02299950</x:v>
      </x:c>
      <x:c r="B237" s="13" t="n">
        <x:v>42</x:v>
      </x:c>
      <x:c r="C237" s="22" t="b">
        <x:v>0</x:v>
      </x:c>
      <x:c r="D237" s="11" t="n">
        <x:v>0.6899907512320766</x:v>
      </x:c>
      <x:c r="E237" s="11" t="n">
        <x:v>0.6667033371571245</x:v>
      </x:c>
      <x:c r="F237" s="11" t="n">
        <x:v>0.04572047116316147</x:v>
      </x:c>
      <x:c r="G237" s="11" t="n">
        <x:v>0.023287414074952162</x:v>
      </x:c>
      <x:c r="H237" s="11" t="n">
        <x:v>0.6442702800689152</x:v>
      </x:c>
      <x:c r="I237" s="11" t="n">
        <x:v>0.25</x:v>
      </x:c>
      <x:c r="J237" s="13" t="n">
        <x:v>20</x:v>
      </x:c>
      <x:c r="K237" s="22" t="b">
        <x:v>0</x:v>
      </x:c>
      <x:c r="L237" s="13" t="n">
        <x:v>189</x:v>
      </x:c>
      <x:c r="M237" s="13" t="n">
        <x:v>93</x:v>
      </x:c>
    </x:row>
    <x:row r="238" ht="22" customHeight="1">
      <x:c r="A238" s="17" t="str">
        <x:f>"02300700"</x:f>
        <x:v>02300700</x:v>
      </x:c>
      <x:c r="B238" s="13" t="n">
        <x:v>42</x:v>
      </x:c>
      <x:c r="C238" s="22" t="b">
        <x:v>1</x:v>
      </x:c>
      <x:c r="D238" s="11" t="n">
        <x:v>0.7561190246410116</x:v>
      </x:c>
      <x:c r="E238" s="11" t="n">
        <x:v>0.7496996413053779</x:v>
      </x:c>
      <x:c r="F238" s="11" t="n">
        <x:v>0.10836462704951744</x:v>
      </x:c>
      <x:c r="G238" s="11" t="n">
        <x:v>0.006419383335633633</x:v>
      </x:c>
      <x:c r="H238" s="11" t="n">
        <x:v>0.6477543975914941</x:v>
      </x:c>
      <x:c r="I238" s="11" t="n">
        <x:v>1</x:v>
      </x:c>
      <x:c r="J238" s="13" t="n">
        <x:v>10</x:v>
      </x:c>
      <x:c r="K238" s="22" t="b">
        <x:v>1</x:v>
      </x:c>
      <x:c r="L238" s="13" t="n">
        <x:v>77</x:v>
      </x:c>
      <x:c r="M238" s="13" t="n">
        <x:v>25</x:v>
      </x:c>
    </x:row>
    <x:row r="239" ht="22" customHeight="1">
      <x:c r="A239" s="17" t="str">
        <x:f>"02300700"</x:f>
        <x:v>02300700</x:v>
      </x:c>
      <x:c r="B239" s="13" t="n">
        <x:v>42</x:v>
      </x:c>
      <x:c r="C239" s="22" t="b">
        <x:v>0</x:v>
      </x:c>
      <x:c r="D239" s="11" t="n">
        <x:v>0.3572217507764014</x:v>
      </x:c>
      <x:c r="E239" s="11" t="n">
        <x:v>0.16862901179570777</x:v>
      </x:c>
      <x:c r="F239" s="11" t="n">
        <x:v>-0.9499164047661051</x:v>
      </x:c>
      <x:c r="G239" s="11" t="n">
        <x:v>0.18859273898069362</x:v>
      </x:c>
      <x:c r="H239" s="11" t="n">
        <x:v>1.3071381555425066</x:v>
      </x:c>
      <x:c r="I239" s="11" t="n">
        <x:v>1</x:v>
      </x:c>
      <x:c r="J239" s="13" t="n">
        <x:v>19</x:v>
      </x:c>
      <x:c r="K239" s="22" t="b">
        <x:v>0</x:v>
      </x:c>
      <x:c r="L239" s="13" t="n">
        <x:v>111</x:v>
      </x:c>
      <x:c r="M239" s="13" t="n">
        <x:v>45</x:v>
      </x:c>
    </x:row>
    <x:row r="240" ht="22" customHeight="1">
      <x:c r="A240" s="17" t="str">
        <x:f>"02312200"</x:f>
        <x:v>02312200</x:v>
      </x:c>
      <x:c r="B240" s="13" t="n">
        <x:v>42</x:v>
      </x:c>
      <x:c r="C240" s="22" t="b">
        <x:v>1</x:v>
      </x:c>
      <x:c r="D240" s="11" t="n">
        <x:v>0.9709920695924006</x:v>
      </x:c>
      <x:c r="E240" s="11" t="n">
        <x:v>0.9325255798209607</x:v>
      </x:c>
      <x:c r="F240" s="11" t="n">
        <x:v>0.5034330071396682</x:v>
      </x:c>
      <x:c r="G240" s="11" t="n">
        <x:v>0.03846648977143985</x:v>
      </x:c>
      <x:c r="H240" s="11" t="n">
        <x:v>0.4675590624527324</x:v>
      </x:c>
      <x:c r="I240" s="11" t="n">
        <x:v>1</x:v>
      </x:c>
      <x:c r="J240" s="13" t="n">
        <x:v>15</x:v>
      </x:c>
      <x:c r="K240" s="22" t="b">
        <x:v>1</x:v>
      </x:c>
      <x:c r="L240" s="13" t="n">
        <x:v>62</x:v>
      </x:c>
      <x:c r="M240" s="13" t="n">
        <x:v>21</x:v>
      </x:c>
    </x:row>
    <x:row r="241" ht="22" customHeight="1">
      <x:c r="A241" s="17" t="str">
        <x:f>"02312200"</x:f>
        <x:v>02312200</x:v>
      </x:c>
      <x:c r="B241" s="13" t="n">
        <x:v>42</x:v>
      </x:c>
      <x:c r="C241" s="22" t="b">
        <x:v>0</x:v>
      </x:c>
      <x:c r="D241" s="11" t="n">
        <x:v>-2.9185083945200145</x:v>
      </x:c>
      <x:c r="E241" s="11" t="n">
        <x:v>-2.3739890180359855</x:v>
      </x:c>
      <x:c r="F241" s="11" t="n">
        <x:v>-7.843958446461524</x:v>
      </x:c>
      <x:c r="G241" s="11" t="n">
        <x:v>-0.544519376484029</x:v>
      </x:c>
      <x:c r="H241" s="11" t="n">
        <x:v>4.92545005194151</x:v>
      </x:c>
      <x:c r="I241" s="11" t="n">
        <x:v>0.85</x:v>
      </x:c>
      <x:c r="J241" s="13" t="n">
        <x:v>20</x:v>
      </x:c>
      <x:c r="K241" s="22" t="b">
        <x:v>1</x:v>
      </x:c>
      <x:c r="L241" s="13" t="n">
        <x:v>157</x:v>
      </x:c>
      <x:c r="M241" s="13" t="n">
        <x:v>63</x:v>
      </x:c>
    </x:row>
    <x:row r="242" ht="22" customHeight="1">
      <x:c r="A242" s="17" t="str">
        <x:f>"02314500"</x:f>
        <x:v>02314500</x:v>
      </x:c>
      <x:c r="B242" s="13" t="n">
        <x:v>42</x:v>
      </x:c>
      <x:c r="C242" s="22" t="b">
        <x:v>1</x:v>
      </x:c>
      <x:c r="D242" s="11" t="n">
        <x:v>0.9943644671160519</x:v>
      </x:c>
      <x:c r="E242" s="11" t="n">
        <x:v>0.9792417934869402</x:v>
      </x:c>
      <x:c r="F242" s="11" t="n">
        <x:v>0.6070253254118981</x:v>
      </x:c>
      <x:c r="G242" s="11" t="n">
        <x:v>0.015122673629111683</x:v>
      </x:c>
      <x:c r="H242" s="11" t="n">
        <x:v>0.38733914170415373</x:v>
      </x:c>
      <x:c r="I242" s="11" t="n">
        <x:v>1</x:v>
      </x:c>
      <x:c r="J242" s="13" t="n">
        <x:v>11</x:v>
      </x:c>
      <x:c r="K242" s="22" t="b">
        <x:v>1</x:v>
      </x:c>
      <x:c r="L242" s="13" t="n">
        <x:v>64</x:v>
      </x:c>
      <x:c r="M242" s="13" t="n">
        <x:v>21</x:v>
      </x:c>
    </x:row>
    <x:row r="243" ht="22" customHeight="1">
      <x:c r="A243" s="17" t="str">
        <x:f>"02314500"</x:f>
        <x:v>02314500</x:v>
      </x:c>
      <x:c r="B243" s="13" t="n">
        <x:v>42</x:v>
      </x:c>
      <x:c r="C243" s="22" t="b">
        <x:v>0</x:v>
      </x:c>
      <x:c r="D243" s="11" t="n">
        <x:v>0.3469422878463594</x:v>
      </x:c>
      <x:c r="E243" s="11" t="n">
        <x:v>0.3844307904650771</x:v>
      </x:c>
      <x:c r="F243" s="11" t="n">
        <x:v>-1.419254456074834</x:v>
      </x:c>
      <x:c r="G243" s="11" t="n">
        <x:v>-0.03748850261871772</x:v>
      </x:c>
      <x:c r="H243" s="11" t="n">
        <x:v>1.7661967439211934</x:v>
      </x:c>
      <x:c r="I243" s="11" t="n">
        <x:v>0.85</x:v>
      </x:c>
      <x:c r="J243" s="13" t="n">
        <x:v>20</x:v>
      </x:c>
      <x:c r="K243" s="22" t="b">
        <x:v>1</x:v>
      </x:c>
      <x:c r="L243" s="13" t="n">
        <x:v>143</x:v>
      </x:c>
      <x:c r="M243" s="13" t="n">
        <x:v>54</x:v>
      </x:c>
    </x:row>
    <x:row r="244" ht="22" customHeight="1">
      <x:c r="A244" s="17" t="str">
        <x:f>"02315500"</x:f>
        <x:v>02315500</x:v>
      </x:c>
      <x:c r="B244" s="13" t="n">
        <x:v>42</x:v>
      </x:c>
      <x:c r="C244" s="22" t="b">
        <x:v>1</x:v>
      </x:c>
      <x:c r="D244" s="11" t="n">
        <x:v>0.9709739874767825</x:v>
      </x:c>
      <x:c r="E244" s="11" t="n">
        <x:v>0.9661111957667688</x:v>
      </x:c>
      <x:c r="F244" s="11" t="n">
        <x:v>0.2898196591753356</x:v>
      </x:c>
      <x:c r="G244" s="11" t="n">
        <x:v>0.004862791710013692</x:v>
      </x:c>
      <x:c r="H244" s="11" t="n">
        <x:v>0.681154328301447</x:v>
      </x:c>
      <x:c r="I244" s="11" t="n">
        <x:v>1</x:v>
      </x:c>
      <x:c r="J244" s="13" t="n">
        <x:v>20</x:v>
      </x:c>
      <x:c r="K244" s="22" t="b">
        <x:v>1</x:v>
      </x:c>
      <x:c r="L244" s="13" t="n">
        <x:v>187</x:v>
      </x:c>
      <x:c r="M244" s="13" t="n">
        <x:v>91</x:v>
      </x:c>
    </x:row>
    <x:row r="245" ht="22" customHeight="1">
      <x:c r="A245" s="17" t="str">
        <x:f>"02315500"</x:f>
        <x:v>02315500</x:v>
      </x:c>
      <x:c r="B245" s="13" t="n">
        <x:v>42</x:v>
      </x:c>
      <x:c r="C245" s="22" t="b">
        <x:v>0</x:v>
      </x:c>
      <x:c r="D245" s="11" t="n">
        <x:v>0.5998293471808144</x:v>
      </x:c>
      <x:c r="E245" s="11" t="n">
        <x:v>0.48943360928334256</x:v>
      </x:c>
      <x:c r="F245" s="11" t="n">
        <x:v>-0.2224007637734584</x:v>
      </x:c>
      <x:c r="G245" s="11" t="n">
        <x:v>0.11039573789747181</x:v>
      </x:c>
      <x:c r="H245" s="11" t="n">
        <x:v>0.8222301109542728</x:v>
      </x:c>
      <x:c r="I245" s="11" t="n">
        <x:v>0.3</x:v>
      </x:c>
      <x:c r="J245" s="13" t="n">
        <x:v>20</x:v>
      </x:c>
      <x:c r="K245" s="22" t="b">
        <x:v>0</x:v>
      </x:c>
      <x:c r="L245" s="13" t="n">
        <x:v>127</x:v>
      </x:c>
      <x:c r="M245" s="13" t="n">
        <x:v>45</x:v>
      </x:c>
    </x:row>
    <x:row r="246" ht="22" customHeight="1">
      <x:c r="A246" s="17" t="str">
        <x:f>"02324400"</x:f>
        <x:v>02324400</x:v>
      </x:c>
      <x:c r="B246" s="13" t="n">
        <x:v>42</x:v>
      </x:c>
      <x:c r="C246" s="22" t="b">
        <x:v>1</x:v>
      </x:c>
      <x:c r="D246" s="11" t="n">
        <x:v>0.9340778136010682</x:v>
      </x:c>
      <x:c r="E246" s="11" t="n">
        <x:v>0.895728729084343</x:v>
      </x:c>
      <x:c r="F246" s="11" t="n">
        <x:v>0.7857193672832363</x:v>
      </x:c>
      <x:c r="G246" s="11" t="n">
        <x:v>0.03834908451672525</x:v>
      </x:c>
      <x:c r="H246" s="11" t="n">
        <x:v>0.1483584463178319</x:v>
      </x:c>
      <x:c r="I246" s="11" t="n">
        <x:v>1</x:v>
      </x:c>
      <x:c r="J246" s="13" t="n">
        <x:v>10</x:v>
      </x:c>
      <x:c r="K246" s="22" t="b">
        <x:v>1</x:v>
      </x:c>
      <x:c r="L246" s="13" t="n">
        <x:v>48</x:v>
      </x:c>
      <x:c r="M246" s="13" t="n">
        <x:v>17</x:v>
      </x:c>
    </x:row>
    <x:row r="247" ht="22" customHeight="1">
      <x:c r="A247" s="17" t="str">
        <x:f>"02324400"</x:f>
        <x:v>02324400</x:v>
      </x:c>
      <x:c r="B247" s="13" t="n">
        <x:v>42</x:v>
      </x:c>
      <x:c r="C247" s="22" t="b">
        <x:v>0</x:v>
      </x:c>
      <x:c r="D247" s="11" t="n">
        <x:v>0.3960438417445067</x:v>
      </x:c>
      <x:c r="E247" s="11" t="n">
        <x:v>0.3905639229869582</x:v>
      </x:c>
      <x:c r="F247" s="11" t="n">
        <x:v>0.3533607670545048</x:v>
      </x:c>
      <x:c r="G247" s="11" t="n">
        <x:v>0.0054799187575484964</x:v>
      </x:c>
      <x:c r="H247" s="11" t="n">
        <x:v>0.042683074690001876</x:v>
      </x:c>
      <x:c r="I247" s="11" t="n">
        <x:v>0.4</x:v>
      </x:c>
      <x:c r="J247" s="13" t="n">
        <x:v>20</x:v>
      </x:c>
      <x:c r="K247" s="22" t="b">
        <x:v>0</x:v>
      </x:c>
      <x:c r="L247" s="13" t="n">
        <x:v>129</x:v>
      </x:c>
      <x:c r="M247" s="13" t="n">
        <x:v>45</x:v>
      </x:c>
    </x:row>
    <x:row r="248" ht="22" customHeight="1">
      <x:c r="A248" s="17" t="str">
        <x:f>"02327100"</x:f>
        <x:v>02327100</x:v>
      </x:c>
      <x:c r="B248" s="13" t="n">
        <x:v>42</x:v>
      </x:c>
      <x:c r="C248" s="22" t="b">
        <x:v>1</x:v>
      </x:c>
      <x:c r="D248" s="11" t="n">
        <x:v>0.7190761120139053</x:v>
      </x:c>
      <x:c r="E248" s="11" t="n">
        <x:v>0.7232647123543998</x:v>
      </x:c>
      <x:c r="F248" s="11" t="n">
        <x:v>0.34267414422680986</x:v>
      </x:c>
      <x:c r="G248" s="11" t="n">
        <x:v>-0.004188600340494508</x:v>
      </x:c>
      <x:c r="H248" s="11" t="n">
        <x:v>0.37640196778709545</x:v>
      </x:c>
      <x:c r="I248" s="11" t="n">
        <x:v>0.85</x:v>
      </x:c>
      <x:c r="J248" s="13" t="n">
        <x:v>20</x:v>
      </x:c>
      <x:c r="K248" s="22" t="b">
        <x:v>1</x:v>
      </x:c>
      <x:c r="L248" s="13" t="n">
        <x:v>139</x:v>
      </x:c>
      <x:c r="M248" s="13" t="n">
        <x:v>51</x:v>
      </x:c>
    </x:row>
    <x:row r="249" ht="22" customHeight="1">
      <x:c r="A249" s="17" t="str">
        <x:f>"02327100"</x:f>
        <x:v>02327100</x:v>
      </x:c>
      <x:c r="B249" s="13" t="n">
        <x:v>42</x:v>
      </x:c>
      <x:c r="C249" s="22" t="b">
        <x:v>0</x:v>
      </x:c>
      <x:c r="D249" s="11" t="n">
        <x:v>0.4737781686443129</x:v>
      </x:c>
      <x:c r="E249" s="11" t="n">
        <x:v>0.42782132479100665</x:v>
      </x:c>
      <x:c r="F249" s="11" t="n">
        <x:v>0.32488644682101553</x:v>
      </x:c>
      <x:c r="G249" s="11" t="n">
        <x:v>0.04595684385330623</x:v>
      </x:c>
      <x:c r="H249" s="11" t="n">
        <x:v>0.14889172182329735</x:v>
      </x:c>
      <x:c r="I249" s="11" t="n">
        <x:v>0.5</x:v>
      </x:c>
      <x:c r="J249" s="13" t="n">
        <x:v>20</x:v>
      </x:c>
      <x:c r="K249" s="22" t="b">
        <x:v>0</x:v>
      </x:c>
      <x:c r="L249" s="13" t="n">
        <x:v>100</x:v>
      </x:c>
      <x:c r="M249" s="13" t="n">
        <x:v>33</x:v>
      </x:c>
    </x:row>
    <x:row r="250" ht="22" customHeight="1">
      <x:c r="A250" s="17" t="str">
        <x:f>"02349900"</x:f>
        <x:v>02349900</x:v>
      </x:c>
      <x:c r="B250" s="13" t="n">
        <x:v>42</x:v>
      </x:c>
      <x:c r="C250" s="22" t="b">
        <x:v>1</x:v>
      </x:c>
      <x:c r="D250" s="11" t="n">
        <x:v>0.6294259134551548</x:v>
      </x:c>
      <x:c r="E250" s="11" t="n">
        <x:v>0.5902243525575428</x:v>
      </x:c>
      <x:c r="F250" s="11" t="n">
        <x:v>0.3473043891443647</x:v>
      </x:c>
      <x:c r="G250" s="11" t="n">
        <x:v>0.03920156089761195</x:v>
      </x:c>
      <x:c r="H250" s="11" t="n">
        <x:v>0.2821215243107901</x:v>
      </x:c>
      <x:c r="I250" s="11" t="n">
        <x:v>0.4666666666666667</x:v>
      </x:c>
      <x:c r="J250" s="13" t="n">
        <x:v>15</x:v>
      </x:c>
      <x:c r="K250" s="22" t="b">
        <x:v>0</x:v>
      </x:c>
      <x:c r="L250" s="13" t="n">
        <x:v>97</x:v>
      </x:c>
      <x:c r="M250" s="13" t="n">
        <x:v>31</x:v>
      </x:c>
    </x:row>
    <x:row r="251" ht="22" customHeight="1">
      <x:c r="A251" s="17" t="str">
        <x:f>"02349900"</x:f>
        <x:v>02349900</x:v>
      </x:c>
      <x:c r="B251" s="13" t="n">
        <x:v>42</x:v>
      </x:c>
      <x:c r="C251" s="22" t="b">
        <x:v>0</x:v>
      </x:c>
      <x:c r="D251" s="11" t="n">
        <x:v>0.36435396780170903</x:v>
      </x:c>
      <x:c r="E251" s="11" t="n">
        <x:v>0.3588157833420229</x:v>
      </x:c>
      <x:c r="F251" s="11" t="n">
        <x:v>-0.17586804121756638</x:v>
      </x:c>
      <x:c r="G251" s="11" t="n">
        <x:v>0.005538184459686124</x:v>
      </x:c>
      <x:c r="H251" s="11" t="n">
        <x:v>0.5402220090192754</x:v>
      </x:c>
      <x:c r="I251" s="11" t="n">
        <x:v>1</x:v>
      </x:c>
      <x:c r="J251" s="13" t="n">
        <x:v>10</x:v>
      </x:c>
      <x:c r="K251" s="22" t="b">
        <x:v>1</x:v>
      </x:c>
      <x:c r="L251" s="13" t="n">
        <x:v>101</x:v>
      </x:c>
      <x:c r="M251" s="13" t="n">
        <x:v>33</x:v>
      </x:c>
    </x:row>
    <x:row r="252" ht="22" customHeight="1">
      <x:c r="A252" s="17" t="str">
        <x:f>"02361000"</x:f>
        <x:v>02361000</x:v>
      </x:c>
      <x:c r="B252" s="13" t="n">
        <x:v>42</x:v>
      </x:c>
      <x:c r="C252" s="22" t="b">
        <x:v>1</x:v>
      </x:c>
      <x:c r="D252" s="11" t="n">
        <x:v>0.8522776459916775</x:v>
      </x:c>
      <x:c r="E252" s="11" t="n">
        <x:v>0.797916611866061</x:v>
      </x:c>
      <x:c r="F252" s="11" t="n">
        <x:v>-0.8519800927056502</x:v>
      </x:c>
      <x:c r="G252" s="11" t="n">
        <x:v>0.05436103412561655</x:v>
      </x:c>
      <x:c r="H252" s="11" t="n">
        <x:v>1.7042577386973279</x:v>
      </x:c>
      <x:c r="I252" s="11" t="n">
        <x:v>1</x:v>
      </x:c>
      <x:c r="J252" s="13" t="n">
        <x:v>12</x:v>
      </x:c>
      <x:c r="K252" s="22" t="b">
        <x:v>0</x:v>
      </x:c>
      <x:c r="L252" s="13" t="n">
        <x:v>77</x:v>
      </x:c>
      <x:c r="M252" s="13" t="n">
        <x:v>25</x:v>
      </x:c>
    </x:row>
    <x:row r="253" ht="22" customHeight="1">
      <x:c r="A253" s="17" t="str">
        <x:f>"02361000"</x:f>
        <x:v>02361000</x:v>
      </x:c>
      <x:c r="B253" s="13" t="n">
        <x:v>42</x:v>
      </x:c>
      <x:c r="C253" s="22" t="b">
        <x:v>0</x:v>
      </x:c>
      <x:c r="D253" s="11" t="n">
        <x:v>0.5702731219436028</x:v>
      </x:c>
      <x:c r="E253" s="11" t="n">
        <x:v>0.6181686650494742</x:v>
      </x:c>
      <x:c r="F253" s="11" t="n">
        <x:v>0.3352087200823265</x:v>
      </x:c>
      <x:c r="G253" s="11" t="n">
        <x:v>-0.04789554310587141</x:v>
      </x:c>
      <x:c r="H253" s="11" t="n">
        <x:v>0.2350644018612763</x:v>
      </x:c>
      <x:c r="I253" s="11" t="n">
        <x:v>0.15789473684210525</x:v>
      </x:c>
      <x:c r="J253" s="13" t="n">
        <x:v>19</x:v>
      </x:c>
      <x:c r="K253" s="22" t="b">
        <x:v>0</x:v>
      </x:c>
      <x:c r="L253" s="13" t="n">
        <x:v>99</x:v>
      </x:c>
      <x:c r="M253" s="13" t="n">
        <x:v>32</x:v>
      </x:c>
    </x:row>
    <x:row r="254" ht="22" customHeight="1">
      <x:c r="A254" s="17" t="str">
        <x:f>"02369800"</x:f>
        <x:v>02369800</x:v>
      </x:c>
      <x:c r="B254" s="13" t="n">
        <x:v>42</x:v>
      </x:c>
      <x:c r="C254" s="22" t="b">
        <x:v>1</x:v>
      </x:c>
      <x:c r="D254" s="11" t="n">
        <x:v>0.7445339101396258</x:v>
      </x:c>
      <x:c r="E254" s="11" t="n">
        <x:v>0.7155728228301517</x:v>
      </x:c>
      <x:c r="F254" s="11" t="n">
        <x:v>-0.1442879800152972</x:v>
      </x:c>
      <x:c r="G254" s="11" t="n">
        <x:v>0.02896108730947411</x:v>
      </x:c>
      <x:c r="H254" s="11" t="n">
        <x:v>0.888821890154923</x:v>
      </x:c>
      <x:c r="I254" s="11" t="n">
        <x:v>1</x:v>
      </x:c>
      <x:c r="J254" s="13" t="n">
        <x:v>16</x:v>
      </x:c>
      <x:c r="K254" s="22" t="b">
        <x:v>1</x:v>
      </x:c>
      <x:c r="L254" s="13" t="n">
        <x:v>85</x:v>
      </x:c>
      <x:c r="M254" s="13" t="n">
        <x:v>28</x:v>
      </x:c>
    </x:row>
    <x:row r="255" ht="22" customHeight="1">
      <x:c r="A255" s="17" t="str">
        <x:f>"02369800"</x:f>
        <x:v>02369800</x:v>
      </x:c>
      <x:c r="B255" s="13" t="n">
        <x:v>42</x:v>
      </x:c>
      <x:c r="C255" s="22" t="b">
        <x:v>0</x:v>
      </x:c>
      <x:c r="D255" s="11" t="n">
        <x:v>0.5921962979774344</x:v>
      </x:c>
      <x:c r="E255" s="11" t="n">
        <x:v>0.2963722396342966</x:v>
      </x:c>
      <x:c r="F255" s="11" t="n">
        <x:v>0.20512677950484348</x:v>
      </x:c>
      <x:c r="G255" s="11" t="n">
        <x:v>0.29582405834313785</x:v>
      </x:c>
      <x:c r="H255" s="11" t="n">
        <x:v>0.38706951847259097</x:v>
      </x:c>
      <x:c r="I255" s="11" t="n">
        <x:v>1</x:v>
      </x:c>
      <x:c r="J255" s="13" t="n">
        <x:v>10</x:v>
      </x:c>
      <x:c r="K255" s="22" t="b">
        <x:v>0</x:v>
      </x:c>
      <x:c r="L255" s="13" t="n">
        <x:v>72</x:v>
      </x:c>
      <x:c r="M255" s="13" t="n">
        <x:v>32</x:v>
      </x:c>
    </x:row>
    <x:row r="256" ht="22" customHeight="1">
      <x:c r="A256" s="17" t="str">
        <x:f>"02371500"</x:f>
        <x:v>02371500</x:v>
      </x:c>
      <x:c r="B256" s="13" t="n">
        <x:v>42</x:v>
      </x:c>
      <x:c r="C256" s="22" t="b">
        <x:v>1</x:v>
      </x:c>
      <x:c r="D256" s="11" t="n">
        <x:v>0.93536493596866</x:v>
      </x:c>
      <x:c r="E256" s="11" t="n">
        <x:v>0.9020975681492077</x:v>
      </x:c>
      <x:c r="F256" s="11" t="n">
        <x:v>0.11800681585097161</x:v>
      </x:c>
      <x:c r="G256" s="11" t="n">
        <x:v>0.033267367819452276</x:v>
      </x:c>
      <x:c r="H256" s="11" t="n">
        <x:v>0.8173581201176884</x:v>
      </x:c>
      <x:c r="I256" s="11"/>
      <x:c r="J256" s="13" t="n">
        <x:v>0</x:v>
      </x:c>
      <x:c r="K256" s="22" t="b">
        <x:v>0</x:v>
      </x:c>
      <x:c r="L256" s="13" t="n">
        <x:v>57</x:v>
      </x:c>
      <x:c r="M256" s="13" t="n">
        <x:v>19</x:v>
      </x:c>
    </x:row>
    <x:row r="257" ht="22" customHeight="1">
      <x:c r="A257" s="17" t="str">
        <x:f>"02371500"</x:f>
        <x:v>02371500</x:v>
      </x:c>
      <x:c r="B257" s="13" t="n">
        <x:v>42</x:v>
      </x:c>
      <x:c r="C257" s="22" t="b">
        <x:v>0</x:v>
      </x:c>
      <x:c r="D257" s="11" t="n">
        <x:v>0.7549629210929898</x:v>
      </x:c>
      <x:c r="E257" s="11" t="n">
        <x:v>0.6865845634777213</x:v>
      </x:c>
      <x:c r="F257" s="11" t="n">
        <x:v>-2.143786824179844</x:v>
      </x:c>
      <x:c r="G257" s="11" t="n">
        <x:v>0.06837835761526845</x:v>
      </x:c>
      <x:c r="H257" s="11" t="n">
        <x:v>2.8987497452728337</x:v>
      </x:c>
      <x:c r="I257" s="11" t="n">
        <x:v>0.3</x:v>
      </x:c>
      <x:c r="J257" s="13" t="n">
        <x:v>20</x:v>
      </x:c>
      <x:c r="K257" s="22" t="b">
        <x:v>0</x:v>
      </x:c>
      <x:c r="L257" s="13" t="n">
        <x:v>96</x:v>
      </x:c>
      <x:c r="M257" s="13" t="n">
        <x:v>31</x:v>
      </x:c>
    </x:row>
    <x:row r="258" ht="22" customHeight="1">
      <x:c r="A258" s="17" t="str">
        <x:f>"02372250"</x:f>
        <x:v>02372250</x:v>
      </x:c>
      <x:c r="B258" s="13" t="n">
        <x:v>42</x:v>
      </x:c>
      <x:c r="C258" s="22" t="b">
        <x:v>1</x:v>
      </x:c>
      <x:c r="D258" s="11" t="n">
        <x:v>0.9240581334044168</x:v>
      </x:c>
      <x:c r="E258" s="11" t="n">
        <x:v>0.9306774254765737</x:v>
      </x:c>
      <x:c r="F258" s="11" t="n">
        <x:v>-0.24699197420263452</x:v>
      </x:c>
      <x:c r="G258" s="11" t="n">
        <x:v>-0.006619292072156946</x:v>
      </x:c>
      <x:c r="H258" s="11" t="n">
        <x:v>1.1710501076070514</x:v>
      </x:c>
      <x:c r="I258" s="11" t="n">
        <x:v>0</x:v>
      </x:c>
      <x:c r="J258" s="13" t="n">
        <x:v>16</x:v>
      </x:c>
      <x:c r="K258" s="22" t="b">
        <x:v>0</x:v>
      </x:c>
      <x:c r="L258" s="13" t="n">
        <x:v>83</x:v>
      </x:c>
      <x:c r="M258" s="13" t="n">
        <x:v>28</x:v>
      </x:c>
    </x:row>
    <x:row r="259" ht="22" customHeight="1">
      <x:c r="A259" s="17" t="str">
        <x:f>"02372250"</x:f>
        <x:v>02372250</x:v>
      </x:c>
      <x:c r="B259" s="13" t="n">
        <x:v>42</x:v>
      </x:c>
      <x:c r="C259" s="22" t="b">
        <x:v>0</x:v>
      </x:c>
      <x:c r="D259" s="11" t="n">
        <x:v>0.6788356908520854</x:v>
      </x:c>
      <x:c r="E259" s="11" t="n">
        <x:v>0.669555200427479</x:v>
      </x:c>
      <x:c r="F259" s="11" t="n">
        <x:v>-1.0710098290579126</x:v>
      </x:c>
      <x:c r="G259" s="11" t="n">
        <x:v>0.009280490424606436</x:v>
      </x:c>
      <x:c r="H259" s="11" t="n">
        <x:v>1.749845519909998</x:v>
      </x:c>
      <x:c r="I259" s="11" t="n">
        <x:v>0.9</x:v>
      </x:c>
      <x:c r="J259" s="13" t="n">
        <x:v>20</x:v>
      </x:c>
      <x:c r="K259" s="22" t="b">
        <x:v>1</x:v>
      </x:c>
      <x:c r="L259" s="13" t="n">
        <x:v>93</x:v>
      </x:c>
      <x:c r="M259" s="13" t="n">
        <x:v>30</x:v>
      </x:c>
    </x:row>
    <x:row r="260" ht="22" customHeight="1">
      <x:c r="A260" s="17" t="str">
        <x:f>"02374500"</x:f>
        <x:v>02374500</x:v>
      </x:c>
      <x:c r="B260" s="13" t="n">
        <x:v>42</x:v>
      </x:c>
      <x:c r="C260" s="22" t="b">
        <x:v>1</x:v>
      </x:c>
      <x:c r="D260" s="11" t="n">
        <x:v>0.7220778826141292</x:v>
      </x:c>
      <x:c r="E260" s="11" t="n">
        <x:v>0.6795317966818867</x:v>
      </x:c>
      <x:c r="F260" s="11" t="n">
        <x:v>0.6063668307329084</x:v>
      </x:c>
      <x:c r="G260" s="11" t="n">
        <x:v>0.04254608593224252</x:v>
      </x:c>
      <x:c r="H260" s="11" t="n">
        <x:v>0.11571105188122077</x:v>
      </x:c>
      <x:c r="I260" s="11" t="n">
        <x:v>1</x:v>
      </x:c>
      <x:c r="J260" s="13" t="n">
        <x:v>20</x:v>
      </x:c>
      <x:c r="K260" s="22" t="b">
        <x:v>1</x:v>
      </x:c>
      <x:c r="L260" s="13" t="n">
        <x:v>84</x:v>
      </x:c>
      <x:c r="M260" s="13" t="n">
        <x:v>34</x:v>
      </x:c>
    </x:row>
    <x:row r="261" ht="22" customHeight="1">
      <x:c r="A261" s="17" t="str">
        <x:f>"02374500"</x:f>
        <x:v>02374500</x:v>
      </x:c>
      <x:c r="B261" s="13" t="n">
        <x:v>42</x:v>
      </x:c>
      <x:c r="C261" s="22" t="b">
        <x:v>0</x:v>
      </x:c>
      <x:c r="D261" s="11" t="n">
        <x:v>0.5760735296400232</x:v>
      </x:c>
      <x:c r="E261" s="11" t="n">
        <x:v>0.504043327960473</x:v>
      </x:c>
      <x:c r="F261" s="11" t="n">
        <x:v>0.24586359002397118</x:v>
      </x:c>
      <x:c r="G261" s="11" t="n">
        <x:v>0.07203020167955021</x:v>
      </x:c>
      <x:c r="H261" s="11" t="n">
        <x:v>0.33020993961605205</x:v>
      </x:c>
      <x:c r="I261" s="11" t="n">
        <x:v>0.9473684210526315</x:v>
      </x:c>
      <x:c r="J261" s="13" t="n">
        <x:v>19</x:v>
      </x:c>
      <x:c r="K261" s="22" t="b">
        <x:v>0</x:v>
      </x:c>
      <x:c r="L261" s="13" t="n">
        <x:v>100</x:v>
      </x:c>
      <x:c r="M261" s="13" t="n">
        <x:v>34</x:v>
      </x:c>
    </x:row>
    <x:row r="262" ht="22" customHeight="1">
      <x:c r="A262" s="17" t="str">
        <x:f>"02381600"</x:f>
        <x:v>02381600</x:v>
      </x:c>
      <x:c r="B262" s="13" t="n">
        <x:v>42</x:v>
      </x:c>
      <x:c r="C262" s="22" t="b">
        <x:v>1</x:v>
      </x:c>
      <x:c r="D262" s="11" t="n">
        <x:v>0.18848412623576005</x:v>
      </x:c>
      <x:c r="E262" s="11" t="n">
        <x:v>0.1414487647851801</x:v>
      </x:c>
      <x:c r="F262" s="11" t="n">
        <x:v>0.15479753412969866</x:v>
      </x:c>
      <x:c r="G262" s="11" t="n">
        <x:v>0.04703536145057996</x:v>
      </x:c>
      <x:c r="H262" s="11" t="n">
        <x:v>0.0336865921060614</x:v>
      </x:c>
      <x:c r="I262" s="11" t="n">
        <x:v>0.1</x:v>
      </x:c>
      <x:c r="J262" s="13" t="n">
        <x:v>20</x:v>
      </x:c>
      <x:c r="K262" s="22" t="b">
        <x:v>0</x:v>
      </x:c>
      <x:c r="L262" s="13" t="n">
        <x:v>90</x:v>
      </x:c>
      <x:c r="M262" s="13" t="n">
        <x:v>28</x:v>
      </x:c>
    </x:row>
    <x:row r="263" ht="22" customHeight="1">
      <x:c r="A263" s="17" t="str">
        <x:f>"02381600"</x:f>
        <x:v>02381600</x:v>
      </x:c>
      <x:c r="B263" s="13" t="n">
        <x:v>42</x:v>
      </x:c>
      <x:c r="C263" s="22" t="b">
        <x:v>0</x:v>
      </x:c>
      <x:c r="D263" s="11" t="n">
        <x:v>0.08402447841149618</x:v>
      </x:c>
      <x:c r="E263" s="11" t="n">
        <x:v>0.07513132897867147</x:v>
      </x:c>
      <x:c r="F263" s="11" t="n">
        <x:v>0.028087847300607427</x:v>
      </x:c>
      <x:c r="G263" s="11" t="n">
        <x:v>0.00889314943282471</x:v>
      </x:c>
      <x:c r="H263" s="11" t="n">
        <x:v>0.05593663111088876</x:v>
      </x:c>
      <x:c r="I263" s="11" t="n">
        <x:v>0.85</x:v>
      </x:c>
      <x:c r="J263" s="13" t="n">
        <x:v>20</x:v>
      </x:c>
      <x:c r="K263" s="22" t="b">
        <x:v>1</x:v>
      </x:c>
      <x:c r="L263" s="13" t="n">
        <x:v>111</x:v>
      </x:c>
      <x:c r="M263" s="13" t="n">
        <x:v>37</x:v>
      </x:c>
    </x:row>
    <x:row r="264" ht="22" customHeight="1">
      <x:c r="A264" s="17" t="str">
        <x:f>"02422500"</x:f>
        <x:v>02422500</x:v>
      </x:c>
      <x:c r="B264" s="13" t="n">
        <x:v>42</x:v>
      </x:c>
      <x:c r="C264" s="22" t="b">
        <x:v>1</x:v>
      </x:c>
      <x:c r="D264" s="11" t="n">
        <x:v>0.4445182991923894</x:v>
      </x:c>
      <x:c r="E264" s="11" t="n">
        <x:v>0.42896883613335657</x:v>
      </x:c>
      <x:c r="F264" s="11" t="n">
        <x:v>0.3872054843438175</x:v>
      </x:c>
      <x:c r="G264" s="11" t="n">
        <x:v>0.01554946305903282</x:v>
      </x:c>
      <x:c r="H264" s="11" t="n">
        <x:v>0.05731281484857187</x:v>
      </x:c>
      <x:c r="I264" s="11" t="n">
        <x:v>1</x:v>
      </x:c>
      <x:c r="J264" s="13" t="n">
        <x:v>19</x:v>
      </x:c>
      <x:c r="K264" s="22" t="b">
        <x:v>1</x:v>
      </x:c>
      <x:c r="L264" s="13" t="n">
        <x:v>99</x:v>
      </x:c>
      <x:c r="M264" s="13" t="n">
        <x:v>32</x:v>
      </x:c>
    </x:row>
    <x:row r="265" ht="22" customHeight="1">
      <x:c r="A265" s="17" t="str">
        <x:f>"02422500"</x:f>
        <x:v>02422500</x:v>
      </x:c>
      <x:c r="B265" s="13" t="n">
        <x:v>42</x:v>
      </x:c>
      <x:c r="C265" s="22" t="b">
        <x:v>0</x:v>
      </x:c>
      <x:c r="D265" s="11" t="n">
        <x:v>0.3532057340474729</x:v>
      </x:c>
      <x:c r="E265" s="11" t="n">
        <x:v>0.2856474859985886</x:v>
      </x:c>
      <x:c r="F265" s="11" t="n">
        <x:v>0.3130869700972019</x:v>
      </x:c>
      <x:c r="G265" s="11" t="n">
        <x:v>0.06755824804888433</x:v>
      </x:c>
      <x:c r="H265" s="11" t="n">
        <x:v>0.04011876395027103</x:v>
      </x:c>
      <x:c r="I265" s="11" t="n">
        <x:v>0.5263157894736842</x:v>
      </x:c>
      <x:c r="J265" s="13" t="n">
        <x:v>19</x:v>
      </x:c>
      <x:c r="K265" s="22" t="b">
        <x:v>0</x:v>
      </x:c>
      <x:c r="L265" s="13" t="n">
        <x:v>69</x:v>
      </x:c>
      <x:c r="M265" s="13" t="n">
        <x:v>24</x:v>
      </x:c>
    </x:row>
    <x:row r="266" ht="22" customHeight="1">
      <x:c r="A266" s="17" t="str">
        <x:f>"02430085"</x:f>
        <x:v>02430085</x:v>
      </x:c>
      <x:c r="B266" s="13" t="n">
        <x:v>42</x:v>
      </x:c>
      <x:c r="C266" s="22" t="b">
        <x:v>1</x:v>
      </x:c>
      <x:c r="D266" s="11" t="n">
        <x:v>0.216439983478654</x:v>
      </x:c>
      <x:c r="E266" s="11" t="n">
        <x:v>0.12234552665161513</x:v>
      </x:c>
      <x:c r="F266" s="11" t="n">
        <x:v>0.20311103885319015</x:v>
      </x:c>
      <x:c r="G266" s="11" t="n">
        <x:v>0.09409445682703887</x:v>
      </x:c>
      <x:c r="H266" s="11" t="n">
        <x:v>0.013328944625463857</x:v>
      </x:c>
      <x:c r="I266" s="11" t="n">
        <x:v>0.42105263157894735</x:v>
      </x:c>
      <x:c r="J266" s="13" t="n">
        <x:v>19</x:v>
      </x:c>
      <x:c r="K266" s="22" t="b">
        <x:v>0</x:v>
      </x:c>
      <x:c r="L266" s="13" t="n">
        <x:v>80</x:v>
      </x:c>
      <x:c r="M266" s="13" t="n">
        <x:v>26</x:v>
      </x:c>
    </x:row>
    <x:row r="267" ht="22" customHeight="1">
      <x:c r="A267" s="17" t="str">
        <x:f>"02430085"</x:f>
        <x:v>02430085</x:v>
      </x:c>
      <x:c r="B267" s="13" t="n">
        <x:v>42</x:v>
      </x:c>
      <x:c r="C267" s="22" t="b">
        <x:v>0</x:v>
      </x:c>
      <x:c r="D267" s="11" t="n">
        <x:v>0.08296330779843619</x:v>
      </x:c>
      <x:c r="E267" s="11" t="n">
        <x:v>0.06700801506215437</x:v>
      </x:c>
      <x:c r="F267" s="11" t="n">
        <x:v>-3.311749432398848</x:v>
      </x:c>
      <x:c r="G267" s="11" t="n">
        <x:v>0.015955292736281823</x:v>
      </x:c>
      <x:c r="H267" s="11" t="n">
        <x:v>3.394712740197284</x:v>
      </x:c>
      <x:c r="I267" s="11" t="n">
        <x:v>0.6111111111111112</x:v>
      </x:c>
      <x:c r="J267" s="13" t="n">
        <x:v>18</x:v>
      </x:c>
      <x:c r="K267" s="22" t="b">
        <x:v>0</x:v>
      </x:c>
      <x:c r="L267" s="13" t="n">
        <x:v>96</x:v>
      </x:c>
      <x:c r="M267" s="13" t="n">
        <x:v>31</x:v>
      </x:c>
    </x:row>
    <x:row r="268" ht="22" customHeight="1">
      <x:c r="A268" s="17" t="str">
        <x:f>"02450250"</x:f>
        <x:v>02450250</x:v>
      </x:c>
      <x:c r="B268" s="13" t="n">
        <x:v>42</x:v>
      </x:c>
      <x:c r="C268" s="22" t="b">
        <x:v>1</x:v>
      </x:c>
      <x:c r="D268" s="11" t="n">
        <x:v>0.397312753235184</x:v>
      </x:c>
      <x:c r="E268" s="11" t="n">
        <x:v>0.3604533658882523</x:v>
      </x:c>
      <x:c r="F268" s="11" t="n">
        <x:v>0.22663060568171678</x:v>
      </x:c>
      <x:c r="G268" s="11" t="n">
        <x:v>0.03685938734693173</x:v>
      </x:c>
      <x:c r="H268" s="11" t="n">
        <x:v>0.17068214755346722</x:v>
      </x:c>
      <x:c r="I268" s="11" t="n">
        <x:v>1</x:v>
      </x:c>
      <x:c r="J268" s="13" t="n">
        <x:v>14</x:v>
      </x:c>
      <x:c r="K268" s="22" t="b">
        <x:v>1</x:v>
      </x:c>
      <x:c r="L268" s="13" t="n">
        <x:v>86</x:v>
      </x:c>
      <x:c r="M268" s="13" t="n">
        <x:v>27</x:v>
      </x:c>
    </x:row>
    <x:row r="269" ht="22" customHeight="1">
      <x:c r="A269" s="17" t="str">
        <x:f>"02450250"</x:f>
        <x:v>02450250</x:v>
      </x:c>
      <x:c r="B269" s="13" t="n">
        <x:v>42</x:v>
      </x:c>
      <x:c r="C269" s="22" t="b">
        <x:v>0</x:v>
      </x:c>
      <x:c r="D269" s="11" t="n">
        <x:v>0.31640085360277814</x:v>
      </x:c>
      <x:c r="E269" s="11" t="n">
        <x:v>0.31553160834278615</x:v>
      </x:c>
      <x:c r="F269" s="11" t="n">
        <x:v>0.1398857149053725</x:v>
      </x:c>
      <x:c r="G269" s="11" t="n">
        <x:v>0.0008692452599919909</x:v>
      </x:c>
      <x:c r="H269" s="11" t="n">
        <x:v>0.17651513869740565</x:v>
      </x:c>
      <x:c r="I269" s="11" t="n">
        <x:v>1</x:v>
      </x:c>
      <x:c r="J269" s="13" t="n">
        <x:v>16</x:v>
      </x:c>
      <x:c r="K269" s="22" t="b">
        <x:v>1</x:v>
      </x:c>
      <x:c r="L269" s="13" t="n">
        <x:v>69</x:v>
      </x:c>
      <x:c r="M269" s="13" t="n">
        <x:v>23</x:v>
      </x:c>
    </x:row>
    <x:row r="270" ht="22" customHeight="1">
      <x:c r="A270" s="17" t="str">
        <x:f>"02464000"</x:f>
        <x:v>02464000</x:v>
      </x:c>
      <x:c r="B270" s="13" t="n">
        <x:v>42</x:v>
      </x:c>
      <x:c r="C270" s="22" t="b">
        <x:v>1</x:v>
      </x:c>
      <x:c r="D270" s="11" t="n">
        <x:v>0.4265449552692573</x:v>
      </x:c>
      <x:c r="E270" s="11" t="n">
        <x:v>0.37527064165296875</x:v>
      </x:c>
      <x:c r="F270" s="11" t="n">
        <x:v>0.2935058405513953</x:v>
      </x:c>
      <x:c r="G270" s="11" t="n">
        <x:v>0.051274313616288536</x:v>
      </x:c>
      <x:c r="H270" s="11" t="n">
        <x:v>0.133039114717862</x:v>
      </x:c>
      <x:c r="I270" s="11" t="n">
        <x:v>1</x:v>
      </x:c>
      <x:c r="J270" s="13" t="n">
        <x:v>12</x:v>
      </x:c>
      <x:c r="K270" s="22" t="b">
        <x:v>0</x:v>
      </x:c>
      <x:c r="L270" s="13" t="n">
        <x:v>94</x:v>
      </x:c>
      <x:c r="M270" s="13" t="n">
        <x:v>30</x:v>
      </x:c>
    </x:row>
    <x:row r="271" ht="22" customHeight="1">
      <x:c r="A271" s="17" t="str">
        <x:f>"02464000"</x:f>
        <x:v>02464000</x:v>
      </x:c>
      <x:c r="B271" s="13" t="n">
        <x:v>42</x:v>
      </x:c>
      <x:c r="C271" s="22" t="b">
        <x:v>0</x:v>
      </x:c>
      <x:c r="D271" s="11" t="n">
        <x:v>0.3655676945375633</x:v>
      </x:c>
      <x:c r="E271" s="11" t="n">
        <x:v>0.3260643141253239</x:v>
      </x:c>
      <x:c r="F271" s="11" t="n">
        <x:v>0.20014497796242792</x:v>
      </x:c>
      <x:c r="G271" s="11" t="n">
        <x:v>0.03950338041223944</x:v>
      </x:c>
      <x:c r="H271" s="11" t="n">
        <x:v>0.1654227165751354</x:v>
      </x:c>
      <x:c r="I271" s="11" t="n">
        <x:v>0.3157894736842105</x:v>
      </x:c>
      <x:c r="J271" s="13" t="n">
        <x:v>19</x:v>
      </x:c>
      <x:c r="K271" s="22" t="b">
        <x:v>0</x:v>
      </x:c>
      <x:c r="L271" s="13" t="n">
        <x:v>154</x:v>
      </x:c>
      <x:c r="M271" s="13" t="n">
        <x:v>61</x:v>
      </x:c>
    </x:row>
    <x:row r="272" ht="22" customHeight="1">
      <x:c r="A272" s="17" t="str">
        <x:f>"02465493"</x:f>
        <x:v>02465493</x:v>
      </x:c>
      <x:c r="B272" s="13" t="n">
        <x:v>42</x:v>
      </x:c>
      <x:c r="C272" s="22" t="b">
        <x:v>1</x:v>
      </x:c>
      <x:c r="D272" s="11" t="n">
        <x:v>0.666223895549072</x:v>
      </x:c>
      <x:c r="E272" s="11" t="n">
        <x:v>0.37532814057160413</x:v>
      </x:c>
      <x:c r="F272" s="11" t="n">
        <x:v>0.634721308695132</x:v>
      </x:c>
      <x:c r="G272" s="11" t="n">
        <x:v>0.2908957549774679</x:v>
      </x:c>
      <x:c r="H272" s="11" t="n">
        <x:v>0.03150258685394003</x:v>
      </x:c>
      <x:c r="I272" s="11" t="n">
        <x:v>0</x:v>
      </x:c>
      <x:c r="J272" s="13" t="n">
        <x:v>9</x:v>
      </x:c>
      <x:c r="K272" s="22" t="b">
        <x:v>0</x:v>
      </x:c>
      <x:c r="L272" s="13" t="n">
        <x:v>48</x:v>
      </x:c>
      <x:c r="M272" s="13" t="n">
        <x:v>17</x:v>
      </x:c>
    </x:row>
    <x:row r="273" ht="22" customHeight="1">
      <x:c r="A273" s="17" t="str">
        <x:f>"02465493"</x:f>
        <x:v>02465493</x:v>
      </x:c>
      <x:c r="B273" s="13" t="n">
        <x:v>42</x:v>
      </x:c>
      <x:c r="C273" s="22" t="b">
        <x:v>0</x:v>
      </x:c>
      <x:c r="D273" s="11" t="n">
        <x:v>0.5354178198656926</x:v>
      </x:c>
      <x:c r="E273" s="11" t="n">
        <x:v>0.20477168217895325</x:v>
      </x:c>
      <x:c r="F273" s="11" t="n">
        <x:v>0.5189593688905899</x:v>
      </x:c>
      <x:c r="G273" s="11" t="n">
        <x:v>0.33064613768673934</x:v>
      </x:c>
      <x:c r="H273" s="11" t="n">
        <x:v>0.01645845097510268</x:v>
      </x:c>
      <x:c r="I273" s="11"/>
      <x:c r="J273" s="13" t="n">
        <x:v>0</x:v>
      </x:c>
      <x:c r="K273" s="22" t="b">
        <x:v>0</x:v>
      </x:c>
      <x:c r="L273" s="13" t="n">
        <x:v>65</x:v>
      </x:c>
      <x:c r="M273" s="13" t="n">
        <x:v>22</x:v>
      </x:c>
    </x:row>
    <x:row r="274" ht="22" customHeight="1">
      <x:c r="A274" s="17" t="str">
        <x:f>"02469800"</x:f>
        <x:v>02469800</x:v>
      </x:c>
      <x:c r="B274" s="13" t="n">
        <x:v>42</x:v>
      </x:c>
      <x:c r="C274" s="22" t="b">
        <x:v>1</x:v>
      </x:c>
      <x:c r="D274" s="11" t="n">
        <x:v>0.5698476821689832</x:v>
      </x:c>
      <x:c r="E274" s="11" t="n">
        <x:v>0.567569583295312</x:v>
      </x:c>
      <x:c r="F274" s="11" t="n">
        <x:v>0.411606502586377</x:v>
      </x:c>
      <x:c r="G274" s="11" t="n">
        <x:v>0.0022780988736711416</x:v>
      </x:c>
      <x:c r="H274" s="11" t="n">
        <x:v>0.1582411795826062</x:v>
      </x:c>
      <x:c r="I274" s="11" t="n">
        <x:v>0.625</x:v>
      </x:c>
      <x:c r="J274" s="13" t="n">
        <x:v>16</x:v>
      </x:c>
      <x:c r="K274" s="22" t="b">
        <x:v>0</x:v>
      </x:c>
      <x:c r="L274" s="13" t="n">
        <x:v>119</x:v>
      </x:c>
      <x:c r="M274" s="13" t="n">
        <x:v>41</x:v>
      </x:c>
    </x:row>
    <x:row r="275" ht="22" customHeight="1">
      <x:c r="A275" s="17" t="str">
        <x:f>"02469800"</x:f>
        <x:v>02469800</x:v>
      </x:c>
      <x:c r="B275" s="13" t="n">
        <x:v>42</x:v>
      </x:c>
      <x:c r="C275" s="22" t="b">
        <x:v>0</x:v>
      </x:c>
      <x:c r="D275" s="11" t="n">
        <x:v>0.5286063659315549</x:v>
      </x:c>
      <x:c r="E275" s="11" t="n">
        <x:v>0.5044390535468429</x:v>
      </x:c>
      <x:c r="F275" s="11" t="n">
        <x:v>0.027538660267192427</x:v>
      </x:c>
      <x:c r="G275" s="11" t="n">
        <x:v>0.024167312384711925</x:v>
      </x:c>
      <x:c r="H275" s="11" t="n">
        <x:v>0.5010677056643624</x:v>
      </x:c>
      <x:c r="I275" s="11" t="n">
        <x:v>0.95</x:v>
      </x:c>
      <x:c r="J275" s="13" t="n">
        <x:v>20</x:v>
      </x:c>
      <x:c r="K275" s="22" t="b">
        <x:v>1</x:v>
      </x:c>
      <x:c r="L275" s="13" t="n">
        <x:v>106</x:v>
      </x:c>
      <x:c r="M275" s="13" t="n">
        <x:v>36</x:v>
      </x:c>
    </x:row>
    <x:row r="276" ht="22" customHeight="1">
      <x:c r="A276" s="17" t="str">
        <x:f>"02472000"</x:f>
        <x:v>02472000</x:v>
      </x:c>
      <x:c r="B276" s="13" t="n">
        <x:v>42</x:v>
      </x:c>
      <x:c r="C276" s="22" t="b">
        <x:v>1</x:v>
      </x:c>
      <x:c r="D276" s="11" t="n">
        <x:v>0.8706402843345207</x:v>
      </x:c>
      <x:c r="E276" s="11" t="n">
        <x:v>0.8538741778534749</x:v>
      </x:c>
      <x:c r="F276" s="11" t="n">
        <x:v>0.48444553540229984</x:v>
      </x:c>
      <x:c r="G276" s="11" t="n">
        <x:v>0.016766106481045817</x:v>
      </x:c>
      <x:c r="H276" s="11" t="n">
        <x:v>0.38619474893222083</x:v>
      </x:c>
      <x:c r="I276" s="11" t="n">
        <x:v>1</x:v>
      </x:c>
      <x:c r="J276" s="13" t="n">
        <x:v>16</x:v>
      </x:c>
      <x:c r="K276" s="22" t="b">
        <x:v>1</x:v>
      </x:c>
      <x:c r="L276" s="13" t="n">
        <x:v>123</x:v>
      </x:c>
      <x:c r="M276" s="13" t="n">
        <x:v>42</x:v>
      </x:c>
    </x:row>
    <x:row r="277" ht="22" customHeight="1">
      <x:c r="A277" s="17" t="str">
        <x:f>"02472000"</x:f>
        <x:v>02472000</x:v>
      </x:c>
      <x:c r="B277" s="13" t="n">
        <x:v>42</x:v>
      </x:c>
      <x:c r="C277" s="22" t="b">
        <x:v>0</x:v>
      </x:c>
      <x:c r="D277" s="11" t="n">
        <x:v>0.7716273575550743</x:v>
      </x:c>
      <x:c r="E277" s="11" t="n">
        <x:v>0.6816069587048735</x:v>
      </x:c>
      <x:c r="F277" s="11" t="n">
        <x:v>-3.984200255218246</x:v>
      </x:c>
      <x:c r="G277" s="11" t="n">
        <x:v>0.09002039885020074</x:v>
      </x:c>
      <x:c r="H277" s="11" t="n">
        <x:v>4.75582761277332</x:v>
      </x:c>
      <x:c r="I277" s="11" t="n">
        <x:v>0</x:v>
      </x:c>
      <x:c r="J277" s="13" t="n">
        <x:v>12</x:v>
      </x:c>
      <x:c r="K277" s="22" t="b">
        <x:v>0</x:v>
      </x:c>
      <x:c r="L277" s="13" t="n">
        <x:v>85</x:v>
      </x:c>
      <x:c r="M277" s="13" t="n">
        <x:v>27</x:v>
      </x:c>
    </x:row>
    <x:row r="278" ht="22" customHeight="1">
      <x:c r="A278" s="17" t="str">
        <x:f>"02472500"</x:f>
        <x:v>02472500</x:v>
      </x:c>
      <x:c r="B278" s="13" t="n">
        <x:v>42</x:v>
      </x:c>
      <x:c r="C278" s="22" t="b">
        <x:v>1</x:v>
      </x:c>
      <x:c r="D278" s="11" t="n">
        <x:v>0.6684490598068178</x:v>
      </x:c>
      <x:c r="E278" s="11" t="n">
        <x:v>0.6576386992276678</x:v>
      </x:c>
      <x:c r="F278" s="11" t="n">
        <x:v>-0.3081003851718209</x:v>
      </x:c>
      <x:c r="G278" s="11" t="n">
        <x:v>0.010810360579149969</x:v>
      </x:c>
      <x:c r="H278" s="11" t="n">
        <x:v>0.9765494449786387</x:v>
      </x:c>
      <x:c r="I278" s="11" t="n">
        <x:v>1</x:v>
      </x:c>
      <x:c r="J278" s="13" t="n">
        <x:v>20</x:v>
      </x:c>
      <x:c r="K278" s="22" t="b">
        <x:v>1</x:v>
      </x:c>
      <x:c r="L278" s="13" t="n">
        <x:v>149</x:v>
      </x:c>
      <x:c r="M278" s="13" t="n">
        <x:v>57</x:v>
      </x:c>
    </x:row>
    <x:row r="279" ht="22" customHeight="1">
      <x:c r="A279" s="17" t="str">
        <x:f>"02472500"</x:f>
        <x:v>02472500</x:v>
      </x:c>
      <x:c r="B279" s="13" t="n">
        <x:v>42</x:v>
      </x:c>
      <x:c r="C279" s="22" t="b">
        <x:v>0</x:v>
      </x:c>
      <x:c r="D279" s="11" t="n">
        <x:v>0.5783807052840473</x:v>
      </x:c>
      <x:c r="E279" s="11" t="n">
        <x:v>0.5730252798326341</x:v>
      </x:c>
      <x:c r="F279" s="11" t="n">
        <x:v>-0.8403131732271556</x:v>
      </x:c>
      <x:c r="G279" s="11" t="n">
        <x:v>0.005355425451413209</x:v>
      </x:c>
      <x:c r="H279" s="11" t="n">
        <x:v>1.4186938785112029</x:v>
      </x:c>
      <x:c r="I279" s="11" t="n">
        <x:v>0.7222222222222222</x:v>
      </x:c>
      <x:c r="J279" s="13" t="n">
        <x:v>18</x:v>
      </x:c>
      <x:c r="K279" s="22" t="b">
        <x:v>0</x:v>
      </x:c>
      <x:c r="L279" s="13" t="n">
        <x:v>133</x:v>
      </x:c>
      <x:c r="M279" s="13" t="n">
        <x:v>47</x:v>
      </x:c>
    </x:row>
    <x:row r="280" ht="22" customHeight="1">
      <x:c r="A280" s="17" t="str">
        <x:f>"02479155"</x:f>
        <x:v>02479155</x:v>
      </x:c>
      <x:c r="B280" s="13" t="n">
        <x:v>42</x:v>
      </x:c>
      <x:c r="C280" s="22" t="b">
        <x:v>1</x:v>
      </x:c>
      <x:c r="D280" s="11" t="n">
        <x:v>0.41000036946131235</x:v>
      </x:c>
      <x:c r="E280" s="11" t="n">
        <x:v>0.3812459628798258</x:v>
      </x:c>
      <x:c r="F280" s="11" t="n">
        <x:v>0.14267492131847392</x:v>
      </x:c>
      <x:c r="G280" s="11" t="n">
        <x:v>0.028754406581486536</x:v>
      </x:c>
      <x:c r="H280" s="11" t="n">
        <x:v>0.26732544814283843</x:v>
      </x:c>
      <x:c r="I280" s="11" t="n">
        <x:v>0</x:v>
      </x:c>
      <x:c r="J280" s="13" t="n">
        <x:v>13</x:v>
      </x:c>
      <x:c r="K280" s="22" t="b">
        <x:v>0</x:v>
      </x:c>
      <x:c r="L280" s="13" t="n">
        <x:v>91</x:v>
      </x:c>
      <x:c r="M280" s="13" t="n">
        <x:v>29</x:v>
      </x:c>
    </x:row>
    <x:row r="281" ht="22" customHeight="1">
      <x:c r="A281" s="17" t="str">
        <x:f>"02479155"</x:f>
        <x:v>02479155</x:v>
      </x:c>
      <x:c r="B281" s="13" t="n">
        <x:v>42</x:v>
      </x:c>
      <x:c r="C281" s="22" t="b">
        <x:v>0</x:v>
      </x:c>
      <x:c r="D281" s="11" t="n">
        <x:v>0.3156111139741876</x:v>
      </x:c>
      <x:c r="E281" s="11" t="n">
        <x:v>0.3070406877602464</x:v>
      </x:c>
      <x:c r="F281" s="11" t="n">
        <x:v>-0.14589312593160408</x:v>
      </x:c>
      <x:c r="G281" s="11" t="n">
        <x:v>0.008570426213941218</x:v>
      </x:c>
      <x:c r="H281" s="11" t="n">
        <x:v>0.4615042399057917</x:v>
      </x:c>
      <x:c r="I281" s="11" t="n">
        <x:v>0.75</x:v>
      </x:c>
      <x:c r="J281" s="13" t="n">
        <x:v>16</x:v>
      </x:c>
      <x:c r="K281" s="22" t="b">
        <x:v>0</x:v>
      </x:c>
      <x:c r="L281" s="13" t="n">
        <x:v>90</x:v>
      </x:c>
      <x:c r="M281" s="13" t="n">
        <x:v>28</x:v>
      </x:c>
    </x:row>
    <x:row r="282" ht="22" customHeight="1">
      <x:c r="A282" s="17" t="str">
        <x:f>"02479300"</x:f>
        <x:v>02479300</x:v>
      </x:c>
      <x:c r="B282" s="13" t="n">
        <x:v>42</x:v>
      </x:c>
      <x:c r="C282" s="22" t="b">
        <x:v>1</x:v>
      </x:c>
      <x:c r="D282" s="11" t="n">
        <x:v>0.9335384530709052</x:v>
      </x:c>
      <x:c r="E282" s="11" t="n">
        <x:v>0.9243892155959607</x:v>
      </x:c>
      <x:c r="F282" s="11" t="n">
        <x:v>-0.048169925149354365</x:v>
      </x:c>
      <x:c r="G282" s="11" t="n">
        <x:v>0.00914923747494456</x:v>
      </x:c>
      <x:c r="H282" s="11" t="n">
        <x:v>0.9817083782202596</x:v>
      </x:c>
      <x:c r="I282" s="11" t="n">
        <x:v>0.9</x:v>
      </x:c>
      <x:c r="J282" s="13" t="n">
        <x:v>20</x:v>
      </x:c>
      <x:c r="K282" s="22" t="b">
        <x:v>1</x:v>
      </x:c>
      <x:c r="L282" s="13" t="n">
        <x:v>97</x:v>
      </x:c>
      <x:c r="M282" s="13" t="n">
        <x:v>31</x:v>
      </x:c>
    </x:row>
    <x:row r="283" ht="22" customHeight="1">
      <x:c r="A283" s="17" t="str">
        <x:f>"02479300"</x:f>
        <x:v>02479300</x:v>
      </x:c>
      <x:c r="B283" s="13" t="n">
        <x:v>42</x:v>
      </x:c>
      <x:c r="C283" s="22" t="b">
        <x:v>0</x:v>
      </x:c>
      <x:c r="D283" s="11" t="n">
        <x:v>0.7806907001217203</x:v>
      </x:c>
      <x:c r="E283" s="11" t="n">
        <x:v>0.7741122716332791</x:v>
      </x:c>
      <x:c r="F283" s="11" t="n">
        <x:v>-3.744696765197374</x:v>
      </x:c>
      <x:c r="G283" s="11" t="n">
        <x:v>0.006578428488441146</x:v>
      </x:c>
      <x:c r="H283" s="11" t="n">
        <x:v>4.525387465319095</x:v>
      </x:c>
      <x:c r="I283" s="11"/>
      <x:c r="J283" s="13" t="n">
        <x:v>0</x:v>
      </x:c>
      <x:c r="K283" s="22" t="b">
        <x:v>0</x:v>
      </x:c>
      <x:c r="L283" s="13" t="n">
        <x:v>86</x:v>
      </x:c>
      <x:c r="M283" s="13" t="n">
        <x:v>27</x:v>
      </x:c>
    </x:row>
    <x:row r="284" ht="22" customHeight="1">
      <x:c r="A284" s="17" t="str">
        <x:f>"02479560"</x:f>
        <x:v>02479560</x:v>
      </x:c>
      <x:c r="B284" s="13" t="n">
        <x:v>42</x:v>
      </x:c>
      <x:c r="C284" s="22" t="b">
        <x:v>1</x:v>
      </x:c>
      <x:c r="D284" s="11" t="n">
        <x:v>0.9094125182451026</x:v>
      </x:c>
      <x:c r="E284" s="11" t="n">
        <x:v>0.8752437176988643</x:v>
      </x:c>
      <x:c r="F284" s="11" t="n">
        <x:v>0.22601189626192697</x:v>
      </x:c>
      <x:c r="G284" s="11" t="n">
        <x:v>0.034168800546238276</x:v>
      </x:c>
      <x:c r="H284" s="11" t="n">
        <x:v>0.6834006219831756</x:v>
      </x:c>
      <x:c r="I284" s="11" t="n">
        <x:v>1</x:v>
      </x:c>
      <x:c r="J284" s="13" t="n">
        <x:v>16</x:v>
      </x:c>
      <x:c r="K284" s="22" t="b">
        <x:v>1</x:v>
      </x:c>
      <x:c r="L284" s="13" t="n">
        <x:v>110</x:v>
      </x:c>
      <x:c r="M284" s="13" t="n">
        <x:v>36</x:v>
      </x:c>
    </x:row>
    <x:row r="285" ht="22" customHeight="1">
      <x:c r="A285" s="17" t="str">
        <x:f>"02479560"</x:f>
        <x:v>02479560</x:v>
      </x:c>
      <x:c r="B285" s="13" t="n">
        <x:v>42</x:v>
      </x:c>
      <x:c r="C285" s="22" t="b">
        <x:v>0</x:v>
      </x:c>
      <x:c r="D285" s="11" t="n">
        <x:v>0.7326469080665698</x:v>
      </x:c>
      <x:c r="E285" s="11" t="n">
        <x:v>0.735201387339693</x:v>
      </x:c>
      <x:c r="F285" s="11" t="n">
        <x:v>-0.8198602515100786</x:v>
      </x:c>
      <x:c r="G285" s="11" t="n">
        <x:v>-0.0025544792731231336</x:v>
      </x:c>
      <x:c r="H285" s="11" t="n">
        <x:v>1.5525071595766484</x:v>
      </x:c>
      <x:c r="I285" s="11" t="n">
        <x:v>0</x:v>
      </x:c>
      <x:c r="J285" s="13" t="n">
        <x:v>14</x:v>
      </x:c>
      <x:c r="K285" s="22" t="b">
        <x:v>0</x:v>
      </x:c>
      <x:c r="L285" s="13" t="n">
        <x:v>89</x:v>
      </x:c>
      <x:c r="M285" s="13" t="n">
        <x:v>28</x:v>
      </x:c>
    </x:row>
    <x:row r="286" ht="22" customHeight="1">
      <x:c r="A286" s="17" t="str">
        <x:f>"02481000"</x:f>
        <x:v>02481000</x:v>
      </x:c>
      <x:c r="B286" s="13" t="n">
        <x:v>42</x:v>
      </x:c>
      <x:c r="C286" s="22" t="b">
        <x:v>1</x:v>
      </x:c>
      <x:c r="D286" s="11" t="n">
        <x:v>0.6100806824310199</x:v>
      </x:c>
      <x:c r="E286" s="11" t="n">
        <x:v>0.590540476720323</x:v>
      </x:c>
      <x:c r="F286" s="11" t="n">
        <x:v>-0.30163739944032675</x:v>
      </x:c>
      <x:c r="G286" s="11" t="n">
        <x:v>0.019540205710696923</x:v>
      </x:c>
      <x:c r="H286" s="11" t="n">
        <x:v>0.9117180818713466</x:v>
      </x:c>
      <x:c r="I286" s="11"/>
      <x:c r="J286" s="13" t="n">
        <x:v>0</x:v>
      </x:c>
      <x:c r="K286" s="22" t="b">
        <x:v>0</x:v>
      </x:c>
      <x:c r="L286" s="13" t="n">
        <x:v>102</x:v>
      </x:c>
      <x:c r="M286" s="13" t="n">
        <x:v>33</x:v>
      </x:c>
    </x:row>
    <x:row r="287" ht="22" customHeight="1">
      <x:c r="A287" s="17" t="str">
        <x:f>"02481000"</x:f>
        <x:v>02481000</x:v>
      </x:c>
      <x:c r="B287" s="13" t="n">
        <x:v>42</x:v>
      </x:c>
      <x:c r="C287" s="22" t="b">
        <x:v>0</x:v>
      </x:c>
      <x:c r="D287" s="11" t="n">
        <x:v>0.5862137280264198</x:v>
      </x:c>
      <x:c r="E287" s="11" t="n">
        <x:v>0.5605139171140529</x:v>
      </x:c>
      <x:c r="F287" s="11" t="n">
        <x:v>-0.3564127721345227</x:v>
      </x:c>
      <x:c r="G287" s="11" t="n">
        <x:v>0.02569981091236695</x:v>
      </x:c>
      <x:c r="H287" s="11" t="n">
        <x:v>0.9426265001609425</x:v>
      </x:c>
      <x:c r="I287" s="11" t="n">
        <x:v>1</x:v>
      </x:c>
      <x:c r="J287" s="13" t="n">
        <x:v>16</x:v>
      </x:c>
      <x:c r="K287" s="22" t="b">
        <x:v>1</x:v>
      </x:c>
      <x:c r="L287" s="13" t="n">
        <x:v>111</x:v>
      </x:c>
      <x:c r="M287" s="13" t="n">
        <x:v>37</x:v>
      </x:c>
    </x:row>
    <x:row r="288" ht="22" customHeight="1">
      <x:c r="A288" s="17" t="str">
        <x:f>"02481510"</x:f>
        <x:v>02481510</x:v>
      </x:c>
      <x:c r="B288" s="13" t="n">
        <x:v>42</x:v>
      </x:c>
      <x:c r="C288" s="22" t="b">
        <x:v>1</x:v>
      </x:c>
      <x:c r="D288" s="11" t="n">
        <x:v>0.704659080177243</x:v>
      </x:c>
      <x:c r="E288" s="11" t="n">
        <x:v>0.6416008512209899</x:v>
      </x:c>
      <x:c r="F288" s="11" t="n">
        <x:v>0.5858676434613868</x:v>
      </x:c>
      <x:c r="G288" s="11" t="n">
        <x:v>0.06305822895625313</x:v>
      </x:c>
      <x:c r="H288" s="11" t="n">
        <x:v>0.11879143671585624</x:v>
      </x:c>
      <x:c r="I288" s="11" t="n">
        <x:v>0.1111111111111111</x:v>
      </x:c>
      <x:c r="J288" s="13" t="n">
        <x:v>18</x:v>
      </x:c>
      <x:c r="K288" s="22" t="b">
        <x:v>0</x:v>
      </x:c>
      <x:c r="L288" s="13" t="n">
        <x:v>83</x:v>
      </x:c>
      <x:c r="M288" s="13" t="n">
        <x:v>27</x:v>
      </x:c>
    </x:row>
    <x:row r="289" ht="22" customHeight="1">
      <x:c r="A289" s="17" t="str">
        <x:f>"02481510"</x:f>
        <x:v>02481510</x:v>
      </x:c>
      <x:c r="B289" s="13" t="n">
        <x:v>42</x:v>
      </x:c>
      <x:c r="C289" s="22" t="b">
        <x:v>0</x:v>
      </x:c>
      <x:c r="D289" s="11" t="n">
        <x:v>0.5095076057126084</x:v>
      </x:c>
      <x:c r="E289" s="11" t="n">
        <x:v>0.5115286886136367</x:v>
      </x:c>
      <x:c r="F289" s="11" t="n">
        <x:v>-0.44911598725821955</x:v>
      </x:c>
      <x:c r="G289" s="11" t="n">
        <x:v>-0.002021082901028204</x:v>
      </x:c>
      <x:c r="H289" s="11" t="n">
        <x:v>0.958623592970828</x:v>
      </x:c>
      <x:c r="I289" s="11" t="n">
        <x:v>1</x:v>
      </x:c>
      <x:c r="J289" s="13" t="n">
        <x:v>11</x:v>
      </x:c>
      <x:c r="K289" s="22" t="b">
        <x:v>1</x:v>
      </x:c>
      <x:c r="L289" s="13" t="n">
        <x:v>93</x:v>
      </x:c>
      <x:c r="M289" s="13" t="n">
        <x:v>30</x:v>
      </x:c>
    </x:row>
    <x:row r="290" ht="22" customHeight="1">
      <x:c r="A290" s="17" t="str">
        <x:f>"03010655"</x:f>
        <x:v>03010655</x:v>
      </x:c>
      <x:c r="B290" s="13" t="n">
        <x:v>42</x:v>
      </x:c>
      <x:c r="C290" s="22" t="b">
        <x:v>1</x:v>
      </x:c>
      <x:c r="D290" s="11" t="n">
        <x:v>0.7525768925400895</x:v>
      </x:c>
      <x:c r="E290" s="11" t="n">
        <x:v>0.726534494469615</x:v>
      </x:c>
      <x:c r="F290" s="11" t="n">
        <x:v>0.6155524291550538</x:v>
      </x:c>
      <x:c r="G290" s="11" t="n">
        <x:v>0.026042398070474482</x:v>
      </x:c>
      <x:c r="H290" s="11" t="n">
        <x:v>0.1370244633850357</x:v>
      </x:c>
      <x:c r="I290" s="11" t="n">
        <x:v>0.1111111111111111</x:v>
      </x:c>
      <x:c r="J290" s="13" t="n">
        <x:v>18</x:v>
      </x:c>
      <x:c r="K290" s="22" t="b">
        <x:v>0</x:v>
      </x:c>
      <x:c r="L290" s="13" t="n">
        <x:v>110</x:v>
      </x:c>
      <x:c r="M290" s="13" t="n">
        <x:v>36</x:v>
      </x:c>
    </x:row>
    <x:row r="291" ht="22" customHeight="1">
      <x:c r="A291" s="17" t="str">
        <x:f>"03010655"</x:f>
        <x:v>03010655</x:v>
      </x:c>
      <x:c r="B291" s="13" t="n">
        <x:v>42</x:v>
      </x:c>
      <x:c r="C291" s="22" t="b">
        <x:v>0</x:v>
      </x:c>
      <x:c r="D291" s="11" t="n">
        <x:v>0.5810718126308525</x:v>
      </x:c>
      <x:c r="E291" s="11" t="n">
        <x:v>0.5157886278121161</x:v>
      </x:c>
      <x:c r="F291" s="11" t="n">
        <x:v>0.16859556979704937</x:v>
      </x:c>
      <x:c r="G291" s="11" t="n">
        <x:v>0.0652831848187364</x:v>
      </x:c>
      <x:c r="H291" s="11" t="n">
        <x:v>0.41247624283380313</x:v>
      </x:c>
      <x:c r="I291" s="11" t="n">
        <x:v>0.5</x:v>
      </x:c>
      <x:c r="J291" s="13" t="n">
        <x:v>20</x:v>
      </x:c>
      <x:c r="K291" s="22" t="b">
        <x:v>0</x:v>
      </x:c>
      <x:c r="L291" s="13" t="n">
        <x:v>149</x:v>
      </x:c>
      <x:c r="M291" s="13" t="n">
        <x:v>57</x:v>
      </x:c>
    </x:row>
    <x:row r="292" ht="22" customHeight="1">
      <x:c r="A292" s="17" t="str">
        <x:f>"03011800"</x:f>
        <x:v>03011800</x:v>
      </x:c>
      <x:c r="B292" s="13" t="n">
        <x:v>42</x:v>
      </x:c>
      <x:c r="C292" s="22" t="b">
        <x:v>1</x:v>
      </x:c>
      <x:c r="D292" s="11" t="n">
        <x:v>0.533241434939354</x:v>
      </x:c>
      <x:c r="E292" s="11" t="n">
        <x:v>0.5309546210911866</x:v>
      </x:c>
      <x:c r="F292" s="11" t="n">
        <x:v>0.40477228915394625</x:v>
      </x:c>
      <x:c r="G292" s="11" t="n">
        <x:v>0.002286813848167424</x:v>
      </x:c>
      <x:c r="H292" s="11" t="n">
        <x:v>0.1284691457854078</x:v>
      </x:c>
      <x:c r="I292" s="11" t="n">
        <x:v>1</x:v>
      </x:c>
      <x:c r="J292" s="13" t="n">
        <x:v>19</x:v>
      </x:c>
      <x:c r="K292" s="22" t="b">
        <x:v>1</x:v>
      </x:c>
      <x:c r="L292" s="13" t="n">
        <x:v>92</x:v>
      </x:c>
      <x:c r="M292" s="13" t="n">
        <x:v>30</x:v>
      </x:c>
    </x:row>
    <x:row r="293" ht="22" customHeight="1">
      <x:c r="A293" s="17" t="str">
        <x:f>"03011800"</x:f>
        <x:v>03011800</x:v>
      </x:c>
      <x:c r="B293" s="13" t="n">
        <x:v>42</x:v>
      </x:c>
      <x:c r="C293" s="22" t="b">
        <x:v>0</x:v>
      </x:c>
      <x:c r="D293" s="11" t="n">
        <x:v>0.39941093230467806</x:v>
      </x:c>
      <x:c r="E293" s="11" t="n">
        <x:v>0.3880713343465998</x:v>
      </x:c>
      <x:c r="F293" s="11" t="n">
        <x:v>-0.14366082694377869</x:v>
      </x:c>
      <x:c r="G293" s="11" t="n">
        <x:v>0.011339597958078262</x:v>
      </x:c>
      <x:c r="H293" s="11" t="n">
        <x:v>0.5430717592484567</x:v>
      </x:c>
      <x:c r="I293" s="11" t="n">
        <x:v>0.10526315789473684</x:v>
      </x:c>
      <x:c r="J293" s="13" t="n">
        <x:v>19</x:v>
      </x:c>
      <x:c r="K293" s="22" t="b">
        <x:v>0</x:v>
      </x:c>
      <x:c r="L293" s="13" t="n">
        <x:v>106</x:v>
      </x:c>
      <x:c r="M293" s="13" t="n">
        <x:v>34</x:v>
      </x:c>
    </x:row>
    <x:row r="294" ht="22" customHeight="1">
      <x:c r="A294" s="17" t="str">
        <x:f>"03015500"</x:f>
        <x:v>03015500</x:v>
      </x:c>
      <x:c r="B294" s="13" t="n">
        <x:v>42</x:v>
      </x:c>
      <x:c r="C294" s="22" t="b">
        <x:v>1</x:v>
      </x:c>
      <x:c r="D294" s="11" t="n">
        <x:v>0.7177292025713864</x:v>
      </x:c>
      <x:c r="E294" s="11" t="n">
        <x:v>0.6712183245639094</x:v>
      </x:c>
      <x:c r="F294" s="11" t="n">
        <x:v>0.42298906603908193</x:v>
      </x:c>
      <x:c r="G294" s="11" t="n">
        <x:v>0.046510878007477</x:v>
      </x:c>
      <x:c r="H294" s="11" t="n">
        <x:v>0.29474013653230446</x:v>
      </x:c>
      <x:c r="I294" s="11" t="n">
        <x:v>0.6428571428571429</x:v>
      </x:c>
      <x:c r="J294" s="13" t="n">
        <x:v>14</x:v>
      </x:c>
      <x:c r="K294" s="22" t="b">
        <x:v>0</x:v>
      </x:c>
      <x:c r="L294" s="13" t="n">
        <x:v>101</x:v>
      </x:c>
      <x:c r="M294" s="13" t="n">
        <x:v>33</x:v>
      </x:c>
    </x:row>
    <x:row r="295" ht="22" customHeight="1">
      <x:c r="A295" s="17" t="str">
        <x:f>"03015500"</x:f>
        <x:v>03015500</x:v>
      </x:c>
      <x:c r="B295" s="13" t="n">
        <x:v>42</x:v>
      </x:c>
      <x:c r="C295" s="22" t="b">
        <x:v>0</x:v>
      </x:c>
      <x:c r="D295" s="11" t="n">
        <x:v>0.6019883131947279</x:v>
      </x:c>
      <x:c r="E295" s="11" t="n">
        <x:v>0.5522693208568281</x:v>
      </x:c>
      <x:c r="F295" s="11" t="n">
        <x:v>-1.7734665907712408</x:v>
      </x:c>
      <x:c r="G295" s="11" t="n">
        <x:v>0.04971899233789978</x:v>
      </x:c>
      <x:c r="H295" s="11" t="n">
        <x:v>2.3754549039659687</x:v>
      </x:c>
      <x:c r="I295" s="11" t="n">
        <x:v>1</x:v>
      </x:c>
      <x:c r="J295" s="13" t="n">
        <x:v>20</x:v>
      </x:c>
      <x:c r="K295" s="22" t="b">
        <x:v>1</x:v>
      </x:c>
      <x:c r="L295" s="13" t="n">
        <x:v>141</x:v>
      </x:c>
      <x:c r="M295" s="13" t="n">
        <x:v>54</x:v>
      </x:c>
    </x:row>
    <x:row r="296" ht="22" customHeight="1">
      <x:c r="A296" s="17" t="str">
        <x:f>"03021350"</x:f>
        <x:v>03021350</x:v>
      </x:c>
      <x:c r="B296" s="13" t="n">
        <x:v>42</x:v>
      </x:c>
      <x:c r="C296" s="22" t="b">
        <x:v>1</x:v>
      </x:c>
      <x:c r="D296" s="11" t="n">
        <x:v>0.5199602135151675</x:v>
      </x:c>
      <x:c r="E296" s="11" t="n">
        <x:v>0.4745729012407789</x:v>
      </x:c>
      <x:c r="F296" s="11" t="n">
        <x:v>0.13067898753605134</x:v>
      </x:c>
      <x:c r="G296" s="11" t="n">
        <x:v>0.045387312274388636</x:v>
      </x:c>
      <x:c r="H296" s="11" t="n">
        <x:v>0.3892812259791162</x:v>
      </x:c>
      <x:c r="I296" s="11" t="n">
        <x:v>0.8888888888888888</x:v>
      </x:c>
      <x:c r="J296" s="13" t="n">
        <x:v>18</x:v>
      </x:c>
      <x:c r="K296" s="22" t="b">
        <x:v>1</x:v>
      </x:c>
      <x:c r="L296" s="13" t="n">
        <x:v>118</x:v>
      </x:c>
      <x:c r="M296" s="13" t="n">
        <x:v>40</x:v>
      </x:c>
    </x:row>
    <x:row r="297" ht="22" customHeight="1">
      <x:c r="A297" s="17" t="str">
        <x:f>"03021350"</x:f>
        <x:v>03021350</x:v>
      </x:c>
      <x:c r="B297" s="13" t="n">
        <x:v>42</x:v>
      </x:c>
      <x:c r="C297" s="22" t="b">
        <x:v>0</x:v>
      </x:c>
      <x:c r="D297" s="11" t="n">
        <x:v>0.41580145363101984</x:v>
      </x:c>
      <x:c r="E297" s="11" t="n">
        <x:v>0.3931972187485805</x:v>
      </x:c>
      <x:c r="F297" s="11" t="n">
        <x:v>-0.39459262735456924</x:v>
      </x:c>
      <x:c r="G297" s="11" t="n">
        <x:v>0.022604234882439345</x:v>
      </x:c>
      <x:c r="H297" s="11" t="n">
        <x:v>0.8103940809855891</x:v>
      </x:c>
      <x:c r="I297" s="11" t="n">
        <x:v>1</x:v>
      </x:c>
      <x:c r="J297" s="13" t="n">
        <x:v>13</x:v>
      </x:c>
      <x:c r="K297" s="22" t="b">
        <x:v>1</x:v>
      </x:c>
      <x:c r="L297" s="13" t="n">
        <x:v>130</x:v>
      </x:c>
      <x:c r="M297" s="13" t="n">
        <x:v>45</x:v>
      </x:c>
    </x:row>
    <x:row r="298" ht="22" customHeight="1">
      <x:c r="A298" s="17" t="str">
        <x:f>"03026500"</x:f>
        <x:v>03026500</x:v>
      </x:c>
      <x:c r="B298" s="13" t="n">
        <x:v>42</x:v>
      </x:c>
      <x:c r="C298" s="22" t="b">
        <x:v>1</x:v>
      </x:c>
      <x:c r="D298" s="11" t="n">
        <x:v>0.4542470416274781</x:v>
      </x:c>
      <x:c r="E298" s="11" t="n">
        <x:v>0.46389998543813193</x:v>
      </x:c>
      <x:c r="F298" s="11" t="n">
        <x:v>0.3649217872238749</x:v>
      </x:c>
      <x:c r="G298" s="11" t="n">
        <x:v>-0.009652943810653847</x:v>
      </x:c>
      <x:c r="H298" s="11" t="n">
        <x:v>0.08932525440360317</x:v>
      </x:c>
      <x:c r="I298" s="11" t="n">
        <x:v>1</x:v>
      </x:c>
      <x:c r="J298" s="13" t="n">
        <x:v>17</x:v>
      </x:c>
      <x:c r="K298" s="22" t="b">
        <x:v>1</x:v>
      </x:c>
      <x:c r="L298" s="13" t="n">
        <x:v>79</x:v>
      </x:c>
      <x:c r="M298" s="13" t="n">
        <x:v>26</x:v>
      </x:c>
    </x:row>
    <x:row r="299" ht="22" customHeight="1">
      <x:c r="A299" s="17" t="str">
        <x:f>"03026500"</x:f>
        <x:v>03026500</x:v>
      </x:c>
      <x:c r="B299" s="13" t="n">
        <x:v>42</x:v>
      </x:c>
      <x:c r="C299" s="22" t="b">
        <x:v>0</x:v>
      </x:c>
      <x:c r="D299" s="11" t="n">
        <x:v>0.3437936433102481</x:v>
      </x:c>
      <x:c r="E299" s="11" t="n">
        <x:v>0.34275182125357295</x:v>
      </x:c>
      <x:c r="F299" s="11" t="n">
        <x:v>-0.7918139294213475</x:v>
      </x:c>
      <x:c r="G299" s="11" t="n">
        <x:v>0.0010418220566751346</x:v>
      </x:c>
      <x:c r="H299" s="11" t="n">
        <x:v>1.1356075727315957</x:v>
      </x:c>
      <x:c r="I299" s="11" t="n">
        <x:v>0.85</x:v>
      </x:c>
      <x:c r="J299" s="13" t="n">
        <x:v>20</x:v>
      </x:c>
      <x:c r="K299" s="22" t="b">
        <x:v>1</x:v>
      </x:c>
      <x:c r="L299" s="13" t="n">
        <x:v>152</x:v>
      </x:c>
      <x:c r="M299" s="13" t="n">
        <x:v>59</x:v>
      </x:c>
    </x:row>
    <x:row r="300" ht="22" customHeight="1">
      <x:c r="A300" s="17" t="str">
        <x:f>"03028000"</x:f>
        <x:v>03028000</x:v>
      </x:c>
      <x:c r="B300" s="13" t="n">
        <x:v>42</x:v>
      </x:c>
      <x:c r="C300" s="22" t="b">
        <x:v>1</x:v>
      </x:c>
      <x:c r="D300" s="11" t="n">
        <x:v>0.576813991877932</x:v>
      </x:c>
      <x:c r="E300" s="11" t="n">
        <x:v>0.5671262270550661</x:v>
      </x:c>
      <x:c r="F300" s="11" t="n">
        <x:v>0.45618162570516596</x:v>
      </x:c>
      <x:c r="G300" s="11" t="n">
        <x:v>0.00968776482286593</x:v>
      </x:c>
      <x:c r="H300" s="11" t="n">
        <x:v>0.12063236617276607</x:v>
      </x:c>
      <x:c r="I300" s="11" t="n">
        <x:v>0.9444444444444444</x:v>
      </x:c>
      <x:c r="J300" s="13" t="n">
        <x:v>18</x:v>
      </x:c>
      <x:c r="K300" s="22" t="b">
        <x:v>1</x:v>
      </x:c>
      <x:c r="L300" s="13" t="n">
        <x:v>124</x:v>
      </x:c>
      <x:c r="M300" s="13" t="n">
        <x:v>43</x:v>
      </x:c>
    </x:row>
    <x:row r="301" ht="22" customHeight="1">
      <x:c r="A301" s="17" t="str">
        <x:f>"03028000"</x:f>
        <x:v>03028000</x:v>
      </x:c>
      <x:c r="B301" s="13" t="n">
        <x:v>42</x:v>
      </x:c>
      <x:c r="C301" s="22" t="b">
        <x:v>0</x:v>
      </x:c>
      <x:c r="D301" s="11" t="n">
        <x:v>0.40514550072925504</x:v>
      </x:c>
      <x:c r="E301" s="11" t="n">
        <x:v>0.37080295226735804</x:v>
      </x:c>
      <x:c r="F301" s="11" t="n">
        <x:v>-0.19419160201527874</x:v>
      </x:c>
      <x:c r="G301" s="11" t="n">
        <x:v>0.03434254846189699</x:v>
      </x:c>
      <x:c r="H301" s="11" t="n">
        <x:v>0.5993371027445338</x:v>
      </x:c>
      <x:c r="I301" s="11" t="n">
        <x:v>1</x:v>
      </x:c>
      <x:c r="J301" s="13" t="n">
        <x:v>20</x:v>
      </x:c>
      <x:c r="K301" s="22" t="b">
        <x:v>1</x:v>
      </x:c>
      <x:c r="L301" s="13" t="n">
        <x:v>193</x:v>
      </x:c>
      <x:c r="M301" s="13" t="n">
        <x:v>97</x:v>
      </x:c>
    </x:row>
    <x:row r="302" ht="22" customHeight="1">
      <x:c r="A302" s="17" t="str">
        <x:f>"03049000"</x:f>
        <x:v>03049000</x:v>
      </x:c>
      <x:c r="B302" s="13" t="n">
        <x:v>42</x:v>
      </x:c>
      <x:c r="C302" s="22" t="b">
        <x:v>1</x:v>
      </x:c>
      <x:c r="D302" s="11" t="n">
        <x:v>0.5374471533789491</x:v>
      </x:c>
      <x:c r="E302" s="11" t="n">
        <x:v>0.5213125110105876</x:v>
      </x:c>
      <x:c r="F302" s="11" t="n">
        <x:v>0.5046382708656922</x:v>
      </x:c>
      <x:c r="G302" s="11" t="n">
        <x:v>0.016134642368361485</x:v>
      </x:c>
      <x:c r="H302" s="11" t="n">
        <x:v>0.032808882513256865</x:v>
      </x:c>
      <x:c r="I302" s="11" t="n">
        <x:v>0.15384615384615385</x:v>
      </x:c>
      <x:c r="J302" s="13" t="n">
        <x:v>13</x:v>
      </x:c>
      <x:c r="K302" s="22" t="b">
        <x:v>0</x:v>
      </x:c>
      <x:c r="L302" s="13" t="n">
        <x:v>84</x:v>
      </x:c>
      <x:c r="M302" s="13" t="n">
        <x:v>27</x:v>
      </x:c>
    </x:row>
    <x:row r="303" ht="22" customHeight="1">
      <x:c r="A303" s="17" t="str">
        <x:f>"03049000"</x:f>
        <x:v>03049000</x:v>
      </x:c>
      <x:c r="B303" s="13" t="n">
        <x:v>42</x:v>
      </x:c>
      <x:c r="C303" s="22" t="b">
        <x:v>0</x:v>
      </x:c>
      <x:c r="D303" s="11" t="n">
        <x:v>0.3152099258483716</x:v>
      </x:c>
      <x:c r="E303" s="11" t="n">
        <x:v>0.331185091948491</x:v>
      </x:c>
      <x:c r="F303" s="11" t="n">
        <x:v>0.21093151211183148</x:v>
      </x:c>
      <x:c r="G303" s="11" t="n">
        <x:v>-0.015975166100119398</x:v>
      </x:c>
      <x:c r="H303" s="11" t="n">
        <x:v>0.10427841373654012</x:v>
      </x:c>
      <x:c r="I303" s="11" t="n">
        <x:v>0</x:v>
      </x:c>
      <x:c r="J303" s="13" t="n">
        <x:v>15</x:v>
      </x:c>
      <x:c r="K303" s="22" t="b">
        <x:v>0</x:v>
      </x:c>
      <x:c r="L303" s="13" t="n">
        <x:v>108</x:v>
      </x:c>
      <x:c r="M303" s="13" t="n">
        <x:v>36</x:v>
      </x:c>
    </x:row>
    <x:row r="304" ht="22" customHeight="1">
      <x:c r="A304" s="17" t="str">
        <x:f>"03049800"</x:f>
        <x:v>03049800</x:v>
      </x:c>
      <x:c r="B304" s="13" t="n">
        <x:v>42</x:v>
      </x:c>
      <x:c r="C304" s="22" t="b">
        <x:v>1</x:v>
      </x:c>
      <x:c r="D304" s="11" t="n">
        <x:v>0.4327442217935207</x:v>
      </x:c>
      <x:c r="E304" s="11" t="n">
        <x:v>0.35664342031921636</x:v>
      </x:c>
      <x:c r="F304" s="11" t="n">
        <x:v>0.4199310902116412</x:v>
      </x:c>
      <x:c r="G304" s="11" t="n">
        <x:v>0.07610080147430431</x:v>
      </x:c>
      <x:c r="H304" s="11" t="n">
        <x:v>0.012813131581879467</x:v>
      </x:c>
      <x:c r="I304" s="11" t="n">
        <x:v>0.9</x:v>
      </x:c>
      <x:c r="J304" s="13" t="n">
        <x:v>20</x:v>
      </x:c>
      <x:c r="K304" s="22" t="b">
        <x:v>0</x:v>
      </x:c>
      <x:c r="L304" s="13" t="n">
        <x:v>74</x:v>
      </x:c>
      <x:c r="M304" s="13" t="n">
        <x:v>24</x:v>
      </x:c>
    </x:row>
    <x:row r="305" ht="22" customHeight="1">
      <x:c r="A305" s="17" t="str">
        <x:f>"03049800"</x:f>
        <x:v>03049800</x:v>
      </x:c>
      <x:c r="B305" s="13" t="n">
        <x:v>42</x:v>
      </x:c>
      <x:c r="C305" s="22" t="b">
        <x:v>0</x:v>
      </x:c>
      <x:c r="D305" s="11" t="n">
        <x:v>0.21918273576637737</x:v>
      </x:c>
      <x:c r="E305" s="11" t="n">
        <x:v>0.09729558064086263</x:v>
      </x:c>
      <x:c r="F305" s="11" t="n">
        <x:v>0.19333288121362324</x:v>
      </x:c>
      <x:c r="G305" s="11" t="n">
        <x:v>0.12188715512551473</x:v>
      </x:c>
      <x:c r="H305" s="11" t="n">
        <x:v>0.025849854552754126</x:v>
      </x:c>
      <x:c r="I305" s="11" t="n">
        <x:v>0.85</x:v>
      </x:c>
      <x:c r="J305" s="13" t="n">
        <x:v>20</x:v>
      </x:c>
      <x:c r="K305" s="22" t="b">
        <x:v>0</x:v>
      </x:c>
      <x:c r="L305" s="13" t="n">
        <x:v>103</x:v>
      </x:c>
      <x:c r="M305" s="13" t="n">
        <x:v>34</x:v>
      </x:c>
    </x:row>
    <x:row r="306" ht="22" customHeight="1">
      <x:c r="A306" s="17" t="str">
        <x:f>"03076600"</x:f>
        <x:v>03076600</x:v>
      </x:c>
      <x:c r="B306" s="13" t="n">
        <x:v>42</x:v>
      </x:c>
      <x:c r="C306" s="22" t="b">
        <x:v>1</x:v>
      </x:c>
      <x:c r="D306" s="11" t="n">
        <x:v>0.7035447235058201</x:v>
      </x:c>
      <x:c r="E306" s="11" t="n">
        <x:v>0.6893078962733108</x:v>
      </x:c>
      <x:c r="F306" s="11" t="n">
        <x:v>0.3638772538493138</x:v>
      </x:c>
      <x:c r="G306" s="11" t="n">
        <x:v>0.014236827232509297</x:v>
      </x:c>
      <x:c r="H306" s="11" t="n">
        <x:v>0.3396674696565063</x:v>
      </x:c>
      <x:c r="I306" s="11" t="n">
        <x:v>1</x:v>
      </x:c>
      <x:c r="J306" s="13" t="n">
        <x:v>9</x:v>
      </x:c>
      <x:c r="K306" s="22" t="b">
        <x:v>1</x:v>
      </x:c>
      <x:c r="L306" s="13" t="n">
        <x:v>87</x:v>
      </x:c>
      <x:c r="M306" s="13" t="n">
        <x:v>28</x:v>
      </x:c>
    </x:row>
    <x:row r="307" ht="22" customHeight="1">
      <x:c r="A307" s="17" t="str">
        <x:f>"03076600"</x:f>
        <x:v>03076600</x:v>
      </x:c>
      <x:c r="B307" s="13" t="n">
        <x:v>42</x:v>
      </x:c>
      <x:c r="C307" s="22" t="b">
        <x:v>0</x:v>
      </x:c>
      <x:c r="D307" s="11" t="n">
        <x:v>0.4059170598161477</x:v>
      </x:c>
      <x:c r="E307" s="11" t="n">
        <x:v>0.39141523309827586</x:v>
      </x:c>
      <x:c r="F307" s="11" t="n">
        <x:v>-0.7055361332991117</x:v>
      </x:c>
      <x:c r="G307" s="11" t="n">
        <x:v>0.014501826717871813</x:v>
      </x:c>
      <x:c r="H307" s="11" t="n">
        <x:v>1.1114531931152594</x:v>
      </x:c>
      <x:c r="I307" s="11" t="n">
        <x:v>1</x:v>
      </x:c>
      <x:c r="J307" s="13" t="n">
        <x:v>20</x:v>
      </x:c>
      <x:c r="K307" s="22" t="b">
        <x:v>1</x:v>
      </x:c>
      <x:c r="L307" s="13" t="n">
        <x:v>160</x:v>
      </x:c>
      <x:c r="M307" s="13" t="n">
        <x:v>65</x:v>
      </x:c>
    </x:row>
    <x:row r="308" ht="22" customHeight="1">
      <x:c r="A308" s="17" t="str">
        <x:f>"03078000"</x:f>
        <x:v>03078000</x:v>
      </x:c>
      <x:c r="B308" s="13" t="n">
        <x:v>42</x:v>
      </x:c>
      <x:c r="C308" s="22" t="b">
        <x:v>1</x:v>
      </x:c>
      <x:c r="D308" s="11" t="n">
        <x:v>0.6252861975201098</x:v>
      </x:c>
      <x:c r="E308" s="11" t="n">
        <x:v>0.574336461832654</x:v>
      </x:c>
      <x:c r="F308" s="11" t="n">
        <x:v>0.5736153980606667</x:v>
      </x:c>
      <x:c r="G308" s="11" t="n">
        <x:v>0.050949735687455866</x:v>
      </x:c>
      <x:c r="H308" s="11" t="n">
        <x:v>0.051670799459443084</x:v>
      </x:c>
      <x:c r="I308" s="11"/>
      <x:c r="J308" s="13" t="n">
        <x:v>0</x:v>
      </x:c>
      <x:c r="K308" s="22" t="b">
        <x:v>0</x:v>
      </x:c>
      <x:c r="L308" s="13" t="n">
        <x:v>76</x:v>
      </x:c>
      <x:c r="M308" s="13" t="n">
        <x:v>25</x:v>
      </x:c>
    </x:row>
    <x:row r="309" ht="22" customHeight="1">
      <x:c r="A309" s="17" t="str">
        <x:f>"03078000"</x:f>
        <x:v>03078000</x:v>
      </x:c>
      <x:c r="B309" s="13" t="n">
        <x:v>42</x:v>
      </x:c>
      <x:c r="C309" s="22" t="b">
        <x:v>0</x:v>
      </x:c>
      <x:c r="D309" s="11" t="n">
        <x:v>0.4010222169049924</x:v>
      </x:c>
      <x:c r="E309" s="11" t="n">
        <x:v>0.37565402629842126</x:v>
      </x:c>
      <x:c r="F309" s="11" t="n">
        <x:v>0.12836862671320348</x:v>
      </x:c>
      <x:c r="G309" s="11" t="n">
        <x:v>0.02536819060657114</x:v>
      </x:c>
      <x:c r="H309" s="11" t="n">
        <x:v>0.2726535901917889</x:v>
      </x:c>
      <x:c r="I309" s="11" t="n">
        <x:v>0.45</x:v>
      </x:c>
      <x:c r="J309" s="13" t="n">
        <x:v>20</x:v>
      </x:c>
      <x:c r="K309" s="22" t="b">
        <x:v>0</x:v>
      </x:c>
      <x:c r="L309" s="13" t="n">
        <x:v>158</x:v>
      </x:c>
      <x:c r="M309" s="13" t="n">
        <x:v>64</x:v>
      </x:c>
    </x:row>
    <x:row r="310" ht="22" customHeight="1">
      <x:c r="A310" s="17" t="str">
        <x:f>"03140000"</x:f>
        <x:v>03140000</x:v>
      </x:c>
      <x:c r="B310" s="13" t="n">
        <x:v>42</x:v>
      </x:c>
      <x:c r="C310" s="22" t="b">
        <x:v>1</x:v>
      </x:c>
      <x:c r="D310" s="11" t="n">
        <x:v>0.34217127793818713</x:v>
      </x:c>
      <x:c r="E310" s="11" t="n">
        <x:v>0.33913928140042593</x:v>
      </x:c>
      <x:c r="F310" s="11" t="n">
        <x:v>0.3053964688224643</x:v>
      </x:c>
      <x:c r="G310" s="11" t="n">
        <x:v>0.0030319965377612057</x:v>
      </x:c>
      <x:c r="H310" s="11" t="n">
        <x:v>0.03677480911572284</x:v>
      </x:c>
      <x:c r="I310" s="11" t="n">
        <x:v>0.25</x:v>
      </x:c>
      <x:c r="J310" s="13" t="n">
        <x:v>20</x:v>
      </x:c>
      <x:c r="K310" s="22" t="b">
        <x:v>0</x:v>
      </x:c>
      <x:c r="L310" s="13" t="n">
        <x:v>121</x:v>
      </x:c>
      <x:c r="M310" s="13" t="n">
        <x:v>41</x:v>
      </x:c>
    </x:row>
    <x:row r="311" ht="22" customHeight="1">
      <x:c r="A311" s="17" t="str">
        <x:f>"03140000"</x:f>
        <x:v>03140000</x:v>
      </x:c>
      <x:c r="B311" s="13" t="n">
        <x:v>42</x:v>
      </x:c>
      <x:c r="C311" s="22" t="b">
        <x:v>0</x:v>
      </x:c>
      <x:c r="D311" s="11" t="n">
        <x:v>0.2728181980353437</x:v>
      </x:c>
      <x:c r="E311" s="11" t="n">
        <x:v>0.26430398518009923</x:v>
      </x:c>
      <x:c r="F311" s="11" t="n">
        <x:v>0.24544362406187525</x:v>
      </x:c>
      <x:c r="G311" s="11" t="n">
        <x:v>0.008514212855244452</x:v>
      </x:c>
      <x:c r="H311" s="11" t="n">
        <x:v>0.02737457397346843</x:v>
      </x:c>
      <x:c r="I311" s="11" t="n">
        <x:v>0.7</x:v>
      </x:c>
      <x:c r="J311" s="13" t="n">
        <x:v>20</x:v>
      </x:c>
      <x:c r="K311" s="22" t="b">
        <x:v>0</x:v>
      </x:c>
      <x:c r="L311" s="13" t="n">
        <x:v>120</x:v>
      </x:c>
      <x:c r="M311" s="13" t="n">
        <x:v>43</x:v>
      </x:c>
    </x:row>
    <x:row r="312" ht="22" customHeight="1">
      <x:c r="A312" s="17" t="str">
        <x:f>"03144000"</x:f>
        <x:v>03144000</x:v>
      </x:c>
      <x:c r="B312" s="13" t="n">
        <x:v>42</x:v>
      </x:c>
      <x:c r="C312" s="22" t="b">
        <x:v>1</x:v>
      </x:c>
      <x:c r="D312" s="11" t="n">
        <x:v>0.5858853719477697</x:v>
      </x:c>
      <x:c r="E312" s="11" t="n">
        <x:v>0.584352764649877</x:v>
      </x:c>
      <x:c r="F312" s="11" t="n">
        <x:v>0.12080869664222116</x:v>
      </x:c>
      <x:c r="G312" s="11" t="n">
        <x:v>0.0015326072978927296</x:v>
      </x:c>
      <x:c r="H312" s="11" t="n">
        <x:v>0.4650766753055485</x:v>
      </x:c>
      <x:c r="I312" s="11" t="n">
        <x:v>0.7222222222222222</x:v>
      </x:c>
      <x:c r="J312" s="13" t="n">
        <x:v>18</x:v>
      </x:c>
      <x:c r="K312" s="22" t="b">
        <x:v>0</x:v>
      </x:c>
      <x:c r="L312" s="13" t="n">
        <x:v>90</x:v>
      </x:c>
      <x:c r="M312" s="13" t="n">
        <x:v>28</x:v>
      </x:c>
    </x:row>
    <x:row r="313" ht="22" customHeight="1">
      <x:c r="A313" s="17" t="str">
        <x:f>"03144000"</x:f>
        <x:v>03144000</x:v>
      </x:c>
      <x:c r="B313" s="13" t="n">
        <x:v>42</x:v>
      </x:c>
      <x:c r="C313" s="22" t="b">
        <x:v>0</x:v>
      </x:c>
      <x:c r="D313" s="11" t="n">
        <x:v>0.46126943040320456</x:v>
      </x:c>
      <x:c r="E313" s="11" t="n">
        <x:v>0.4746432523255596</x:v>
      </x:c>
      <x:c r="F313" s="11" t="n">
        <x:v>0.3278393484599964</x:v>
      </x:c>
      <x:c r="G313" s="11" t="n">
        <x:v>-0.013373821922355034</x:v>
      </x:c>
      <x:c r="H313" s="11" t="n">
        <x:v>0.13343008194320816</x:v>
      </x:c>
      <x:c r="I313" s="11" t="n">
        <x:v>0.7</x:v>
      </x:c>
      <x:c r="J313" s="13" t="n">
        <x:v>20</x:v>
      </x:c>
      <x:c r="K313" s="22" t="b">
        <x:v>0</x:v>
      </x:c>
      <x:c r="L313" s="13" t="n">
        <x:v>154</x:v>
      </x:c>
      <x:c r="M313" s="13" t="n">
        <x:v>61</x:v>
      </x:c>
    </x:row>
    <x:row r="314" ht="22" customHeight="1">
      <x:c r="A314" s="17" t="str">
        <x:f>"03159540"</x:f>
        <x:v>03159540</x:v>
      </x:c>
      <x:c r="B314" s="13" t="n">
        <x:v>42</x:v>
      </x:c>
      <x:c r="C314" s="22" t="b">
        <x:v>1</x:v>
      </x:c>
      <x:c r="D314" s="11" t="n">
        <x:v>0.423240618657996</x:v>
      </x:c>
      <x:c r="E314" s="11" t="n">
        <x:v>0.34541814953105665</x:v>
      </x:c>
      <x:c r="F314" s="11" t="n">
        <x:v>0.19816904891024967</x:v>
      </x:c>
      <x:c r="G314" s="11" t="n">
        <x:v>0.07782246912693935</x:v>
      </x:c>
      <x:c r="H314" s="11" t="n">
        <x:v>0.22507156974774634</x:v>
      </x:c>
      <x:c r="I314" s="11" t="n">
        <x:v>0.9</x:v>
      </x:c>
      <x:c r="J314" s="13" t="n">
        <x:v>20</x:v>
      </x:c>
      <x:c r="K314" s="22" t="b">
        <x:v>0</x:v>
      </x:c>
      <x:c r="L314" s="13" t="n">
        <x:v>113</x:v>
      </x:c>
      <x:c r="M314" s="13" t="n">
        <x:v>37</x:v>
      </x:c>
    </x:row>
    <x:row r="315" ht="22" customHeight="1">
      <x:c r="A315" s="17" t="str">
        <x:f>"03159540"</x:f>
        <x:v>03159540</x:v>
      </x:c>
      <x:c r="B315" s="13" t="n">
        <x:v>42</x:v>
      </x:c>
      <x:c r="C315" s="22" t="b">
        <x:v>0</x:v>
      </x:c>
      <x:c r="D315" s="11" t="n">
        <x:v>0.33257441750109584</x:v>
      </x:c>
      <x:c r="E315" s="11" t="n">
        <x:v>0.26959451896635855</x:v>
      </x:c>
      <x:c r="F315" s="11" t="n">
        <x:v>0.19349680133028202</x:v>
      </x:c>
      <x:c r="G315" s="11" t="n">
        <x:v>0.06297989853473729</x:v>
      </x:c>
      <x:c r="H315" s="11" t="n">
        <x:v>0.13907761617081382</x:v>
      </x:c>
      <x:c r="I315" s="11" t="n">
        <x:v>0.55</x:v>
      </x:c>
      <x:c r="J315" s="13" t="n">
        <x:v>20</x:v>
      </x:c>
      <x:c r="K315" s="22" t="b">
        <x:v>0</x:v>
      </x:c>
      <x:c r="L315" s="13" t="n">
        <x:v>123</x:v>
      </x:c>
      <x:c r="M315" s="13" t="n">
        <x:v>42</x:v>
      </x:c>
    </x:row>
    <x:row r="316" ht="22" customHeight="1">
      <x:c r="A316" s="17" t="str">
        <x:f>"03161000"</x:f>
        <x:v>03161000</x:v>
      </x:c>
      <x:c r="B316" s="13" t="n">
        <x:v>42</x:v>
      </x:c>
      <x:c r="C316" s="22" t="b">
        <x:v>1</x:v>
      </x:c>
      <x:c r="D316" s="11" t="n">
        <x:v>0.5168826788018983</x:v>
      </x:c>
      <x:c r="E316" s="11" t="n">
        <x:v>0.49278899980068147</x:v>
      </x:c>
      <x:c r="F316" s="11" t="n">
        <x:v>0.45954479030815687</x:v>
      </x:c>
      <x:c r="G316" s="11" t="n">
        <x:v>0.02409367900121684</x:v>
      </x:c>
      <x:c r="H316" s="11" t="n">
        <x:v>0.05733788849374144</x:v>
      </x:c>
      <x:c r="I316" s="11" t="n">
        <x:v>0.8947368421052632</x:v>
      </x:c>
      <x:c r="J316" s="13" t="n">
        <x:v>19</x:v>
      </x:c>
      <x:c r="K316" s="22" t="b">
        <x:v>1</x:v>
      </x:c>
      <x:c r="L316" s="13" t="n">
        <x:v>94</x:v>
      </x:c>
      <x:c r="M316" s="13" t="n">
        <x:v>37</x:v>
      </x:c>
    </x:row>
    <x:row r="317" ht="22" customHeight="1">
      <x:c r="A317" s="17" t="str">
        <x:f>"03161000"</x:f>
        <x:v>03161000</x:v>
      </x:c>
      <x:c r="B317" s="13" t="n">
        <x:v>42</x:v>
      </x:c>
      <x:c r="C317" s="22" t="b">
        <x:v>0</x:v>
      </x:c>
      <x:c r="D317" s="11" t="n">
        <x:v>0.2931624238366891</x:v>
      </x:c>
      <x:c r="E317" s="11" t="n">
        <x:v>0.2752527818790953</x:v>
      </x:c>
      <x:c r="F317" s="11" t="n">
        <x:v>0.20225803074689575</x:v>
      </x:c>
      <x:c r="G317" s="11" t="n">
        <x:v>0.017909641957593814</x:v>
      </x:c>
      <x:c r="H317" s="11" t="n">
        <x:v>0.09090439308979337</x:v>
      </x:c>
      <x:c r="I317" s="11" t="n">
        <x:v>0.5</x:v>
      </x:c>
      <x:c r="J317" s="13" t="n">
        <x:v>20</x:v>
      </x:c>
      <x:c r="K317" s="22" t="b">
        <x:v>0</x:v>
      </x:c>
      <x:c r="L317" s="13" t="n">
        <x:v>108</x:v>
      </x:c>
      <x:c r="M317" s="13" t="n">
        <x:v>36</x:v>
      </x:c>
    </x:row>
    <x:row r="318" ht="22" customHeight="1">
      <x:c r="A318" s="17" t="str">
        <x:f>"03164000"</x:f>
        <x:v>03164000</x:v>
      </x:c>
      <x:c r="B318" s="13" t="n">
        <x:v>42</x:v>
      </x:c>
      <x:c r="C318" s="22" t="b">
        <x:v>1</x:v>
      </x:c>
      <x:c r="D318" s="11" t="n">
        <x:v>0.6699387532250147</x:v>
      </x:c>
      <x:c r="E318" s="11" t="n">
        <x:v>0.6696613497979413</x:v>
      </x:c>
      <x:c r="F318" s="11" t="n">
        <x:v>0.4887396131248962</x:v>
      </x:c>
      <x:c r="G318" s="11" t="n">
        <x:v>0.00027740342707338606</x:v>
      </x:c>
      <x:c r="H318" s="11" t="n">
        <x:v>0.1811991401001185</x:v>
      </x:c>
      <x:c r="I318" s="11"/>
      <x:c r="J318" s="13" t="n">
        <x:v>0</x:v>
      </x:c>
      <x:c r="K318" s="22" t="b">
        <x:v>0</x:v>
      </x:c>
      <x:c r="L318" s="13" t="n">
        <x:v>70</x:v>
      </x:c>
      <x:c r="M318" s="13" t="n">
        <x:v>23</x:v>
      </x:c>
    </x:row>
    <x:row r="319" ht="22" customHeight="1">
      <x:c r="A319" s="17" t="str">
        <x:f>"03164000"</x:f>
        <x:v>03164000</x:v>
      </x:c>
      <x:c r="B319" s="13" t="n">
        <x:v>42</x:v>
      </x:c>
      <x:c r="C319" s="22" t="b">
        <x:v>0</x:v>
      </x:c>
      <x:c r="D319" s="11" t="n">
        <x:v>0.5470224994203233</x:v>
      </x:c>
      <x:c r="E319" s="11" t="n">
        <x:v>0.5085783181162848</x:v>
      </x:c>
      <x:c r="F319" s="11" t="n">
        <x:v>0.18695214044116137</x:v>
      </x:c>
      <x:c r="G319" s="11" t="n">
        <x:v>0.03844418130403848</x:v>
      </x:c>
      <x:c r="H319" s="11" t="n">
        <x:v>0.36007035897916195</x:v>
      </x:c>
      <x:c r="I319" s="11" t="n">
        <x:v>0.55</x:v>
      </x:c>
      <x:c r="J319" s="13" t="n">
        <x:v>20</x:v>
      </x:c>
      <x:c r="K319" s="22" t="b">
        <x:v>0</x:v>
      </x:c>
      <x:c r="L319" s="13" t="n">
        <x:v>141</x:v>
      </x:c>
      <x:c r="M319" s="13" t="n">
        <x:v>52</x:v>
      </x:c>
    </x:row>
    <x:row r="320" ht="22" customHeight="1">
      <x:c r="A320" s="17" t="str">
        <x:f>"03165000"</x:f>
        <x:v>03165000</x:v>
      </x:c>
      <x:c r="B320" s="13" t="n">
        <x:v>42</x:v>
      </x:c>
      <x:c r="C320" s="22" t="b">
        <x:v>1</x:v>
      </x:c>
      <x:c r="D320" s="11" t="n">
        <x:v>0.36090908023827684</x:v>
      </x:c>
      <x:c r="E320" s="11" t="n">
        <x:v>0.35526560324214607</x:v>
      </x:c>
      <x:c r="F320" s="11" t="n">
        <x:v>0.35120764064865784</x:v>
      </x:c>
      <x:c r="G320" s="11" t="n">
        <x:v>0.00564347699613077</x:v>
      </x:c>
      <x:c r="H320" s="11" t="n">
        <x:v>0.009701439589618999</x:v>
      </x:c>
      <x:c r="I320" s="11" t="n">
        <x:v>0.3125</x:v>
      </x:c>
      <x:c r="J320" s="13" t="n">
        <x:v>16</x:v>
      </x:c>
      <x:c r="K320" s="22" t="b">
        <x:v>0</x:v>
      </x:c>
      <x:c r="L320" s="13" t="n">
        <x:v>103</x:v>
      </x:c>
      <x:c r="M320" s="13" t="n">
        <x:v>34</x:v>
      </x:c>
    </x:row>
    <x:row r="321" ht="22" customHeight="1">
      <x:c r="A321" s="17" t="str">
        <x:f>"03165000"</x:f>
        <x:v>03165000</x:v>
      </x:c>
      <x:c r="B321" s="13" t="n">
        <x:v>42</x:v>
      </x:c>
      <x:c r="C321" s="22" t="b">
        <x:v>0</x:v>
      </x:c>
      <x:c r="D321" s="11" t="n">
        <x:v>0.13288480915510525</x:v>
      </x:c>
      <x:c r="E321" s="11" t="n">
        <x:v>0.1820142846777757</x:v>
      </x:c>
      <x:c r="F321" s="11" t="n">
        <x:v>0.04033268478588725</x:v>
      </x:c>
      <x:c r="G321" s="11" t="n">
        <x:v>-0.04912947552267044</x:v>
      </x:c>
      <x:c r="H321" s="11" t="n">
        <x:v>0.092552124369218</x:v>
      </x:c>
      <x:c r="I321" s="11" t="n">
        <x:v>0.3125</x:v>
      </x:c>
      <x:c r="J321" s="13" t="n">
        <x:v>16</x:v>
      </x:c>
      <x:c r="K321" s="22" t="b">
        <x:v>0</x:v>
      </x:c>
      <x:c r="L321" s="13" t="n">
        <x:v>98</x:v>
      </x:c>
      <x:c r="M321" s="13" t="n">
        <x:v>31</x:v>
      </x:c>
    </x:row>
    <x:row r="322" ht="22" customHeight="1">
      <x:c r="A322" s="17" t="str">
        <x:f>"03170000"</x:f>
        <x:v>03170000</x:v>
      </x:c>
      <x:c r="B322" s="13" t="n">
        <x:v>42</x:v>
      </x:c>
      <x:c r="C322" s="22" t="b">
        <x:v>1</x:v>
      </x:c>
      <x:c r="D322" s="11" t="n">
        <x:v>0.4569857130521947</x:v>
      </x:c>
      <x:c r="E322" s="11" t="n">
        <x:v>0.46237357908211996</x:v>
      </x:c>
      <x:c r="F322" s="11" t="n">
        <x:v>0.2707895823670716</x:v>
      </x:c>
      <x:c r="G322" s="11" t="n">
        <x:v>-0.005387866029925248</x:v>
      </x:c>
      <x:c r="H322" s="11" t="n">
        <x:v>0.18619613068512308</x:v>
      </x:c>
      <x:c r="I322" s="11" t="n">
        <x:v>1</x:v>
      </x:c>
      <x:c r="J322" s="13" t="n">
        <x:v>19</x:v>
      </x:c>
      <x:c r="K322" s="22" t="b">
        <x:v>1</x:v>
      </x:c>
      <x:c r="L322" s="13" t="n">
        <x:v>97</x:v>
      </x:c>
      <x:c r="M322" s="13" t="n">
        <x:v>31</x:v>
      </x:c>
    </x:row>
    <x:row r="323" ht="22" customHeight="1">
      <x:c r="A323" s="17" t="str">
        <x:f>"03170000"</x:f>
        <x:v>03170000</x:v>
      </x:c>
      <x:c r="B323" s="13" t="n">
        <x:v>42</x:v>
      </x:c>
      <x:c r="C323" s="22" t="b">
        <x:v>0</x:v>
      </x:c>
      <x:c r="D323" s="11" t="n">
        <x:v>0.2819197574619291</x:v>
      </x:c>
      <x:c r="E323" s="11" t="n">
        <x:v>0.2651637892111238</x:v>
      </x:c>
      <x:c r="F323" s="11" t="n">
        <x:v>-0.049104731978198535</x:v>
      </x:c>
      <x:c r="G323" s="11" t="n">
        <x:v>0.016755968250805275</x:v>
      </x:c>
      <x:c r="H323" s="11" t="n">
        <x:v>0.33102448944012763</x:v>
      </x:c>
      <x:c r="I323" s="11" t="n">
        <x:v>0.7647058823529411</x:v>
      </x:c>
      <x:c r="J323" s="13" t="n">
        <x:v>17</x:v>
      </x:c>
      <x:c r="K323" s="22" t="b">
        <x:v>0</x:v>
      </x:c>
      <x:c r="L323" s="13" t="n">
        <x:v>98</x:v>
      </x:c>
      <x:c r="M323" s="13" t="n">
        <x:v>31</x:v>
      </x:c>
    </x:row>
    <x:row r="324" ht="22" customHeight="1">
      <x:c r="A324" s="17" t="str">
        <x:f>"03173000"</x:f>
        <x:v>03173000</x:v>
      </x:c>
      <x:c r="B324" s="13" t="n">
        <x:v>42</x:v>
      </x:c>
      <x:c r="C324" s="22" t="b">
        <x:v>1</x:v>
      </x:c>
      <x:c r="D324" s="11" t="n">
        <x:v>0.5175404686609888</x:v>
      </x:c>
      <x:c r="E324" s="11" t="n">
        <x:v>0.520165126172331</x:v>
      </x:c>
      <x:c r="F324" s="11" t="n">
        <x:v>0.4430057315364532</x:v>
      </x:c>
      <x:c r="G324" s="11" t="n">
        <x:v>-0.002624657511342221</x:v>
      </x:c>
      <x:c r="H324" s="11" t="n">
        <x:v>0.07453473712453562</x:v>
      </x:c>
      <x:c r="I324" s="11" t="n">
        <x:v>0.15</x:v>
      </x:c>
      <x:c r="J324" s="13" t="n">
        <x:v>20</x:v>
      </x:c>
      <x:c r="K324" s="22" t="b">
        <x:v>0</x:v>
      </x:c>
      <x:c r="L324" s="13" t="n">
        <x:v>88</x:v>
      </x:c>
      <x:c r="M324" s="13" t="n">
        <x:v>28</x:v>
      </x:c>
    </x:row>
    <x:row r="325" ht="22" customHeight="1">
      <x:c r="A325" s="17" t="str">
        <x:f>"03173000"</x:f>
        <x:v>03173000</x:v>
      </x:c>
      <x:c r="B325" s="13" t="n">
        <x:v>42</x:v>
      </x:c>
      <x:c r="C325" s="22" t="b">
        <x:v>0</x:v>
      </x:c>
      <x:c r="D325" s="11" t="n">
        <x:v>0.3379681023667809</x:v>
      </x:c>
      <x:c r="E325" s="11" t="n">
        <x:v>0.32864719108582585</x:v>
      </x:c>
      <x:c r="F325" s="11" t="n">
        <x:v>0.2798711426187809</x:v>
      </x:c>
      <x:c r="G325" s="11" t="n">
        <x:v>0.009320911280955024</x:v>
      </x:c>
      <x:c r="H325" s="11" t="n">
        <x:v>0.058096959748</x:v>
      </x:c>
      <x:c r="I325" s="11" t="n">
        <x:v>0.7857142857142857</x:v>
      </x:c>
      <x:c r="J325" s="13" t="n">
        <x:v>14</x:v>
      </x:c>
      <x:c r="K325" s="22" t="b">
        <x:v>0</x:v>
      </x:c>
      <x:c r="L325" s="13" t="n">
        <x:v>115</x:v>
      </x:c>
      <x:c r="M325" s="13" t="n">
        <x:v>38</x:v>
      </x:c>
    </x:row>
    <x:row r="326" ht="22" customHeight="1">
      <x:c r="A326" s="17" t="str">
        <x:f>"03237280"</x:f>
        <x:v>03237280</x:v>
      </x:c>
      <x:c r="B326" s="13" t="n">
        <x:v>42</x:v>
      </x:c>
      <x:c r="C326" s="22" t="b">
        <x:v>1</x:v>
      </x:c>
      <x:c r="D326" s="11" t="n">
        <x:v>0.2539398990436371</x:v>
      </x:c>
      <x:c r="E326" s="11" t="n">
        <x:v>0.2718222656676397</x:v>
      </x:c>
      <x:c r="F326" s="11" t="n">
        <x:v>0.2368064622621635</x:v>
      </x:c>
      <x:c r="G326" s="11" t="n">
        <x:v>-0.017882366624002555</x:v>
      </x:c>
      <x:c r="H326" s="11" t="n">
        <x:v>0.01713343678147361</x:v>
      </x:c>
      <x:c r="I326" s="11" t="n">
        <x:v>0.6</x:v>
      </x:c>
      <x:c r="J326" s="13" t="n">
        <x:v>20</x:v>
      </x:c>
      <x:c r="K326" s="22" t="b">
        <x:v>0</x:v>
      </x:c>
      <x:c r="L326" s="13" t="n">
        <x:v>104</x:v>
      </x:c>
      <x:c r="M326" s="13" t="n">
        <x:v>34</x:v>
      </x:c>
    </x:row>
    <x:row r="327" ht="22" customHeight="1">
      <x:c r="A327" s="17" t="str">
        <x:f>"03237280"</x:f>
        <x:v>03237280</x:v>
      </x:c>
      <x:c r="B327" s="13" t="n">
        <x:v>42</x:v>
      </x:c>
      <x:c r="C327" s="22" t="b">
        <x:v>0</x:v>
      </x:c>
      <x:c r="D327" s="11" t="n">
        <x:v>0.16620502173317941</x:v>
      </x:c>
      <x:c r="E327" s="11" t="n">
        <x:v>0.16396273606240452</x:v>
      </x:c>
      <x:c r="F327" s="11" t="n">
        <x:v>-0.061699295440957425</x:v>
      </x:c>
      <x:c r="G327" s="11" t="n">
        <x:v>0.0022422856707748906</x:v>
      </x:c>
      <x:c r="H327" s="11" t="n">
        <x:v>0.22790431717413684</x:v>
      </x:c>
      <x:c r="I327" s="11" t="n">
        <x:v>0.95</x:v>
      </x:c>
      <x:c r="J327" s="13" t="n">
        <x:v>20</x:v>
      </x:c>
      <x:c r="K327" s="22" t="b">
        <x:v>1</x:v>
      </x:c>
      <x:c r="L327" s="13" t="n">
        <x:v>131</x:v>
      </x:c>
      <x:c r="M327" s="13" t="n">
        <x:v>46</x:v>
      </x:c>
    </x:row>
    <x:row r="328" ht="22" customHeight="1">
      <x:c r="A328" s="17" t="str">
        <x:f>"03237500"</x:f>
        <x:v>03237500</x:v>
      </x:c>
      <x:c r="B328" s="13" t="n">
        <x:v>42</x:v>
      </x:c>
      <x:c r="C328" s="22" t="b">
        <x:v>1</x:v>
      </x:c>
      <x:c r="D328" s="11" t="n">
        <x:v>0.26421547994948746</x:v>
      </x:c>
      <x:c r="E328" s="11" t="n">
        <x:v>0.25932176759829806</x:v>
      </x:c>
      <x:c r="F328" s="11" t="n">
        <x:v>-0.3585280064998573</x:v>
      </x:c>
      <x:c r="G328" s="11" t="n">
        <x:v>0.004893712351189405</x:v>
      </x:c>
      <x:c r="H328" s="11" t="n">
        <x:v>0.6227434864493447</x:v>
      </x:c>
      <x:c r="I328" s="11" t="n">
        <x:v>1</x:v>
      </x:c>
      <x:c r="J328" s="13" t="n">
        <x:v>9</x:v>
      </x:c>
      <x:c r="K328" s="22" t="b">
        <x:v>1</x:v>
      </x:c>
      <x:c r="L328" s="13" t="n">
        <x:v>74</x:v>
      </x:c>
      <x:c r="M328" s="13" t="n">
        <x:v>24</x:v>
      </x:c>
    </x:row>
    <x:row r="329" ht="22" customHeight="1">
      <x:c r="A329" s="17" t="str">
        <x:f>"03237500"</x:f>
        <x:v>03237500</x:v>
      </x:c>
      <x:c r="B329" s="13" t="n">
        <x:v>42</x:v>
      </x:c>
      <x:c r="C329" s="22" t="b">
        <x:v>0</x:v>
      </x:c>
      <x:c r="D329" s="11" t="n">
        <x:v>0.1604789960904346</x:v>
      </x:c>
      <x:c r="E329" s="11" t="n">
        <x:v>0.15242520163880335</x:v>
      </x:c>
      <x:c r="F329" s="11" t="n">
        <x:v>-0.1509854622178941</x:v>
      </x:c>
      <x:c r="G329" s="11" t="n">
        <x:v>0.008053794451631235</x:v>
      </x:c>
      <x:c r="H329" s="11" t="n">
        <x:v>0.3114644583083287</x:v>
      </x:c>
      <x:c r="I329" s="11" t="n">
        <x:v>0.4117647058823529</x:v>
      </x:c>
      <x:c r="J329" s="13" t="n">
        <x:v>17</x:v>
      </x:c>
      <x:c r="K329" s="22" t="b">
        <x:v>0</x:v>
      </x:c>
      <x:c r="L329" s="13" t="n">
        <x:v>100</x:v>
      </x:c>
      <x:c r="M329" s="13" t="n">
        <x:v>33</x:v>
      </x:c>
    </x:row>
    <x:row r="330" ht="22" customHeight="1">
      <x:c r="A330" s="17" t="str">
        <x:f>"03241500"</x:f>
        <x:v>03241500</x:v>
      </x:c>
      <x:c r="B330" s="13" t="n">
        <x:v>42</x:v>
      </x:c>
      <x:c r="C330" s="22" t="b">
        <x:v>1</x:v>
      </x:c>
      <x:c r="D330" s="11" t="n">
        <x:v>0.5789894035089748</x:v>
      </x:c>
      <x:c r="E330" s="11" t="n">
        <x:v>0.569291653873052</x:v>
      </x:c>
      <x:c r="F330" s="11" t="n">
        <x:v>0.3266586460252324</x:v>
      </x:c>
      <x:c r="G330" s="11" t="n">
        <x:v>0.009697749635922737</x:v>
      </x:c>
      <x:c r="H330" s="11" t="n">
        <x:v>0.25233075748374234</x:v>
      </x:c>
      <x:c r="I330" s="11" t="n">
        <x:v>0.17647058823529413</x:v>
      </x:c>
      <x:c r="J330" s="13" t="n">
        <x:v>17</x:v>
      </x:c>
      <x:c r="K330" s="22" t="b">
        <x:v>0</x:v>
      </x:c>
      <x:c r="L330" s="13" t="n">
        <x:v>108</x:v>
      </x:c>
      <x:c r="M330" s="13" t="n">
        <x:v>36</x:v>
      </x:c>
    </x:row>
    <x:row r="331" ht="22" customHeight="1">
      <x:c r="A331" s="17" t="str">
        <x:f>"03241500"</x:f>
        <x:v>03241500</x:v>
      </x:c>
      <x:c r="B331" s="13" t="n">
        <x:v>42</x:v>
      </x:c>
      <x:c r="C331" s="22" t="b">
        <x:v>0</x:v>
      </x:c>
      <x:c r="D331" s="11" t="n">
        <x:v>0.38154084595748716</x:v>
      </x:c>
      <x:c r="E331" s="11" t="n">
        <x:v>0.3718968274554929</x:v>
      </x:c>
      <x:c r="F331" s="11" t="n">
        <x:v>-0.3857469099153248</x:v>
      </x:c>
      <x:c r="G331" s="11" t="n">
        <x:v>0.009644018501994256</x:v>
      </x:c>
      <x:c r="H331" s="11" t="n">
        <x:v>0.767287755872812</x:v>
      </x:c>
      <x:c r="I331" s="11" t="n">
        <x:v>0.11764705882352941</x:v>
      </x:c>
      <x:c r="J331" s="13" t="n">
        <x:v>17</x:v>
      </x:c>
      <x:c r="K331" s="22" t="b">
        <x:v>0</x:v>
      </x:c>
      <x:c r="L331" s="13" t="n">
        <x:v>133</x:v>
      </x:c>
      <x:c r="M331" s="13" t="n">
        <x:v>51</x:v>
      </x:c>
    </x:row>
    <x:row r="332" ht="22" customHeight="1">
      <x:c r="A332" s="17" t="str">
        <x:f>"03291780"</x:f>
        <x:v>03291780</x:v>
      </x:c>
      <x:c r="B332" s="13" t="n">
        <x:v>42</x:v>
      </x:c>
      <x:c r="C332" s="22" t="b">
        <x:v>1</x:v>
      </x:c>
      <x:c r="D332" s="11" t="n">
        <x:v>0.2876209660710747</x:v>
      </x:c>
      <x:c r="E332" s="11" t="n">
        <x:v>0.26107294698430217</x:v>
      </x:c>
      <x:c r="F332" s="11" t="n">
        <x:v>0.14930112890810743</x:v>
      </x:c>
      <x:c r="G332" s="11" t="n">
        <x:v>0.026548019086772512</x:v>
      </x:c>
      <x:c r="H332" s="11" t="n">
        <x:v>0.13831983716296725</x:v>
      </x:c>
      <x:c r="I332" s="11" t="n">
        <x:v>0.3157894736842105</x:v>
      </x:c>
      <x:c r="J332" s="13" t="n">
        <x:v>19</x:v>
      </x:c>
      <x:c r="K332" s="22" t="b">
        <x:v>0</x:v>
      </x:c>
      <x:c r="L332" s="13" t="n">
        <x:v>87</x:v>
      </x:c>
      <x:c r="M332" s="13" t="n">
        <x:v>28</x:v>
      </x:c>
    </x:row>
    <x:row r="333" ht="22" customHeight="1">
      <x:c r="A333" s="17" t="str">
        <x:f>"03291780"</x:f>
        <x:v>03291780</x:v>
      </x:c>
      <x:c r="B333" s="13" t="n">
        <x:v>42</x:v>
      </x:c>
      <x:c r="C333" s="22" t="b">
        <x:v>0</x:v>
      </x:c>
      <x:c r="D333" s="11" t="n">
        <x:v>0.22994739580549417</x:v>
      </x:c>
      <x:c r="E333" s="11" t="n">
        <x:v>0.22848843029470578</x:v>
      </x:c>
      <x:c r="F333" s="11" t="n">
        <x:v>-0.3039596894196652</x:v>
      </x:c>
      <x:c r="G333" s="11" t="n">
        <x:v>0.0014589655107883903</x:v>
      </x:c>
      <x:c r="H333" s="11" t="n">
        <x:v>0.5339070852251594</x:v>
      </x:c>
      <x:c r="I333" s="11" t="n">
        <x:v>1</x:v>
      </x:c>
      <x:c r="J333" s="13" t="n">
        <x:v>19</x:v>
      </x:c>
      <x:c r="K333" s="22" t="b">
        <x:v>1</x:v>
      </x:c>
      <x:c r="L333" s="13" t="n">
        <x:v>96</x:v>
      </x:c>
      <x:c r="M333" s="13" t="n">
        <x:v>31</x:v>
      </x:c>
    </x:row>
    <x:row r="334" ht="22" customHeight="1">
      <x:c r="A334" s="17" t="str">
        <x:f>"03346000"</x:f>
        <x:v>03346000</x:v>
      </x:c>
      <x:c r="B334" s="13" t="n">
        <x:v>42</x:v>
      </x:c>
      <x:c r="C334" s="22" t="b">
        <x:v>1</x:v>
      </x:c>
      <x:c r="D334" s="11" t="n">
        <x:v>0.7393969395599553</x:v>
      </x:c>
      <x:c r="E334" s="11" t="n">
        <x:v>0.725312767613677</x:v>
      </x:c>
      <x:c r="F334" s="11" t="n">
        <x:v>-0.302022885720842</x:v>
      </x:c>
      <x:c r="G334" s="11" t="n">
        <x:v>0.014084171946278312</x:v>
      </x:c>
      <x:c r="H334" s="11" t="n">
        <x:v>1.0414198252807974</x:v>
      </x:c>
      <x:c r="I334" s="11"/>
      <x:c r="J334" s="13" t="n">
        <x:v>0</x:v>
      </x:c>
      <x:c r="K334" s="22" t="b">
        <x:v>0</x:v>
      </x:c>
      <x:c r="L334" s="13" t="n">
        <x:v>90</x:v>
      </x:c>
      <x:c r="M334" s="13" t="n">
        <x:v>28</x:v>
      </x:c>
    </x:row>
    <x:row r="335" ht="22" customHeight="1">
      <x:c r="A335" s="17" t="str">
        <x:f>"03346000"</x:f>
        <x:v>03346000</x:v>
      </x:c>
      <x:c r="B335" s="13" t="n">
        <x:v>42</x:v>
      </x:c>
      <x:c r="C335" s="22" t="b">
        <x:v>0</x:v>
      </x:c>
      <x:c r="D335" s="11" t="n">
        <x:v>0.5657158000550617</x:v>
      </x:c>
      <x:c r="E335" s="11" t="n">
        <x:v>0.5875803966277395</x:v>
      </x:c>
      <x:c r="F335" s="11" t="n">
        <x:v>-3.1326768530730424</x:v>
      </x:c>
      <x:c r="G335" s="11" t="n">
        <x:v>-0.021864596572677808</x:v>
      </x:c>
      <x:c r="H335" s="11" t="n">
        <x:v>3.698392653128104</x:v>
      </x:c>
      <x:c r="I335" s="11" t="n">
        <x:v>1</x:v>
      </x:c>
      <x:c r="J335" s="13" t="n">
        <x:v>20</x:v>
      </x:c>
      <x:c r="K335" s="22" t="b">
        <x:v>1</x:v>
      </x:c>
      <x:c r="L335" s="13" t="n">
        <x:v>108</x:v>
      </x:c>
      <x:c r="M335" s="13" t="n">
        <x:v>36</x:v>
      </x:c>
    </x:row>
    <x:row r="336" ht="22" customHeight="1">
      <x:c r="A336" s="17" t="str">
        <x:f>"03384450"</x:f>
        <x:v>03384450</x:v>
      </x:c>
      <x:c r="B336" s="13" t="n">
        <x:v>42</x:v>
      </x:c>
      <x:c r="C336" s="22" t="b">
        <x:v>1</x:v>
      </x:c>
      <x:c r="D336" s="11" t="n">
        <x:v>0.21092957319878558</x:v>
      </x:c>
      <x:c r="E336" s="11" t="n">
        <x:v>0.20675979090481322</x:v>
      </x:c>
      <x:c r="F336" s="11" t="n">
        <x:v>0.11771790148708539</x:v>
      </x:c>
      <x:c r="G336" s="11" t="n">
        <x:v>0.004169782293972357</x:v>
      </x:c>
      <x:c r="H336" s="11" t="n">
        <x:v>0.0932116717117002</x:v>
      </x:c>
      <x:c r="I336" s="11" t="n">
        <x:v>0</x:v>
      </x:c>
      <x:c r="J336" s="13" t="n">
        <x:v>9</x:v>
      </x:c>
      <x:c r="K336" s="22" t="b">
        <x:v>0</x:v>
      </x:c>
      <x:c r="L336" s="13" t="n">
        <x:v>80</x:v>
      </x:c>
      <x:c r="M336" s="13" t="n">
        <x:v>26</x:v>
      </x:c>
    </x:row>
    <x:row r="337" ht="22" customHeight="1">
      <x:c r="A337" s="17" t="str">
        <x:f>"03384450"</x:f>
        <x:v>03384450</x:v>
      </x:c>
      <x:c r="B337" s="13" t="n">
        <x:v>42</x:v>
      </x:c>
      <x:c r="C337" s="22" t="b">
        <x:v>0</x:v>
      </x:c>
      <x:c r="D337" s="11" t="n">
        <x:v>0.1788371602319494</x:v>
      </x:c>
      <x:c r="E337" s="11" t="n">
        <x:v>0.13965201386962822</x:v>
      </x:c>
      <x:c r="F337" s="11" t="n">
        <x:v>0.11301181245621283</x:v>
      </x:c>
      <x:c r="G337" s="11" t="n">
        <x:v>0.03918514636232118</x:v>
      </x:c>
      <x:c r="H337" s="11" t="n">
        <x:v>0.06582534777573656</x:v>
      </x:c>
      <x:c r="I337" s="11" t="n">
        <x:v>0.2</x:v>
      </x:c>
      <x:c r="J337" s="13" t="n">
        <x:v>20</x:v>
      </x:c>
      <x:c r="K337" s="22" t="b">
        <x:v>0</x:v>
      </x:c>
      <x:c r="L337" s="13" t="n">
        <x:v>88</x:v>
      </x:c>
      <x:c r="M337" s="13" t="n">
        <x:v>28</x:v>
      </x:c>
    </x:row>
    <x:row r="338" ht="22" customHeight="1">
      <x:c r="A338" s="17" t="str">
        <x:f>"03439000"</x:f>
        <x:v>03439000</x:v>
      </x:c>
      <x:c r="B338" s="13" t="n">
        <x:v>42</x:v>
      </x:c>
      <x:c r="C338" s="22" t="b">
        <x:v>1</x:v>
      </x:c>
      <x:c r="D338" s="11" t="n">
        <x:v>0.5428022950235112</x:v>
      </x:c>
      <x:c r="E338" s="11" t="n">
        <x:v>0.44939944505426566</x:v>
      </x:c>
      <x:c r="F338" s="11" t="n">
        <x:v>0.5177251887016479</x:v>
      </x:c>
      <x:c r="G338" s="11" t="n">
        <x:v>0.09340284996924553</x:v>
      </x:c>
      <x:c r="H338" s="11" t="n">
        <x:v>0.02507710632186333</x:v>
      </x:c>
      <x:c r="I338" s="11" t="n">
        <x:v>1</x:v>
      </x:c>
      <x:c r="J338" s="13" t="n">
        <x:v>10</x:v>
      </x:c>
      <x:c r="K338" s="22" t="b">
        <x:v>0</x:v>
      </x:c>
      <x:c r="L338" s="13" t="n">
        <x:v>99</x:v>
      </x:c>
      <x:c r="M338" s="13" t="n">
        <x:v>32</x:v>
      </x:c>
    </x:row>
    <x:row r="339" ht="22" customHeight="1">
      <x:c r="A339" s="17" t="str">
        <x:f>"03439000"</x:f>
        <x:v>03439000</x:v>
      </x:c>
      <x:c r="B339" s="13" t="n">
        <x:v>42</x:v>
      </x:c>
      <x:c r="C339" s="22" t="b">
        <x:v>0</x:v>
      </x:c>
      <x:c r="D339" s="11" t="n">
        <x:v>0.310811175249355</x:v>
      </x:c>
      <x:c r="E339" s="11" t="n">
        <x:v>0.2962984258763336</x:v>
      </x:c>
      <x:c r="F339" s="11" t="n">
        <x:v>0.03369076412102778</x:v>
      </x:c>
      <x:c r="G339" s="11" t="n">
        <x:v>0.014512749373021383</x:v>
      </x:c>
      <x:c r="H339" s="11" t="n">
        <x:v>0.2771204111283272</x:v>
      </x:c>
      <x:c r="I339" s="11" t="n">
        <x:v>0.5833333333333334</x:v>
      </x:c>
      <x:c r="J339" s="13" t="n">
        <x:v>12</x:v>
      </x:c>
      <x:c r="K339" s="22" t="b">
        <x:v>0</x:v>
      </x:c>
      <x:c r="L339" s="13" t="n">
        <x:v>94</x:v>
      </x:c>
      <x:c r="M339" s="13" t="n">
        <x:v>30</x:v>
      </x:c>
    </x:row>
    <x:row r="340" ht="22" customHeight="1">
      <x:c r="A340" s="17" t="str">
        <x:f>"03455500"</x:f>
        <x:v>03455500</x:v>
      </x:c>
      <x:c r="B340" s="13" t="n">
        <x:v>42</x:v>
      </x:c>
      <x:c r="C340" s="22" t="b">
        <x:v>1</x:v>
      </x:c>
      <x:c r="D340" s="11" t="n">
        <x:v>0.4111911991642665</x:v>
      </x:c>
      <x:c r="E340" s="11" t="n">
        <x:v>0.40213658622441206</x:v>
      </x:c>
      <x:c r="F340" s="11" t="n">
        <x:v>0.38746654951777715</x:v>
      </x:c>
      <x:c r="G340" s="11" t="n">
        <x:v>0.009054612939854434</x:v>
      </x:c>
      <x:c r="H340" s="11" t="n">
        <x:v>0.02372464964648935</x:v>
      </x:c>
      <x:c r="I340" s="11" t="n">
        <x:v>1</x:v>
      </x:c>
      <x:c r="J340" s="13" t="n">
        <x:v>19</x:v>
      </x:c>
      <x:c r="K340" s="22" t="b">
        <x:v>1</x:v>
      </x:c>
      <x:c r="L340" s="13" t="n">
        <x:v>64</x:v>
      </x:c>
      <x:c r="M340" s="13" t="n">
        <x:v>21</x:v>
      </x:c>
    </x:row>
    <x:row r="341" ht="22" customHeight="1">
      <x:c r="A341" s="17" t="str">
        <x:f>"03455500"</x:f>
        <x:v>03455500</x:v>
      </x:c>
      <x:c r="B341" s="13" t="n">
        <x:v>42</x:v>
      </x:c>
      <x:c r="C341" s="22" t="b">
        <x:v>0</x:v>
      </x:c>
      <x:c r="D341" s="11" t="n">
        <x:v>0.23866148876062</x:v>
      </x:c>
      <x:c r="E341" s="11" t="n">
        <x:v>0.21606031321871355</x:v>
      </x:c>
      <x:c r="F341" s="11" t="n">
        <x:v>0.09771748371257871</x:v>
      </x:c>
      <x:c r="G341" s="11" t="n">
        <x:v>0.022601175541906438</x:v>
      </x:c>
      <x:c r="H341" s="11" t="n">
        <x:v>0.14094400504804128</x:v>
      </x:c>
      <x:c r="I341" s="11" t="n">
        <x:v>1</x:v>
      </x:c>
      <x:c r="J341" s="13" t="n">
        <x:v>18</x:v>
      </x:c>
      <x:c r="K341" s="22" t="b">
        <x:v>1</x:v>
      </x:c>
      <x:c r="L341" s="13" t="n">
        <x:v>86</x:v>
      </x:c>
      <x:c r="M341" s="13" t="n">
        <x:v>27</x:v>
      </x:c>
    </x:row>
    <x:row r="342" ht="22" customHeight="1">
      <x:c r="A342" s="17" t="str">
        <x:f>"03456500"</x:f>
        <x:v>03456500</x:v>
      </x:c>
      <x:c r="B342" s="13" t="n">
        <x:v>42</x:v>
      </x:c>
      <x:c r="C342" s="22" t="b">
        <x:v>1</x:v>
      </x:c>
      <x:c r="D342" s="11" t="n">
        <x:v>0.4861971942373847</x:v>
      </x:c>
      <x:c r="E342" s="11" t="n">
        <x:v>0.3953697423413516</x:v>
      </x:c>
      <x:c r="F342" s="11" t="n">
        <x:v>0.4503876034361497</x:v>
      </x:c>
      <x:c r="G342" s="11" t="n">
        <x:v>0.09082745189603314</x:v>
      </x:c>
      <x:c r="H342" s="11" t="n">
        <x:v>0.035809590801235025</x:v>
      </x:c>
      <x:c r="I342" s="11"/>
      <x:c r="J342" s="13" t="n">
        <x:v>0</x:v>
      </x:c>
      <x:c r="K342" s="22" t="b">
        <x:v>0</x:v>
      </x:c>
      <x:c r="L342" s="13" t="n">
        <x:v>72</x:v>
      </x:c>
      <x:c r="M342" s="13" t="n">
        <x:v>24</x:v>
      </x:c>
    </x:row>
    <x:row r="343" ht="22" customHeight="1">
      <x:c r="A343" s="17" t="str">
        <x:f>"03456500"</x:f>
        <x:v>03456500</x:v>
      </x:c>
      <x:c r="B343" s="13" t="n">
        <x:v>42</x:v>
      </x:c>
      <x:c r="C343" s="22" t="b">
        <x:v>0</x:v>
      </x:c>
      <x:c r="D343" s="11" t="n">
        <x:v>0.35181089360651363</x:v>
      </x:c>
      <x:c r="E343" s="11" t="n">
        <x:v>0.12273372422881412</x:v>
      </x:c>
      <x:c r="F343" s="11" t="n">
        <x:v>0.2784993805297775</x:v>
      </x:c>
      <x:c r="G343" s="11" t="n">
        <x:v>0.2290771693776995</x:v>
      </x:c>
      <x:c r="H343" s="11" t="n">
        <x:v>0.07331151307673611</x:v>
      </x:c>
      <x:c r="I343" s="11" t="n">
        <x:v>1</x:v>
      </x:c>
      <x:c r="J343" s="13" t="n">
        <x:v>10</x:v>
      </x:c>
      <x:c r="K343" s="22" t="b">
        <x:v>0</x:v>
      </x:c>
      <x:c r="L343" s="13" t="n">
        <x:v>75</x:v>
      </x:c>
      <x:c r="M343" s="13" t="n">
        <x:v>26</x:v>
      </x:c>
    </x:row>
    <x:row r="344" ht="22" customHeight="1">
      <x:c r="A344" s="17" t="str">
        <x:f>"03460000"</x:f>
        <x:v>03460000</x:v>
      </x:c>
      <x:c r="B344" s="13" t="n">
        <x:v>42</x:v>
      </x:c>
      <x:c r="C344" s="22" t="b">
        <x:v>1</x:v>
      </x:c>
      <x:c r="D344" s="11" t="n">
        <x:v>0.5778471499339481</x:v>
      </x:c>
      <x:c r="E344" s="11" t="n">
        <x:v>0.5017202209532079</x:v>
      </x:c>
      <x:c r="F344" s="11" t="n">
        <x:v>0.5906575556238443</x:v>
      </x:c>
      <x:c r="G344" s="11" t="n">
        <x:v>0.07612692898074025</x:v>
      </x:c>
      <x:c r="H344" s="11" t="n">
        <x:v>-0.01281040568989611</x:v>
      </x:c>
      <x:c r="I344" s="11" t="n">
        <x:v>1</x:v>
      </x:c>
      <x:c r="J344" s="13" t="n">
        <x:v>14</x:v>
      </x:c>
      <x:c r="K344" s="22" t="b">
        <x:v>0</x:v>
      </x:c>
      <x:c r="L344" s="13" t="n">
        <x:v>85</x:v>
      </x:c>
      <x:c r="M344" s="13" t="n">
        <x:v>27</x:v>
      </x:c>
    </x:row>
    <x:row r="345" ht="22" customHeight="1">
      <x:c r="A345" s="17" t="str">
        <x:f>"03460000"</x:f>
        <x:v>03460000</x:v>
      </x:c>
      <x:c r="B345" s="13" t="n">
        <x:v>42</x:v>
      </x:c>
      <x:c r="C345" s="22" t="b">
        <x:v>0</x:v>
      </x:c>
      <x:c r="D345" s="11" t="n">
        <x:v>0.39749549566602793</x:v>
      </x:c>
      <x:c r="E345" s="11" t="n">
        <x:v>0.3514935113804195</x:v>
      </x:c>
      <x:c r="F345" s="11" t="n">
        <x:v>0.0065352060945471635</x:v>
      </x:c>
      <x:c r="G345" s="11" t="n">
        <x:v>0.04600198428560842</x:v>
      </x:c>
      <x:c r="H345" s="11" t="n">
        <x:v>0.39096028957148077</x:v>
      </x:c>
      <x:c r="I345" s="11" t="n">
        <x:v>0.85</x:v>
      </x:c>
      <x:c r="J345" s="13" t="n">
        <x:v>20</x:v>
      </x:c>
      <x:c r="K345" s="22" t="b">
        <x:v>1</x:v>
      </x:c>
      <x:c r="L345" s="13" t="n">
        <x:v>101</x:v>
      </x:c>
      <x:c r="M345" s="13" t="n">
        <x:v>33</x:v>
      </x:c>
    </x:row>
    <x:row r="346" ht="22" customHeight="1">
      <x:c r="A346" s="17" t="str">
        <x:f>"03463300"</x:f>
        <x:v>03463300</x:v>
      </x:c>
      <x:c r="B346" s="13" t="n">
        <x:v>42</x:v>
      </x:c>
      <x:c r="C346" s="22" t="b">
        <x:v>1</x:v>
      </x:c>
      <x:c r="D346" s="11" t="n">
        <x:v>0.4315152812495816</x:v>
      </x:c>
      <x:c r="E346" s="11" t="n">
        <x:v>0.38022720350359673</x:v>
      </x:c>
      <x:c r="F346" s="11" t="n">
        <x:v>0.4152516290065452</x:v>
      </x:c>
      <x:c r="G346" s="11" t="n">
        <x:v>0.05128807774598487</x:v>
      </x:c>
      <x:c r="H346" s="11" t="n">
        <x:v>0.016263652243036386</x:v>
      </x:c>
      <x:c r="I346" s="11"/>
      <x:c r="J346" s="13" t="n">
        <x:v>0</x:v>
      </x:c>
      <x:c r="K346" s="22" t="b">
        <x:v>0</x:v>
      </x:c>
      <x:c r="L346" s="13" t="n">
        <x:v>73</x:v>
      </x:c>
      <x:c r="M346" s="13" t="n">
        <x:v>24</x:v>
      </x:c>
    </x:row>
    <x:row r="347" ht="22" customHeight="1">
      <x:c r="A347" s="17" t="str">
        <x:f>"03463300"</x:f>
        <x:v>03463300</x:v>
      </x:c>
      <x:c r="B347" s="13" t="n">
        <x:v>42</x:v>
      </x:c>
      <x:c r="C347" s="22" t="b">
        <x:v>0</x:v>
      </x:c>
      <x:c r="D347" s="11" t="n">
        <x:v>0.2431272793197874</x:v>
      </x:c>
      <x:c r="E347" s="11" t="n">
        <x:v>0.1978563599012717</x:v>
      </x:c>
      <x:c r="F347" s="11" t="n">
        <x:v>0.1385601902989444</x:v>
      </x:c>
      <x:c r="G347" s="11" t="n">
        <x:v>0.04527091941851569</x:v>
      </x:c>
      <x:c r="H347" s="11" t="n">
        <x:v>0.104567089020843</x:v>
      </x:c>
      <x:c r="I347" s="11" t="n">
        <x:v>1</x:v>
      </x:c>
      <x:c r="J347" s="13" t="n">
        <x:v>13</x:v>
      </x:c>
      <x:c r="K347" s="22" t="b">
        <x:v>1</x:v>
      </x:c>
      <x:c r="L347" s="13" t="n">
        <x:v>78</x:v>
      </x:c>
      <x:c r="M347" s="13" t="n">
        <x:v>25</x:v>
      </x:c>
    </x:row>
    <x:row r="348" ht="22" customHeight="1">
      <x:c r="A348" s="17" t="str">
        <x:f>"03471500"</x:f>
        <x:v>03471500</x:v>
      </x:c>
      <x:c r="B348" s="13" t="n">
        <x:v>42</x:v>
      </x:c>
      <x:c r="C348" s="22" t="b">
        <x:v>1</x:v>
      </x:c>
      <x:c r="D348" s="11" t="n">
        <x:v>0.639295685849145</x:v>
      </x:c>
      <x:c r="E348" s="11" t="n">
        <x:v>0.5431963941175288</x:v>
      </x:c>
      <x:c r="F348" s="11" t="n">
        <x:v>0.39834950412219294</x:v>
      </x:c>
      <x:c r="G348" s="11" t="n">
        <x:v>0.09609929173161613</x:v>
      </x:c>
      <x:c r="H348" s="11" t="n">
        <x:v>0.24094618172695204</x:v>
      </x:c>
      <x:c r="I348" s="11" t="n">
        <x:v>1</x:v>
      </x:c>
      <x:c r="J348" s="13" t="n">
        <x:v>17</x:v>
      </x:c>
      <x:c r="K348" s="22" t="b">
        <x:v>0</x:v>
      </x:c>
      <x:c r="L348" s="13" t="n">
        <x:v>91</x:v>
      </x:c>
      <x:c r="M348" s="13" t="n">
        <x:v>29</x:v>
      </x:c>
    </x:row>
    <x:row r="349" ht="22" customHeight="1">
      <x:c r="A349" s="17" t="str">
        <x:f>"03471500"</x:f>
        <x:v>03471500</x:v>
      </x:c>
      <x:c r="B349" s="13" t="n">
        <x:v>42</x:v>
      </x:c>
      <x:c r="C349" s="22" t="b">
        <x:v>0</x:v>
      </x:c>
      <x:c r="D349" s="11" t="n">
        <x:v>0.4247920593680614</x:v>
      </x:c>
      <x:c r="E349" s="11" t="n">
        <x:v>0.3760828984237037</x:v>
      </x:c>
      <x:c r="F349" s="11" t="n">
        <x:v>-0.7426611781715631</x:v>
      </x:c>
      <x:c r="G349" s="11" t="n">
        <x:v>0.04870916094435773</x:v>
      </x:c>
      <x:c r="H349" s="11" t="n">
        <x:v>1.1674532375396245</x:v>
      </x:c>
      <x:c r="I349" s="11" t="n">
        <x:v>0.35</x:v>
      </x:c>
      <x:c r="J349" s="13" t="n">
        <x:v>20</x:v>
      </x:c>
      <x:c r="K349" s="22" t="b">
        <x:v>0</x:v>
      </x:c>
      <x:c r="L349" s="13" t="n">
        <x:v>111</x:v>
      </x:c>
      <x:c r="M349" s="13" t="n">
        <x:v>37</x:v>
      </x:c>
    </x:row>
    <x:row r="350" ht="22" customHeight="1">
      <x:c r="A350" s="17" t="str">
        <x:f>"03473000"</x:f>
        <x:v>03473000</x:v>
      </x:c>
      <x:c r="B350" s="13" t="n">
        <x:v>42</x:v>
      </x:c>
      <x:c r="C350" s="22" t="b">
        <x:v>1</x:v>
      </x:c>
      <x:c r="D350" s="11" t="n">
        <x:v>0.648407062239043</x:v>
      </x:c>
      <x:c r="E350" s="11" t="n">
        <x:v>0.6218862567822661</x:v>
      </x:c>
      <x:c r="F350" s="11" t="n">
        <x:v>0.6088892659233449</x:v>
      </x:c>
      <x:c r="G350" s="11" t="n">
        <x:v>0.02652080545677693</x:v>
      </x:c>
      <x:c r="H350" s="11" t="n">
        <x:v>0.03951779631569807</x:v>
      </x:c>
      <x:c r="I350" s="11" t="n">
        <x:v>0.3684210526315789</x:v>
      </x:c>
      <x:c r="J350" s="13" t="n">
        <x:v>19</x:v>
      </x:c>
      <x:c r="K350" s="22" t="b">
        <x:v>0</x:v>
      </x:c>
      <x:c r="L350" s="13" t="n">
        <x:v>82</x:v>
      </x:c>
      <x:c r="M350" s="13" t="n">
        <x:v>26</x:v>
      </x:c>
    </x:row>
    <x:row r="351" ht="22" customHeight="1">
      <x:c r="A351" s="17" t="str">
        <x:f>"03473000"</x:f>
        <x:v>03473000</x:v>
      </x:c>
      <x:c r="B351" s="13" t="n">
        <x:v>42</x:v>
      </x:c>
      <x:c r="C351" s="22" t="b">
        <x:v>0</x:v>
      </x:c>
      <x:c r="D351" s="11" t="n">
        <x:v>0.4557279830055754</x:v>
      </x:c>
      <x:c r="E351" s="11" t="n">
        <x:v>0.42600977094668024</x:v>
      </x:c>
      <x:c r="F351" s="11" t="n">
        <x:v>0.13935175250506215</x:v>
      </x:c>
      <x:c r="G351" s="11" t="n">
        <x:v>0.029718212058895133</x:v>
      </x:c>
      <x:c r="H351" s="11" t="n">
        <x:v>0.3163762305005132</x:v>
      </x:c>
      <x:c r="I351" s="11" t="n">
        <x:v>1</x:v>
      </x:c>
      <x:c r="J351" s="13" t="n">
        <x:v>20</x:v>
      </x:c>
      <x:c r="K351" s="22" t="b">
        <x:v>1</x:v>
      </x:c>
      <x:c r="L351" s="13" t="n">
        <x:v>111</x:v>
      </x:c>
      <x:c r="M351" s="13" t="n">
        <x:v>37</x:v>
      </x:c>
    </x:row>
    <x:row r="352" ht="22" customHeight="1">
      <x:c r="A352" s="17" t="str">
        <x:f>"03479000"</x:f>
        <x:v>03479000</x:v>
      </x:c>
      <x:c r="B352" s="13" t="n">
        <x:v>42</x:v>
      </x:c>
      <x:c r="C352" s="22" t="b">
        <x:v>1</x:v>
      </x:c>
      <x:c r="D352" s="11" t="n">
        <x:v>0.49207103933178353</x:v>
      </x:c>
      <x:c r="E352" s="11" t="n">
        <x:v>0.47053802071334894</x:v>
      </x:c>
      <x:c r="F352" s="11" t="n">
        <x:v>0.4839538170302592</x:v>
      </x:c>
      <x:c r="G352" s="11" t="n">
        <x:v>0.021533018618434596</x:v>
      </x:c>
      <x:c r="H352" s="11" t="n">
        <x:v>0.00811722230152434</x:v>
      </x:c>
      <x:c r="I352" s="11" t="n">
        <x:v>0.5555555555555556</x:v>
      </x:c>
      <x:c r="J352" s="13" t="n">
        <x:v>18</x:v>
      </x:c>
      <x:c r="K352" s="22" t="b">
        <x:v>0</x:v>
      </x:c>
      <x:c r="L352" s="13" t="n">
        <x:v>69</x:v>
      </x:c>
      <x:c r="M352" s="13" t="n">
        <x:v>23</x:v>
      </x:c>
    </x:row>
    <x:row r="353" ht="22" customHeight="1">
      <x:c r="A353" s="17" t="str">
        <x:f>"03479000"</x:f>
        <x:v>03479000</x:v>
      </x:c>
      <x:c r="B353" s="13" t="n">
        <x:v>42</x:v>
      </x:c>
      <x:c r="C353" s="22" t="b">
        <x:v>0</x:v>
      </x:c>
      <x:c r="D353" s="11" t="n">
        <x:v>0.19603390511793195</x:v>
      </x:c>
      <x:c r="E353" s="11" t="n">
        <x:v>0.20102786598630284</x:v>
      </x:c>
      <x:c r="F353" s="11" t="n">
        <x:v>0.09067047693850894</x:v>
      </x:c>
      <x:c r="G353" s="11" t="n">
        <x:v>-0.004993960868370895</x:v>
      </x:c>
      <x:c r="H353" s="11" t="n">
        <x:v>0.10536342817942301</x:v>
      </x:c>
      <x:c r="I353" s="11"/>
      <x:c r="J353" s="13" t="n">
        <x:v>0</x:v>
      </x:c>
      <x:c r="K353" s="22" t="b">
        <x:v>0</x:v>
      </x:c>
      <x:c r="L353" s="13" t="n">
        <x:v>89</x:v>
      </x:c>
      <x:c r="M353" s="13" t="n">
        <x:v>28</x:v>
      </x:c>
    </x:row>
    <x:row r="354" ht="22" customHeight="1">
      <x:c r="A354" s="17" t="str">
        <x:f>"03488000"</x:f>
        <x:v>03488000</x:v>
      </x:c>
      <x:c r="B354" s="13" t="n">
        <x:v>42</x:v>
      </x:c>
      <x:c r="C354" s="22" t="b">
        <x:v>1</x:v>
      </x:c>
      <x:c r="D354" s="11" t="n">
        <x:v>0.597482220889572</x:v>
      </x:c>
      <x:c r="E354" s="11" t="n">
        <x:v>0.5765985102399369</x:v>
      </x:c>
      <x:c r="F354" s="11" t="n">
        <x:v>0.16811004078595115</x:v>
      </x:c>
      <x:c r="G354" s="11" t="n">
        <x:v>0.020883710649635123</x:v>
      </x:c>
      <x:c r="H354" s="11" t="n">
        <x:v>0.4293721801036209</x:v>
      </x:c>
      <x:c r="I354" s="11" t="n">
        <x:v>1</x:v>
      </x:c>
      <x:c r="J354" s="13" t="n">
        <x:v>19</x:v>
      </x:c>
      <x:c r="K354" s="22" t="b">
        <x:v>1</x:v>
      </x:c>
      <x:c r="L354" s="13" t="n">
        <x:v>92</x:v>
      </x:c>
      <x:c r="M354" s="13" t="n">
        <x:v>30</x:v>
      </x:c>
    </x:row>
    <x:row r="355" ht="22" customHeight="1">
      <x:c r="A355" s="17" t="str">
        <x:f>"03488000"</x:f>
        <x:v>03488000</x:v>
      </x:c>
      <x:c r="B355" s="13" t="n">
        <x:v>42</x:v>
      </x:c>
      <x:c r="C355" s="22" t="b">
        <x:v>0</x:v>
      </x:c>
      <x:c r="D355" s="11" t="n">
        <x:v>0.4356467917425867</x:v>
      </x:c>
      <x:c r="E355" s="11" t="n">
        <x:v>0.3813137554900329</x:v>
      </x:c>
      <x:c r="F355" s="11" t="n">
        <x:v>0.09708979048653799</x:v>
      </x:c>
      <x:c r="G355" s="11" t="n">
        <x:v>0.05433303625255381</x:v>
      </x:c>
      <x:c r="H355" s="11" t="n">
        <x:v>0.3385570012560487</x:v>
      </x:c>
      <x:c r="I355" s="11" t="n">
        <x:v>0.14285714285714285</x:v>
      </x:c>
      <x:c r="J355" s="13" t="n">
        <x:v>14</x:v>
      </x:c>
      <x:c r="K355" s="22" t="b">
        <x:v>0</x:v>
      </x:c>
      <x:c r="L355" s="13" t="n">
        <x:v>107</x:v>
      </x:c>
      <x:c r="M355" s="13" t="n">
        <x:v>37</x:v>
      </x:c>
    </x:row>
    <x:row r="356" ht="22" customHeight="1">
      <x:c r="A356" s="17" t="str">
        <x:f>"03498500"</x:f>
        <x:v>03498500</x:v>
      </x:c>
      <x:c r="B356" s="13" t="n">
        <x:v>42</x:v>
      </x:c>
      <x:c r="C356" s="22" t="b">
        <x:v>1</x:v>
      </x:c>
      <x:c r="D356" s="11" t="n">
        <x:v>0.4594058630978206</x:v>
      </x:c>
      <x:c r="E356" s="11" t="n">
        <x:v>0.37344036314656226</x:v>
      </x:c>
      <x:c r="F356" s="11" t="n">
        <x:v>0.39424688559509946</x:v>
      </x:c>
      <x:c r="G356" s="11" t="n">
        <x:v>0.08596549995125835</x:v>
      </x:c>
      <x:c r="H356" s="11" t="n">
        <x:v>0.06515897750272115</x:v>
      </x:c>
      <x:c r="I356" s="11" t="n">
        <x:v>0</x:v>
      </x:c>
      <x:c r="J356" s="13" t="n">
        <x:v>7</x:v>
      </x:c>
      <x:c r="K356" s="22" t="b">
        <x:v>0</x:v>
      </x:c>
      <x:c r="L356" s="13" t="n">
        <x:v>63</x:v>
      </x:c>
      <x:c r="M356" s="13" t="n">
        <x:v>21</x:v>
      </x:c>
    </x:row>
    <x:row r="357" ht="22" customHeight="1">
      <x:c r="A357" s="17" t="str">
        <x:f>"03498500"</x:f>
        <x:v>03498500</x:v>
      </x:c>
      <x:c r="B357" s="13" t="n">
        <x:v>42</x:v>
      </x:c>
      <x:c r="C357" s="22" t="b">
        <x:v>0</x:v>
      </x:c>
      <x:c r="D357" s="11" t="n">
        <x:v>0.34019084177606407</x:v>
      </x:c>
      <x:c r="E357" s="11" t="n">
        <x:v>0.33620547533902234</x:v>
      </x:c>
      <x:c r="F357" s="11" t="n">
        <x:v>0.16225199802027623</x:v>
      </x:c>
      <x:c r="G357" s="11" t="n">
        <x:v>0.003985366437041726</x:v>
      </x:c>
      <x:c r="H357" s="11" t="n">
        <x:v>0.17793884375578783</x:v>
      </x:c>
      <x:c r="I357" s="11" t="n">
        <x:v>1</x:v>
      </x:c>
      <x:c r="J357" s="13" t="n">
        <x:v>17</x:v>
      </x:c>
      <x:c r="K357" s="22" t="b">
        <x:v>1</x:v>
      </x:c>
      <x:c r="L357" s="13" t="n">
        <x:v>73</x:v>
      </x:c>
      <x:c r="M357" s="13" t="n">
        <x:v>25</x:v>
      </x:c>
    </x:row>
    <x:row r="358" ht="22" customHeight="1">
      <x:c r="A358" s="17" t="str">
        <x:f>"03500000"</x:f>
        <x:v>03500000</x:v>
      </x:c>
      <x:c r="B358" s="13" t="n">
        <x:v>42</x:v>
      </x:c>
      <x:c r="C358" s="22" t="b">
        <x:v>1</x:v>
      </x:c>
      <x:c r="D358" s="11" t="n">
        <x:v>0.65790267451758</x:v>
      </x:c>
      <x:c r="E358" s="11" t="n">
        <x:v>0.5930453519838981</x:v>
      </x:c>
      <x:c r="F358" s="11" t="n">
        <x:v>0.5953877557166712</x:v>
      </x:c>
      <x:c r="G358" s="11" t="n">
        <x:v>0.06485732253368193</x:v>
      </x:c>
      <x:c r="H358" s="11" t="n">
        <x:v>0.06251491880090876</x:v>
      </x:c>
      <x:c r="I358" s="11"/>
      <x:c r="J358" s="13" t="n">
        <x:v>0</x:v>
      </x:c>
      <x:c r="K358" s="22" t="b">
        <x:v>0</x:v>
      </x:c>
      <x:c r="L358" s="13" t="n">
        <x:v>55</x:v>
      </x:c>
      <x:c r="M358" s="13" t="n">
        <x:v>18</x:v>
      </x:c>
    </x:row>
    <x:row r="359" ht="22" customHeight="1">
      <x:c r="A359" s="17" t="str">
        <x:f>"03500000"</x:f>
        <x:v>03500000</x:v>
      </x:c>
      <x:c r="B359" s="13" t="n">
        <x:v>42</x:v>
      </x:c>
      <x:c r="C359" s="22" t="b">
        <x:v>0</x:v>
      </x:c>
      <x:c r="D359" s="11" t="n">
        <x:v>0.4594393469731697</x:v>
      </x:c>
      <x:c r="E359" s="11" t="n">
        <x:v>0.292152069851503</x:v>
      </x:c>
      <x:c r="F359" s="11" t="n">
        <x:v>0.31589917062868655</x:v>
      </x:c>
      <x:c r="G359" s="11" t="n">
        <x:v>0.1672872771216667</x:v>
      </x:c>
      <x:c r="H359" s="11" t="n">
        <x:v>0.14354017634448313</x:v>
      </x:c>
      <x:c r="I359" s="11" t="n">
        <x:v>1</x:v>
      </x:c>
      <x:c r="J359" s="13" t="n">
        <x:v>15</x:v>
      </x:c>
      <x:c r="K359" s="22" t="b">
        <x:v>0</x:v>
      </x:c>
      <x:c r="L359" s="13" t="n">
        <x:v>95</x:v>
      </x:c>
      <x:c r="M359" s="13" t="n">
        <x:v>31</x:v>
      </x:c>
    </x:row>
    <x:row r="360" ht="22" customHeight="1">
      <x:c r="A360" s="17" t="str">
        <x:f>"03500240"</x:f>
        <x:v>03500240</x:v>
      </x:c>
      <x:c r="B360" s="13" t="n">
        <x:v>42</x:v>
      </x:c>
      <x:c r="C360" s="22" t="b">
        <x:v>1</x:v>
      </x:c>
      <x:c r="D360" s="11" t="n">
        <x:v>0.5837425264253986</x:v>
      </x:c>
      <x:c r="E360" s="11" t="n">
        <x:v>0.44238407154565895</x:v>
      </x:c>
      <x:c r="F360" s="11" t="n">
        <x:v>0.5551235163427157</x:v>
      </x:c>
      <x:c r="G360" s="11" t="n">
        <x:v>0.14135845487973964</x:v>
      </x:c>
      <x:c r="H360" s="11" t="n">
        <x:v>0.02861901008268286</x:v>
      </x:c>
      <x:c r="I360" s="11" t="n">
        <x:v>0</x:v>
      </x:c>
      <x:c r="J360" s="13" t="n">
        <x:v>13</x:v>
      </x:c>
      <x:c r="K360" s="22" t="b">
        <x:v>0</x:v>
      </x:c>
      <x:c r="L360" s="13" t="n">
        <x:v>63</x:v>
      </x:c>
      <x:c r="M360" s="13" t="n">
        <x:v>21</x:v>
      </x:c>
    </x:row>
    <x:row r="361" ht="22" customHeight="1">
      <x:c r="A361" s="17" t="str">
        <x:f>"03500240"</x:f>
        <x:v>03500240</x:v>
      </x:c>
      <x:c r="B361" s="13" t="n">
        <x:v>42</x:v>
      </x:c>
      <x:c r="C361" s="22" t="b">
        <x:v>0</x:v>
      </x:c>
      <x:c r="D361" s="11" t="n">
        <x:v>0.3941775579801905</x:v>
      </x:c>
      <x:c r="E361" s="11" t="n">
        <x:v>0.14503456865674436</x:v>
      </x:c>
      <x:c r="F361" s="11" t="n">
        <x:v>-0.04668513954558384</x:v>
      </x:c>
      <x:c r="G361" s="11" t="n">
        <x:v>0.24914298932344614</x:v>
      </x:c>
      <x:c r="H361" s="11" t="n">
        <x:v>0.44086269752577434</x:v>
      </x:c>
      <x:c r="I361" s="11" t="n">
        <x:v>0.47368421052631576</x:v>
      </x:c>
      <x:c r="J361" s="13" t="n">
        <x:v>19</x:v>
      </x:c>
      <x:c r="K361" s="22" t="b">
        <x:v>0</x:v>
      </x:c>
      <x:c r="L361" s="13" t="n">
        <x:v>86</x:v>
      </x:c>
      <x:c r="M361" s="13" t="n">
        <x:v>27</x:v>
      </x:c>
    </x:row>
    <x:row r="362" ht="22" customHeight="1">
      <x:c r="A362" s="17" t="str">
        <x:f>"03504000"</x:f>
        <x:v>03504000</x:v>
      </x:c>
      <x:c r="B362" s="13" t="n">
        <x:v>42</x:v>
      </x:c>
      <x:c r="C362" s="22" t="b">
        <x:v>1</x:v>
      </x:c>
      <x:c r="D362" s="11" t="n">
        <x:v>0.627669847704077</x:v>
      </x:c>
      <x:c r="E362" s="11" t="n">
        <x:v>0.5891180207425872</x:v>
      </x:c>
      <x:c r="F362" s="11" t="n">
        <x:v>0.604742446356602</x:v>
      </x:c>
      <x:c r="G362" s="11" t="n">
        <x:v>0.03855182696148973</x:v>
      </x:c>
      <x:c r="H362" s="11" t="n">
        <x:v>0.02292740134747495</x:v>
      </x:c>
      <x:c r="I362" s="11" t="n">
        <x:v>0.6</x:v>
      </x:c>
      <x:c r="J362" s="13" t="n">
        <x:v>20</x:v>
      </x:c>
      <x:c r="K362" s="22" t="b">
        <x:v>0</x:v>
      </x:c>
      <x:c r="L362" s="13" t="n">
        <x:v>140</x:v>
      </x:c>
      <x:c r="M362" s="13" t="n">
        <x:v>52</x:v>
      </x:c>
    </x:row>
    <x:row r="363" ht="22" customHeight="1">
      <x:c r="A363" s="17" t="str">
        <x:f>"03504000"</x:f>
        <x:v>03504000</x:v>
      </x:c>
      <x:c r="B363" s="13" t="n">
        <x:v>42</x:v>
      </x:c>
      <x:c r="C363" s="22" t="b">
        <x:v>0</x:v>
      </x:c>
      <x:c r="D363" s="11" t="n">
        <x:v>0.40723526696853285</x:v>
      </x:c>
      <x:c r="E363" s="11" t="n">
        <x:v>0.24805472950024843</x:v>
      </x:c>
      <x:c r="F363" s="11" t="n">
        <x:v>0.2376283019003722</x:v>
      </x:c>
      <x:c r="G363" s="11" t="n">
        <x:v>0.15918053746828442</x:v>
      </x:c>
      <x:c r="H363" s="11" t="n">
        <x:v>0.16960696506816064</x:v>
      </x:c>
      <x:c r="I363" s="11" t="n">
        <x:v>0.4</x:v>
      </x:c>
      <x:c r="J363" s="13" t="n">
        <x:v>20</x:v>
      </x:c>
      <x:c r="K363" s="22" t="b">
        <x:v>0</x:v>
      </x:c>
      <x:c r="L363" s="13" t="n">
        <x:v>105</x:v>
      </x:c>
      <x:c r="M363" s="13" t="n">
        <x:v>34</x:v>
      </x:c>
    </x:row>
    <x:row r="364" ht="22" customHeight="1">
      <x:c r="A364" s="17" t="str">
        <x:f>"03574500"</x:f>
        <x:v>03574500</x:v>
      </x:c>
      <x:c r="B364" s="13" t="n">
        <x:v>42</x:v>
      </x:c>
      <x:c r="C364" s="22" t="b">
        <x:v>1</x:v>
      </x:c>
      <x:c r="D364" s="11" t="n">
        <x:v>0.8825813606517723</x:v>
      </x:c>
      <x:c r="E364" s="11" t="n">
        <x:v>0.3351476097633076</x:v>
      </x:c>
      <x:c r="F364" s="11" t="n">
        <x:v>0.6906963055285715</x:v>
      </x:c>
      <x:c r="G364" s="11" t="n">
        <x:v>0.5474337508884647</x:v>
      </x:c>
      <x:c r="H364" s="11" t="n">
        <x:v>0.19188505512320075</x:v>
      </x:c>
      <x:c r="I364" s="11" t="n">
        <x:v>0.8125</x:v>
      </x:c>
      <x:c r="J364" s="13" t="n">
        <x:v>16</x:v>
      </x:c>
      <x:c r="K364" s="22" t="b">
        <x:v>0</x:v>
      </x:c>
      <x:c r="L364" s="13" t="n">
        <x:v>115</x:v>
      </x:c>
      <x:c r="M364" s="13" t="n">
        <x:v>38</x:v>
      </x:c>
    </x:row>
    <x:row r="365" ht="22" customHeight="1">
      <x:c r="A365" s="17" t="str">
        <x:f>"03574500"</x:f>
        <x:v>03574500</x:v>
      </x:c>
      <x:c r="B365" s="13" t="n">
        <x:v>42</x:v>
      </x:c>
      <x:c r="C365" s="22" t="b">
        <x:v>0</x:v>
      </x:c>
      <x:c r="D365" s="11" t="n">
        <x:v>0.752540645598366</x:v>
      </x:c>
      <x:c r="E365" s="11" t="n">
        <x:v>0.40537475233880194</x:v>
      </x:c>
      <x:c r="F365" s="11" t="n">
        <x:v>0.3551383254101933</x:v>
      </x:c>
      <x:c r="G365" s="11" t="n">
        <x:v>0.34716589325956404</x:v>
      </x:c>
      <x:c r="H365" s="11" t="n">
        <x:v>0.3974023201881727</x:v>
      </x:c>
      <x:c r="I365" s="11" t="n">
        <x:v>0</x:v>
      </x:c>
      <x:c r="J365" s="13" t="n">
        <x:v>18</x:v>
      </x:c>
      <x:c r="K365" s="22" t="b">
        <x:v>0</x:v>
      </x:c>
      <x:c r="L365" s="13" t="n">
        <x:v>119</x:v>
      </x:c>
      <x:c r="M365" s="13" t="n">
        <x:v>41</x:v>
      </x:c>
    </x:row>
    <x:row r="366" ht="22" customHeight="1">
      <x:c r="A366" s="17" t="str">
        <x:f>"03604000"</x:f>
        <x:v>03604000</x:v>
      </x:c>
      <x:c r="B366" s="13" t="n">
        <x:v>42</x:v>
      </x:c>
      <x:c r="C366" s="22" t="b">
        <x:v>1</x:v>
      </x:c>
      <x:c r="D366" s="11" t="n">
        <x:v>0.38021357783480747</x:v>
      </x:c>
      <x:c r="E366" s="11" t="n">
        <x:v>0.36644830639042325</x:v>
      </x:c>
      <x:c r="F366" s="11" t="n">
        <x:v>-0.5069409123093045</x:v>
      </x:c>
      <x:c r="G366" s="11" t="n">
        <x:v>0.01376527144438422</x:v>
      </x:c>
      <x:c r="H366" s="11" t="n">
        <x:v>0.887154490144112</x:v>
      </x:c>
      <x:c r="I366" s="11" t="n">
        <x:v>1</x:v>
      </x:c>
      <x:c r="J366" s="13" t="n">
        <x:v>20</x:v>
      </x:c>
      <x:c r="K366" s="22" t="b">
        <x:v>1</x:v>
      </x:c>
      <x:c r="L366" s="13" t="n">
        <x:v>160</x:v>
      </x:c>
      <x:c r="M366" s="13" t="n">
        <x:v>65</x:v>
      </x:c>
    </x:row>
    <x:row r="367" ht="22" customHeight="1">
      <x:c r="A367" s="17" t="str">
        <x:f>"03604000"</x:f>
        <x:v>03604000</x:v>
      </x:c>
      <x:c r="B367" s="13" t="n">
        <x:v>42</x:v>
      </x:c>
      <x:c r="C367" s="22" t="b">
        <x:v>0</x:v>
      </x:c>
      <x:c r="D367" s="11" t="n">
        <x:v>0.3437615290489864</x:v>
      </x:c>
      <x:c r="E367" s="11" t="n">
        <x:v>0.3216075557356386</x:v>
      </x:c>
      <x:c r="F367" s="11" t="n">
        <x:v>-0.7925429909595791</x:v>
      </x:c>
      <x:c r="G367" s="11" t="n">
        <x:v>0.022153973313347786</x:v>
      </x:c>
      <x:c r="H367" s="11" t="n">
        <x:v>1.1363045200085655</x:v>
      </x:c>
      <x:c r="I367" s="11" t="n">
        <x:v>1</x:v>
      </x:c>
      <x:c r="J367" s="13" t="n">
        <x:v>20</x:v>
      </x:c>
      <x:c r="K367" s="22" t="b">
        <x:v>1</x:v>
      </x:c>
      <x:c r="L367" s="13" t="n">
        <x:v>160</x:v>
      </x:c>
      <x:c r="M367" s="13" t="n">
        <x:v>65</x:v>
      </x:c>
    </x:row>
    <x:row r="368" ht="22" customHeight="1">
      <x:c r="A368" s="17" t="str">
        <x:f>"04015330"</x:f>
        <x:v>04015330</x:v>
      </x:c>
      <x:c r="B368" s="13" t="n">
        <x:v>42</x:v>
      </x:c>
      <x:c r="C368" s="22" t="b">
        <x:v>1</x:v>
      </x:c>
      <x:c r="D368" s="11" t="n">
        <x:v>0.395184500576128</x:v>
      </x:c>
      <x:c r="E368" s="11" t="n">
        <x:v>0.3932377191624197</x:v>
      </x:c>
      <x:c r="F368" s="11" t="n">
        <x:v>0.3659489529509</x:v>
      </x:c>
      <x:c r="G368" s="11" t="n">
        <x:v>0.0019467814137082984</x:v>
      </x:c>
      <x:c r="H368" s="11" t="n">
        <x:v>0.029235547625227953</x:v>
      </x:c>
      <x:c r="I368" s="11" t="n">
        <x:v>0.10526315789473684</x:v>
      </x:c>
      <x:c r="J368" s="13" t="n">
        <x:v>19</x:v>
      </x:c>
      <x:c r="K368" s="22" t="b">
        <x:v>0</x:v>
      </x:c>
      <x:c r="L368" s="13" t="n">
        <x:v>129</x:v>
      </x:c>
      <x:c r="M368" s="13" t="n">
        <x:v>45</x:v>
      </x:c>
    </x:row>
    <x:row r="369" ht="22" customHeight="1">
      <x:c r="A369" s="17" t="str">
        <x:f>"04015330"</x:f>
        <x:v>04015330</x:v>
      </x:c>
      <x:c r="B369" s="13" t="n">
        <x:v>42</x:v>
      </x:c>
      <x:c r="C369" s="22" t="b">
        <x:v>0</x:v>
      </x:c>
      <x:c r="D369" s="11" t="n">
        <x:v>0.254658154074473</x:v>
      </x:c>
      <x:c r="E369" s="11" t="n">
        <x:v>0.237044234641263</x:v>
      </x:c>
      <x:c r="F369" s="11" t="n">
        <x:v>0.04046366590396544</x:v>
      </x:c>
      <x:c r="G369" s="11" t="n">
        <x:v>0.01761391943321</x:v>
      </x:c>
      <x:c r="H369" s="11" t="n">
        <x:v>0.21419448817050757</x:v>
      </x:c>
      <x:c r="I369" s="11" t="n">
        <x:v>0.85</x:v>
      </x:c>
      <x:c r="J369" s="13" t="n">
        <x:v>20</x:v>
      </x:c>
      <x:c r="K369" s="22" t="b">
        <x:v>1</x:v>
      </x:c>
      <x:c r="L369" s="13" t="n">
        <x:v>127</x:v>
      </x:c>
      <x:c r="M369" s="13" t="n">
        <x:v>45</x:v>
      </x:c>
    </x:row>
    <x:row r="370" ht="22" customHeight="1">
      <x:c r="A370" s="17" t="str">
        <x:f>"04024430"</x:f>
        <x:v>04024430</x:v>
      </x:c>
      <x:c r="B370" s="13" t="n">
        <x:v>42</x:v>
      </x:c>
      <x:c r="C370" s="22" t="b">
        <x:v>1</x:v>
      </x:c>
      <x:c r="D370" s="11" t="n">
        <x:v>0.7167715865709912</x:v>
      </x:c>
      <x:c r="E370" s="11" t="n">
        <x:v>0.7149305240208811</x:v>
      </x:c>
      <x:c r="F370" s="11" t="n">
        <x:v>0.6519812400684373</x:v>
      </x:c>
      <x:c r="G370" s="11" t="n">
        <x:v>0.001841062550110073</x:v>
      </x:c>
      <x:c r="H370" s="11" t="n">
        <x:v>0.06479034650255389</x:v>
      </x:c>
      <x:c r="I370" s="11"/>
      <x:c r="J370" s="13" t="n">
        <x:v>0</x:v>
      </x:c>
      <x:c r="K370" s="22" t="b">
        <x:v>0</x:v>
      </x:c>
      <x:c r="L370" s="13" t="n">
        <x:v>92</x:v>
      </x:c>
      <x:c r="M370" s="13" t="n">
        <x:v>30</x:v>
      </x:c>
    </x:row>
    <x:row r="371" ht="22" customHeight="1">
      <x:c r="A371" s="17" t="str">
        <x:f>"04024430"</x:f>
        <x:v>04024430</x:v>
      </x:c>
      <x:c r="B371" s="13" t="n">
        <x:v>42</x:v>
      </x:c>
      <x:c r="C371" s="22" t="b">
        <x:v>0</x:v>
      </x:c>
      <x:c r="D371" s="11" t="n">
        <x:v>0.4686540162083036</x:v>
      </x:c>
      <x:c r="E371" s="11" t="n">
        <x:v>0.46136970644175346</x:v>
      </x:c>
      <x:c r="F371" s="11" t="n">
        <x:v>0.2621740465187923</x:v>
      </x:c>
      <x:c r="G371" s="11" t="n">
        <x:v>0.0072843097665501455</x:v>
      </x:c>
      <x:c r="H371" s="11" t="n">
        <x:v>0.20647996968951132</x:v>
      </x:c>
      <x:c r="I371" s="11" t="n">
        <x:v>1</x:v>
      </x:c>
      <x:c r="J371" s="13" t="n">
        <x:v>20</x:v>
      </x:c>
      <x:c r="K371" s="22" t="b">
        <x:v>1</x:v>
      </x:c>
      <x:c r="L371" s="13" t="n">
        <x:v>124</x:v>
      </x:c>
      <x:c r="M371" s="13" t="n">
        <x:v>45</x:v>
      </x:c>
    </x:row>
    <x:row r="372" ht="22" customHeight="1">
      <x:c r="A372" s="17" t="str">
        <x:f>"04027000"</x:f>
        <x:v>04027000</x:v>
      </x:c>
      <x:c r="B372" s="13" t="n">
        <x:v>42</x:v>
      </x:c>
      <x:c r="C372" s="22" t="b">
        <x:v>1</x:v>
      </x:c>
      <x:c r="D372" s="11" t="n">
        <x:v>0.8674038730388551</x:v>
      </x:c>
      <x:c r="E372" s="11" t="n">
        <x:v>0.8235468615871604</x:v>
      </x:c>
      <x:c r="F372" s="11" t="n">
        <x:v>0.8362218965785979</x:v>
      </x:c>
      <x:c r="G372" s="11" t="n">
        <x:v>0.04385701145169474</x:v>
      </x:c>
      <x:c r="H372" s="11" t="n">
        <x:v>0.03118197646025722</x:v>
      </x:c>
      <x:c r="I372" s="11" t="n">
        <x:v>0</x:v>
      </x:c>
      <x:c r="J372" s="13" t="n">
        <x:v>9</x:v>
      </x:c>
      <x:c r="K372" s="22" t="b">
        <x:v>0</x:v>
      </x:c>
      <x:c r="L372" s="13" t="n">
        <x:v>101</x:v>
      </x:c>
      <x:c r="M372" s="13" t="n">
        <x:v>40</x:v>
      </x:c>
    </x:row>
    <x:row r="373" ht="22" customHeight="1">
      <x:c r="A373" s="17" t="str">
        <x:f>"04027000"</x:f>
        <x:v>04027000</x:v>
      </x:c>
      <x:c r="B373" s="13" t="n">
        <x:v>42</x:v>
      </x:c>
      <x:c r="C373" s="22" t="b">
        <x:v>0</x:v>
      </x:c>
      <x:c r="D373" s="11" t="n">
        <x:v>0.5840261512932448</x:v>
      </x:c>
      <x:c r="E373" s="11" t="n">
        <x:v>0.6080786559723907</x:v>
      </x:c>
      <x:c r="F373" s="11" t="n">
        <x:v>0.05574319410927275</x:v>
      </x:c>
      <x:c r="G373" s="11" t="n">
        <x:v>-0.024052504679145992</x:v>
      </x:c>
      <x:c r="H373" s="11" t="n">
        <x:v>0.528282957183972</x:v>
      </x:c>
      <x:c r="I373" s="11" t="n">
        <x:v>1</x:v>
      </x:c>
      <x:c r="J373" s="13" t="n">
        <x:v>20</x:v>
      </x:c>
      <x:c r="K373" s="22" t="b">
        <x:v>1</x:v>
      </x:c>
      <x:c r="L373" s="13" t="n">
        <x:v>174</x:v>
      </x:c>
      <x:c r="M373" s="13" t="n">
        <x:v>78</x:v>
      </x:c>
    </x:row>
    <x:row r="374" ht="22" customHeight="1">
      <x:c r="A374" s="17" t="str">
        <x:f>"04040500"</x:f>
        <x:v>04040500</x:v>
      </x:c>
      <x:c r="B374" s="13" t="n">
        <x:v>42</x:v>
      </x:c>
      <x:c r="C374" s="22" t="b">
        <x:v>1</x:v>
      </x:c>
      <x:c r="D374" s="11" t="n">
        <x:v>0.9514215400191293</x:v>
      </x:c>
      <x:c r="E374" s="11" t="n">
        <x:v>0.8544287637048567</x:v>
      </x:c>
      <x:c r="F374" s="11" t="n">
        <x:v>0.575649687612086</x:v>
      </x:c>
      <x:c r="G374" s="11" t="n">
        <x:v>0.09699277631427261</x:v>
      </x:c>
      <x:c r="H374" s="11" t="n">
        <x:v>0.37577185240704325</x:v>
      </x:c>
      <x:c r="I374" s="11" t="n">
        <x:v>0.9</x:v>
      </x:c>
      <x:c r="J374" s="13" t="n">
        <x:v>20</x:v>
      </x:c>
      <x:c r="K374" s="22" t="b">
        <x:v>0</x:v>
      </x:c>
      <x:c r="L374" s="13" t="n">
        <x:v>81</x:v>
      </x:c>
      <x:c r="M374" s="13" t="n">
        <x:v>26</x:v>
      </x:c>
    </x:row>
    <x:row r="375" ht="22" customHeight="1">
      <x:c r="A375" s="17" t="str">
        <x:f>"04040500"</x:f>
        <x:v>04040500</x:v>
      </x:c>
      <x:c r="B375" s="13" t="n">
        <x:v>42</x:v>
      </x:c>
      <x:c r="C375" s="22" t="b">
        <x:v>0</x:v>
      </x:c>
      <x:c r="D375" s="11" t="n">
        <x:v>0.650811995354375</x:v>
      </x:c>
      <x:c r="E375" s="11" t="n">
        <x:v>0.6452620316788021</x:v>
      </x:c>
      <x:c r="F375" s="11" t="n">
        <x:v>-0.6100846872225139</x:v>
      </x:c>
      <x:c r="G375" s="11" t="n">
        <x:v>0.005549963675572811</x:v>
      </x:c>
      <x:c r="H375" s="11" t="n">
        <x:v>1.2608966825768888</x:v>
      </x:c>
      <x:c r="I375" s="11" t="n">
        <x:v>0.95</x:v>
      </x:c>
      <x:c r="J375" s="13" t="n">
        <x:v>20</x:v>
      </x:c>
      <x:c r="K375" s="22" t="b">
        <x:v>1</x:v>
      </x:c>
      <x:c r="L375" s="13" t="n">
        <x:v>226</x:v>
      </x:c>
      <x:c r="M375" s="13" t="n">
        <x:v>130</x:v>
      </x:c>
    </x:row>
    <x:row r="376" ht="22" customHeight="1">
      <x:c r="A376" s="17" t="str">
        <x:f>"04043050"</x:f>
        <x:v>04043050</x:v>
      </x:c>
      <x:c r="B376" s="13" t="n">
        <x:v>42</x:v>
      </x:c>
      <x:c r="C376" s="22" t="b">
        <x:v>1</x:v>
      </x:c>
      <x:c r="D376" s="11" t="n">
        <x:v>0.8222791454367742</x:v>
      </x:c>
      <x:c r="E376" s="11" t="n">
        <x:v>0.8075884011312476</x:v>
      </x:c>
      <x:c r="F376" s="11" t="n">
        <x:v>0.7071363573738758</x:v>
      </x:c>
      <x:c r="G376" s="11" t="n">
        <x:v>0.014690744305526526</x:v>
      </x:c>
      <x:c r="H376" s="11" t="n">
        <x:v>0.11514278806289835</x:v>
      </x:c>
      <x:c r="I376" s="11" t="n">
        <x:v>1</x:v>
      </x:c>
      <x:c r="J376" s="13" t="n">
        <x:v>16</x:v>
      </x:c>
      <x:c r="K376" s="22" t="b">
        <x:v>1</x:v>
      </x:c>
      <x:c r="L376" s="13" t="n">
        <x:v>93</x:v>
      </x:c>
      <x:c r="M376" s="13" t="n">
        <x:v>30</x:v>
      </x:c>
    </x:row>
    <x:row r="377" ht="22" customHeight="1">
      <x:c r="A377" s="17" t="str">
        <x:f>"04043050"</x:f>
        <x:v>04043050</x:v>
      </x:c>
      <x:c r="B377" s="13" t="n">
        <x:v>42</x:v>
      </x:c>
      <x:c r="C377" s="22" t="b">
        <x:v>0</x:v>
      </x:c>
      <x:c r="D377" s="11" t="n">
        <x:v>0.5292423085244804</x:v>
      </x:c>
      <x:c r="E377" s="11" t="n">
        <x:v>0.5071917008742348</x:v>
      </x:c>
      <x:c r="F377" s="11" t="n">
        <x:v>-0.8929016167001602</x:v>
      </x:c>
      <x:c r="G377" s="11" t="n">
        <x:v>0.02205060765024558</x:v>
      </x:c>
      <x:c r="H377" s="11" t="n">
        <x:v>1.4221439252246406</x:v>
      </x:c>
      <x:c r="I377" s="11" t="n">
        <x:v>1</x:v>
      </x:c>
      <x:c r="J377" s="13" t="n">
        <x:v>20</x:v>
      </x:c>
      <x:c r="K377" s="22" t="b">
        <x:v>1</x:v>
      </x:c>
      <x:c r="L377" s="13" t="n">
        <x:v>133</x:v>
      </x:c>
      <x:c r="M377" s="13" t="n">
        <x:v>47</x:v>
      </x:c>
    </x:row>
    <x:row r="378" ht="22" customHeight="1">
      <x:c r="A378" s="17" t="str">
        <x:f>"04045500"</x:f>
        <x:v>04045500</x:v>
      </x:c>
      <x:c r="B378" s="13" t="n">
        <x:v>42</x:v>
      </x:c>
      <x:c r="C378" s="22" t="b">
        <x:v>1</x:v>
      </x:c>
      <x:c r="D378" s="11" t="n">
        <x:v>0.9959957069384003</x:v>
      </x:c>
      <x:c r="E378" s="11" t="n">
        <x:v>0.9883447242573343</x:v>
      </x:c>
      <x:c r="F378" s="11" t="n">
        <x:v>0.8469646474508105</x:v>
      </x:c>
      <x:c r="G378" s="11" t="n">
        <x:v>0.00765098268106601</x:v>
      </x:c>
      <x:c r="H378" s="11" t="n">
        <x:v>0.14903105948758988</x:v>
      </x:c>
      <x:c r="I378" s="11"/>
      <x:c r="J378" s="13" t="n">
        <x:v>0</x:v>
      </x:c>
      <x:c r="K378" s="22" t="b">
        <x:v>0</x:v>
      </x:c>
      <x:c r="L378" s="13" t="n">
        <x:v>30</x:v>
      </x:c>
      <x:c r="M378" s="13" t="n">
        <x:v>12</x:v>
      </x:c>
    </x:row>
    <x:row r="379" ht="22" customHeight="1">
      <x:c r="A379" s="17" t="str">
        <x:f>"04045500"</x:f>
        <x:v>04045500</x:v>
      </x:c>
      <x:c r="B379" s="13" t="n">
        <x:v>42</x:v>
      </x:c>
      <x:c r="C379" s="22" t="b">
        <x:v>0</x:v>
      </x:c>
      <x:c r="D379" s="11" t="n">
        <x:v>0.5902829208618188</x:v>
      </x:c>
      <x:c r="E379" s="11" t="n">
        <x:v>0.6889089897213372</x:v>
      </x:c>
      <x:c r="F379" s="11" t="n">
        <x:v>0.2164450897244128</x:v>
      </x:c>
      <x:c r="G379" s="11" t="n">
        <x:v>-0.09862606885951841</x:v>
      </x:c>
      <x:c r="H379" s="11" t="n">
        <x:v>0.373837831137406</x:v>
      </x:c>
      <x:c r="I379" s="11" t="n">
        <x:v>0.95</x:v>
      </x:c>
      <x:c r="J379" s="13" t="n">
        <x:v>20</x:v>
      </x:c>
      <x:c r="K379" s="22" t="b">
        <x:v>1</x:v>
      </x:c>
      <x:c r="L379" s="13" t="n">
        <x:v>157</x:v>
      </x:c>
      <x:c r="M379" s="13" t="n">
        <x:v>66</x:v>
      </x:c>
    </x:row>
    <x:row r="380" ht="22" customHeight="1">
      <x:c r="A380" s="17" t="str">
        <x:f>"04056500"</x:f>
        <x:v>04056500</x:v>
      </x:c>
      <x:c r="B380" s="13" t="n">
        <x:v>42</x:v>
      </x:c>
      <x:c r="C380" s="22" t="b">
        <x:v>1</x:v>
      </x:c>
      <x:c r="D380" s="11" t="n">
        <x:v>0.9953146940635177</x:v>
      </x:c>
      <x:c r="E380" s="11" t="n">
        <x:v>0.9785602422895567</x:v>
      </x:c>
      <x:c r="F380" s="11" t="n">
        <x:v>0.6153335040418826</x:v>
      </x:c>
      <x:c r="G380" s="11" t="n">
        <x:v>0.016754451773960954</x:v>
      </x:c>
      <x:c r="H380" s="11" t="n">
        <x:v>0.3799811900216351</x:v>
      </x:c>
      <x:c r="I380" s="11" t="n">
        <x:v>1</x:v>
      </x:c>
      <x:c r="J380" s="13" t="n">
        <x:v>9</x:v>
      </x:c>
      <x:c r="K380" s="22" t="b">
        <x:v>1</x:v>
      </x:c>
      <x:c r="L380" s="13" t="n">
        <x:v>39</x:v>
      </x:c>
      <x:c r="M380" s="13" t="n">
        <x:v>15</x:v>
      </x:c>
    </x:row>
    <x:row r="381" ht="22" customHeight="1">
      <x:c r="A381" s="17" t="str">
        <x:f>"04056500"</x:f>
        <x:v>04056500</x:v>
      </x:c>
      <x:c r="B381" s="13" t="n">
        <x:v>42</x:v>
      </x:c>
      <x:c r="C381" s="22" t="b">
        <x:v>0</x:v>
      </x:c>
      <x:c r="D381" s="11" t="n">
        <x:v>0.478578311330324</x:v>
      </x:c>
      <x:c r="E381" s="11" t="n">
        <x:v>0.5770976800424883</x:v>
      </x:c>
      <x:c r="F381" s="11" t="n">
        <x:v>-1.2176383756165947</x:v>
      </x:c>
      <x:c r="G381" s="11" t="n">
        <x:v>-0.09851936871216427</x:v>
      </x:c>
      <x:c r="H381" s="11" t="n">
        <x:v>1.6962166869469186</x:v>
      </x:c>
      <x:c r="I381" s="11" t="n">
        <x:v>0.4</x:v>
      </x:c>
      <x:c r="J381" s="13" t="n">
        <x:v>20</x:v>
      </x:c>
      <x:c r="K381" s="22" t="b">
        <x:v>0</x:v>
      </x:c>
      <x:c r="L381" s="13" t="n">
        <x:v>179</x:v>
      </x:c>
      <x:c r="M381" s="13" t="n">
        <x:v>83</x:v>
      </x:c>
    </x:row>
    <x:row r="382" ht="22" customHeight="1">
      <x:c r="A382" s="17" t="str">
        <x:f>"04057510"</x:f>
        <x:v>04057510</x:v>
      </x:c>
      <x:c r="B382" s="13" t="n">
        <x:v>42</x:v>
      </x:c>
      <x:c r="C382" s="22" t="b">
        <x:v>1</x:v>
      </x:c>
      <x:c r="D382" s="11" t="n">
        <x:v>0.9489968228387798</x:v>
      </x:c>
      <x:c r="E382" s="11" t="n">
        <x:v>0.9296056420194498</x:v>
      </x:c>
      <x:c r="F382" s="11" t="n">
        <x:v>0.5579301513419546</x:v>
      </x:c>
      <x:c r="G382" s="11" t="n">
        <x:v>0.01939118081933</x:v>
      </x:c>
      <x:c r="H382" s="11" t="n">
        <x:v>0.3910666714968253</x:v>
      </x:c>
      <x:c r="I382" s="11" t="n">
        <x:v>1</x:v>
      </x:c>
      <x:c r="J382" s="13" t="n">
        <x:v>10</x:v>
      </x:c>
      <x:c r="K382" s="22" t="b">
        <x:v>1</x:v>
      </x:c>
      <x:c r="L382" s="13" t="n">
        <x:v>68</x:v>
      </x:c>
      <x:c r="M382" s="13" t="n">
        <x:v>23</x:v>
      </x:c>
    </x:row>
    <x:row r="383" ht="22" customHeight="1">
      <x:c r="A383" s="17" t="str">
        <x:f>"04057510"</x:f>
        <x:v>04057510</x:v>
      </x:c>
      <x:c r="B383" s="13" t="n">
        <x:v>42</x:v>
      </x:c>
      <x:c r="C383" s="22" t="b">
        <x:v>0</x:v>
      </x:c>
      <x:c r="D383" s="11" t="n">
        <x:v>0.5525788794494284</x:v>
      </x:c>
      <x:c r="E383" s="11" t="n">
        <x:v>0.610249960944139</x:v>
      </x:c>
      <x:c r="F383" s="11" t="n">
        <x:v>-1.7498345673588638</x:v>
      </x:c>
      <x:c r="G383" s="11" t="n">
        <x:v>-0.05767108149471056</x:v>
      </x:c>
      <x:c r="H383" s="11" t="n">
        <x:v>2.302413446808292</x:v>
      </x:c>
      <x:c r="I383" s="11" t="n">
        <x:v>1</x:v>
      </x:c>
      <x:c r="J383" s="13" t="n">
        <x:v>20</x:v>
      </x:c>
      <x:c r="K383" s="22" t="b">
        <x:v>1</x:v>
      </x:c>
      <x:c r="L383" s="13" t="n">
        <x:v>166</x:v>
      </x:c>
      <x:c r="M383" s="13" t="n">
        <x:v>76</x:v>
      </x:c>
    </x:row>
    <x:row r="384" ht="22" customHeight="1">
      <x:c r="A384" s="17" t="str">
        <x:f>"04057800"</x:f>
        <x:v>04057800</x:v>
      </x:c>
      <x:c r="B384" s="13" t="n">
        <x:v>42</x:v>
      </x:c>
      <x:c r="C384" s="22" t="b">
        <x:v>1</x:v>
      </x:c>
      <x:c r="D384" s="11" t="n">
        <x:v>0.9343205649907499</x:v>
      </x:c>
      <x:c r="E384" s="11" t="n">
        <x:v>0.8977800003311754</x:v>
      </x:c>
      <x:c r="F384" s="11" t="n">
        <x:v>0.43999323839908955</x:v>
      </x:c>
      <x:c r="G384" s="11" t="n">
        <x:v>0.03654056465957445</x:v>
      </x:c>
      <x:c r="H384" s="11" t="n">
        <x:v>0.49432732659166034</x:v>
      </x:c>
      <x:c r="I384" s="11" t="n">
        <x:v>0.7368421052631579</x:v>
      </x:c>
      <x:c r="J384" s="13" t="n">
        <x:v>19</x:v>
      </x:c>
      <x:c r="K384" s="22" t="b">
        <x:v>0</x:v>
      </x:c>
      <x:c r="L384" s="13" t="n">
        <x:v>117</x:v>
      </x:c>
      <x:c r="M384" s="13" t="n">
        <x:v>39</x:v>
      </x:c>
    </x:row>
    <x:row r="385" ht="22" customHeight="1">
      <x:c r="A385" s="17" t="str">
        <x:f>"04057800"</x:f>
        <x:v>04057800</x:v>
      </x:c>
      <x:c r="B385" s="13" t="n">
        <x:v>42</x:v>
      </x:c>
      <x:c r="C385" s="22" t="b">
        <x:v>0</x:v>
      </x:c>
      <x:c r="D385" s="11" t="n">
        <x:v>0.513557787236703</x:v>
      </x:c>
      <x:c r="E385" s="11" t="n">
        <x:v>0.5749307416097889</x:v>
      </x:c>
      <x:c r="F385" s="11" t="n">
        <x:v>-1.7887640530406337</x:v>
      </x:c>
      <x:c r="G385" s="11" t="n">
        <x:v>-0.061372954373085875</x:v>
      </x:c>
      <x:c r="H385" s="11" t="n">
        <x:v>2.3023218402773367</x:v>
      </x:c>
      <x:c r="I385" s="11" t="n">
        <x:v>0.7</x:v>
      </x:c>
      <x:c r="J385" s="13" t="n">
        <x:v>20</x:v>
      </x:c>
      <x:c r="K385" s="22" t="b">
        <x:v>0</x:v>
      </x:c>
      <x:c r="L385" s="13" t="n">
        <x:v>163</x:v>
      </x:c>
      <x:c r="M385" s="13" t="n">
        <x:v>68</x:v>
      </x:c>
    </x:row>
    <x:row r="386" ht="22" customHeight="1">
      <x:c r="A386" s="17" t="str">
        <x:f>"04059500"</x:f>
        <x:v>04059500</x:v>
      </x:c>
      <x:c r="B386" s="13" t="n">
        <x:v>42</x:v>
      </x:c>
      <x:c r="C386" s="22" t="b">
        <x:v>1</x:v>
      </x:c>
      <x:c r="D386" s="11" t="n">
        <x:v>0.9590311850311104</x:v>
      </x:c>
      <x:c r="E386" s="11" t="n">
        <x:v>0.9439911964440297</x:v>
      </x:c>
      <x:c r="F386" s="11" t="n">
        <x:v>0.5763893281495868</x:v>
      </x:c>
      <x:c r="G386" s="11" t="n">
        <x:v>0.015039988587080666</x:v>
      </x:c>
      <x:c r="H386" s="11" t="n">
        <x:v>0.38264185688152363</x:v>
      </x:c>
      <x:c r="I386" s="11" t="n">
        <x:v>1</x:v>
      </x:c>
      <x:c r="J386" s="13" t="n">
        <x:v>20</x:v>
      </x:c>
      <x:c r="K386" s="22" t="b">
        <x:v>1</x:v>
      </x:c>
      <x:c r="L386" s="13" t="n">
        <x:v>143</x:v>
      </x:c>
      <x:c r="M386" s="13" t="n">
        <x:v>54</x:v>
      </x:c>
    </x:row>
    <x:row r="387" ht="22" customHeight="1">
      <x:c r="A387" s="17" t="str">
        <x:f>"04059500"</x:f>
        <x:v>04059500</x:v>
      </x:c>
      <x:c r="B387" s="13" t="n">
        <x:v>42</x:v>
      </x:c>
      <x:c r="C387" s="22" t="b">
        <x:v>0</x:v>
      </x:c>
      <x:c r="D387" s="11" t="n">
        <x:v>0.5829510139765257</x:v>
      </x:c>
      <x:c r="E387" s="11" t="n">
        <x:v>0.6294313887673613</x:v>
      </x:c>
      <x:c r="F387" s="11" t="n">
        <x:v>-0.6786349712043924</x:v>
      </x:c>
      <x:c r="G387" s="11" t="n">
        <x:v>-0.046480374790835555</x:v>
      </x:c>
      <x:c r="H387" s="11" t="n">
        <x:v>1.2615859851809181</x:v>
      </x:c>
      <x:c r="I387" s="11" t="n">
        <x:v>0.75</x:v>
      </x:c>
      <x:c r="J387" s="13" t="n">
        <x:v>20</x:v>
      </x:c>
      <x:c r="K387" s="22" t="b">
        <x:v>0</x:v>
      </x:c>
      <x:c r="L387" s="13" t="n">
        <x:v>147</x:v>
      </x:c>
      <x:c r="M387" s="13" t="n">
        <x:v>59</x:v>
      </x:c>
    </x:row>
    <x:row r="388" ht="22" customHeight="1">
      <x:c r="A388" s="17" t="str">
        <x:f>"04063700"</x:f>
        <x:v>04063700</x:v>
      </x:c>
      <x:c r="B388" s="13" t="n">
        <x:v>42</x:v>
      </x:c>
      <x:c r="C388" s="22" t="b">
        <x:v>1</x:v>
      </x:c>
      <x:c r="D388" s="11" t="n">
        <x:v>0.9815332101754788</x:v>
      </x:c>
      <x:c r="E388" s="11" t="n">
        <x:v>0.965152886761833</x:v>
      </x:c>
      <x:c r="F388" s="11" t="n">
        <x:v>0.1695605690192874</x:v>
      </x:c>
      <x:c r="G388" s="11" t="n">
        <x:v>0.016380323413645814</x:v>
      </x:c>
      <x:c r="H388" s="11" t="n">
        <x:v>0.8119726411561914</x:v>
      </x:c>
      <x:c r="I388" s="11"/>
      <x:c r="J388" s="13" t="n">
        <x:v>0</x:v>
      </x:c>
      <x:c r="K388" s="22" t="b">
        <x:v>0</x:v>
      </x:c>
      <x:c r="L388" s="13" t="n">
        <x:v>64</x:v>
      </x:c>
      <x:c r="M388" s="13" t="n">
        <x:v>21</x:v>
      </x:c>
    </x:row>
    <x:row r="389" ht="22" customHeight="1">
      <x:c r="A389" s="17" t="str">
        <x:f>"04063700"</x:f>
        <x:v>04063700</x:v>
      </x:c>
      <x:c r="B389" s="13" t="n">
        <x:v>42</x:v>
      </x:c>
      <x:c r="C389" s="22" t="b">
        <x:v>0</x:v>
      </x:c>
      <x:c r="D389" s="11" t="n">
        <x:v>0.6626189082020058</x:v>
      </x:c>
      <x:c r="E389" s="11" t="n">
        <x:v>0.5534030385260273</x:v>
      </x:c>
      <x:c r="F389" s="11" t="n">
        <x:v>-4.623174432177215</x:v>
      </x:c>
      <x:c r="G389" s="11" t="n">
        <x:v>0.1092158696759784</x:v>
      </x:c>
      <x:c r="H389" s="11" t="n">
        <x:v>5.28579334037922</x:v>
      </x:c>
      <x:c r="I389" s="11" t="n">
        <x:v>0.5789473684210527</x:v>
      </x:c>
      <x:c r="J389" s="13" t="n">
        <x:v>19</x:v>
      </x:c>
      <x:c r="K389" s="22" t="b">
        <x:v>0</x:v>
      </x:c>
      <x:c r="L389" s="13" t="n">
        <x:v>127</x:v>
      </x:c>
      <x:c r="M389" s="13" t="n">
        <x:v>45</x:v>
      </x:c>
    </x:row>
    <x:row r="390" ht="22" customHeight="1">
      <x:c r="A390" s="17" t="str">
        <x:f>"04105700"</x:f>
        <x:v>04105700</x:v>
      </x:c>
      <x:c r="B390" s="13" t="n">
        <x:v>42</x:v>
      </x:c>
      <x:c r="C390" s="22" t="b">
        <x:v>1</x:v>
      </x:c>
      <x:c r="D390" s="11" t="n">
        <x:v>0.8683511278366157</x:v>
      </x:c>
      <x:c r="E390" s="11" t="n">
        <x:v>0.7995506957171772</x:v>
      </x:c>
      <x:c r="F390" s="11" t="n">
        <x:v>0.815510217287545</x:v>
      </x:c>
      <x:c r="G390" s="11" t="n">
        <x:v>0.06880043211943854</x:v>
      </x:c>
      <x:c r="H390" s="11" t="n">
        <x:v>0.052840910549070697</x:v>
      </x:c>
      <x:c r="I390" s="11" t="n">
        <x:v>1</x:v>
      </x:c>
      <x:c r="J390" s="13" t="n">
        <x:v>19</x:v>
      </x:c>
      <x:c r="K390" s="22" t="b">
        <x:v>0</x:v>
      </x:c>
      <x:c r="L390" s="13" t="n">
        <x:v>78</x:v>
      </x:c>
      <x:c r="M390" s="13" t="n">
        <x:v>25</x:v>
      </x:c>
    </x:row>
    <x:row r="391" ht="22" customHeight="1">
      <x:c r="A391" s="17" t="str">
        <x:f>"04105700"</x:f>
        <x:v>04105700</x:v>
      </x:c>
      <x:c r="B391" s="13" t="n">
        <x:v>42</x:v>
      </x:c>
      <x:c r="C391" s="22" t="b">
        <x:v>0</x:v>
      </x:c>
      <x:c r="D391" s="11" t="n">
        <x:v>0.6344776848236584</x:v>
      </x:c>
      <x:c r="E391" s="11" t="n">
        <x:v>0.6456442132092451</x:v>
      </x:c>
      <x:c r="F391" s="11" t="n">
        <x:v>0.24116883655306476</x:v>
      </x:c>
      <x:c r="G391" s="11" t="n">
        <x:v>-0.011166528385586738</x:v>
      </x:c>
      <x:c r="H391" s="11" t="n">
        <x:v>0.39330884827059365</x:v>
      </x:c>
      <x:c r="I391" s="11" t="n">
        <x:v>0.7777777777777778</x:v>
      </x:c>
      <x:c r="J391" s="13" t="n">
        <x:v>18</x:v>
      </x:c>
      <x:c r="K391" s="22" t="b">
        <x:v>0</x:v>
      </x:c>
      <x:c r="L391" s="13" t="n">
        <x:v>97</x:v>
      </x:c>
      <x:c r="M391" s="13" t="n">
        <x:v>31</x:v>
      </x:c>
    </x:row>
    <x:row r="392" ht="22" customHeight="1">
      <x:c r="A392" s="17" t="str">
        <x:f>"04122200"</x:f>
        <x:v>04122200</x:v>
      </x:c>
      <x:c r="B392" s="13" t="n">
        <x:v>42</x:v>
      </x:c>
      <x:c r="C392" s="22" t="b">
        <x:v>1</x:v>
      </x:c>
      <x:c r="D392" s="11" t="n">
        <x:v>0.9339787940139647</x:v>
      </x:c>
      <x:c r="E392" s="11" t="n">
        <x:v>0.9256248805534475</x:v>
      </x:c>
      <x:c r="F392" s="11" t="n">
        <x:v>0.001301233783007505</x:v>
      </x:c>
      <x:c r="G392" s="11" t="n">
        <x:v>0.00835391346051717</x:v>
      </x:c>
      <x:c r="H392" s="11" t="n">
        <x:v>0.9326775602309572</x:v>
      </x:c>
      <x:c r="I392" s="11" t="n">
        <x:v>1</x:v>
      </x:c>
      <x:c r="J392" s="13" t="n">
        <x:v>8</x:v>
      </x:c>
      <x:c r="K392" s="22" t="b">
        <x:v>1</x:v>
      </x:c>
      <x:c r="L392" s="13" t="n">
        <x:v>73</x:v>
      </x:c>
      <x:c r="M392" s="13" t="n">
        <x:v>24</x:v>
      </x:c>
    </x:row>
    <x:row r="393" ht="22" customHeight="1">
      <x:c r="A393" s="17" t="str">
        <x:f>"04122200"</x:f>
        <x:v>04122200</x:v>
      </x:c>
      <x:c r="B393" s="13" t="n">
        <x:v>42</x:v>
      </x:c>
      <x:c r="C393" s="22" t="b">
        <x:v>0</x:v>
      </x:c>
      <x:c r="D393" s="11" t="n">
        <x:v>0.6801023442728941</x:v>
      </x:c>
      <x:c r="E393" s="11" t="n">
        <x:v>0.6559002438817012</x:v>
      </x:c>
      <x:c r="F393" s="11" t="n">
        <x:v>0.2273042588240064</x:v>
      </x:c>
      <x:c r="G393" s="11" t="n">
        <x:v>0.02420210039119286</x:v>
      </x:c>
      <x:c r="H393" s="11" t="n">
        <x:v>0.45279808544888767</x:v>
      </x:c>
      <x:c r="I393" s="11" t="n">
        <x:v>0.9</x:v>
      </x:c>
      <x:c r="J393" s="13" t="n">
        <x:v>20</x:v>
      </x:c>
      <x:c r="K393" s="22" t="b">
        <x:v>1</x:v>
      </x:c>
      <x:c r="L393" s="13" t="n">
        <x:v>174</x:v>
      </x:c>
      <x:c r="M393" s="13" t="n">
        <x:v>82</x:v>
      </x:c>
    </x:row>
    <x:row r="394" ht="22" customHeight="1">
      <x:c r="A394" s="17" t="str">
        <x:f>"04122500"</x:f>
        <x:v>04122500</x:v>
      </x:c>
      <x:c r="B394" s="13" t="n">
        <x:v>42</x:v>
      </x:c>
      <x:c r="C394" s="22" t="b">
        <x:v>1</x:v>
      </x:c>
      <x:c r="D394" s="11" t="n">
        <x:v>0.9751030027016697</x:v>
      </x:c>
      <x:c r="E394" s="11" t="n">
        <x:v>0.9595218226533334</x:v>
      </x:c>
      <x:c r="F394" s="11" t="n">
        <x:v>0.3546448007568631</x:v>
      </x:c>
      <x:c r="G394" s="11" t="n">
        <x:v>0.015581180048336307</x:v>
      </x:c>
      <x:c r="H394" s="11" t="n">
        <x:v>0.6204582019448066</x:v>
      </x:c>
      <x:c r="I394" s="11"/>
      <x:c r="J394" s="13" t="n">
        <x:v>0</x:v>
      </x:c>
      <x:c r="K394" s="22" t="b">
        <x:v>0</x:v>
      </x:c>
      <x:c r="L394" s="13" t="n">
        <x:v>51</x:v>
      </x:c>
      <x:c r="M394" s="13" t="n">
        <x:v>18</x:v>
      </x:c>
    </x:row>
    <x:row r="395" ht="22" customHeight="1">
      <x:c r="A395" s="17" t="str">
        <x:f>"04122500"</x:f>
        <x:v>04122500</x:v>
      </x:c>
      <x:c r="B395" s="13" t="n">
        <x:v>42</x:v>
      </x:c>
      <x:c r="C395" s="22" t="b">
        <x:v>0</x:v>
      </x:c>
      <x:c r="D395" s="11" t="n">
        <x:v>0.7031034750108558</x:v>
      </x:c>
      <x:c r="E395" s="11" t="n">
        <x:v>0.6724613036851594</x:v>
      </x:c>
      <x:c r="F395" s="11" t="n">
        <x:v>0.09608073641372195</x:v>
      </x:c>
      <x:c r="G395" s="11" t="n">
        <x:v>0.030642171325696355</x:v>
      </x:c>
      <x:c r="H395" s="11" t="n">
        <x:v>0.6070227385971338</x:v>
      </x:c>
      <x:c r="I395" s="11" t="n">
        <x:v>0.95</x:v>
      </x:c>
      <x:c r="J395" s="13" t="n">
        <x:v>20</x:v>
      </x:c>
      <x:c r="K395" s="22" t="b">
        <x:v>1</x:v>
      </x:c>
      <x:c r="L395" s="13" t="n">
        <x:v>150</x:v>
      </x:c>
      <x:c r="M395" s="13" t="n">
        <x:v>58</x:v>
      </x:c>
    </x:row>
    <x:row r="396" ht="22" customHeight="1">
      <x:c r="A396" s="17" t="str">
        <x:f>"04124000"</x:f>
        <x:v>04124000</x:v>
      </x:c>
      <x:c r="B396" s="13" t="n">
        <x:v>42</x:v>
      </x:c>
      <x:c r="C396" s="22" t="b">
        <x:v>1</x:v>
      </x:c>
      <x:c r="D396" s="11" t="n">
        <x:v>0.9535612871861241</x:v>
      </x:c>
      <x:c r="E396" s="11" t="n">
        <x:v>0.9397668464916517</x:v>
      </x:c>
      <x:c r="F396" s="11" t="n">
        <x:v>0.8453210771651753</x:v>
      </x:c>
      <x:c r="G396" s="11" t="n">
        <x:v>0.013794440694472443</x:v>
      </x:c>
      <x:c r="H396" s="11" t="n">
        <x:v>0.10824021002094875</x:v>
      </x:c>
      <x:c r="I396" s="11" t="n">
        <x:v>1</x:v>
      </x:c>
      <x:c r="J396" s="13" t="n">
        <x:v>11</x:v>
      </x:c>
      <x:c r="K396" s="22" t="b">
        <x:v>1</x:v>
      </x:c>
      <x:c r="L396" s="13" t="n">
        <x:v>73</x:v>
      </x:c>
      <x:c r="M396" s="13" t="n">
        <x:v>24</x:v>
      </x:c>
    </x:row>
    <x:row r="397" ht="22" customHeight="1">
      <x:c r="A397" s="17" t="str">
        <x:f>"04124000"</x:f>
        <x:v>04124000</x:v>
      </x:c>
      <x:c r="B397" s="13" t="n">
        <x:v>42</x:v>
      </x:c>
      <x:c r="C397" s="22" t="b">
        <x:v>0</x:v>
      </x:c>
      <x:c r="D397" s="11" t="n">
        <x:v>0.7522346599786154</x:v>
      </x:c>
      <x:c r="E397" s="11" t="n">
        <x:v>0.7163413396327951</x:v>
      </x:c>
      <x:c r="F397" s="11" t="n">
        <x:v>0.2984486772593957</x:v>
      </x:c>
      <x:c r="G397" s="11" t="n">
        <x:v>0.03589332034582027</x:v>
      </x:c>
      <x:c r="H397" s="11" t="n">
        <x:v>0.45378598271921966</x:v>
      </x:c>
      <x:c r="I397" s="11" t="n">
        <x:v>0.95</x:v>
      </x:c>
      <x:c r="J397" s="13" t="n">
        <x:v>20</x:v>
      </x:c>
      <x:c r="K397" s="22" t="b">
        <x:v>1</x:v>
      </x:c>
      <x:c r="L397" s="13" t="n">
        <x:v>188</x:v>
      </x:c>
      <x:c r="M397" s="13" t="n">
        <x:v>92</x:v>
      </x:c>
    </x:row>
    <x:row r="398" ht="22" customHeight="1">
      <x:c r="A398" s="17" t="str">
        <x:f>"04127997"</x:f>
        <x:v>04127997</x:v>
      </x:c>
      <x:c r="B398" s="13" t="n">
        <x:v>42</x:v>
      </x:c>
      <x:c r="C398" s="22" t="b">
        <x:v>1</x:v>
      </x:c>
      <x:c r="D398" s="11" t="n">
        <x:v>0.7365267561961888</x:v>
      </x:c>
      <x:c r="E398" s="11" t="n">
        <x:v>0.7316511022417076</x:v>
      </x:c>
      <x:c r="F398" s="11" t="n">
        <x:v>0.041575289026507645</x:v>
      </x:c>
      <x:c r="G398" s="11" t="n">
        <x:v>0.004875653954481196</x:v>
      </x:c>
      <x:c r="H398" s="11" t="n">
        <x:v>0.6949514671696811</x:v>
      </x:c>
      <x:c r="I398" s="11" t="n">
        <x:v>1</x:v>
      </x:c>
      <x:c r="J398" s="13" t="n">
        <x:v>19</x:v>
      </x:c>
      <x:c r="K398" s="22" t="b">
        <x:v>1</x:v>
      </x:c>
      <x:c r="L398" s="13" t="n">
        <x:v>109</x:v>
      </x:c>
      <x:c r="M398" s="13" t="n">
        <x:v>36</x:v>
      </x:c>
    </x:row>
    <x:row r="399" ht="22" customHeight="1">
      <x:c r="A399" s="17" t="str">
        <x:f>"04127997"</x:f>
        <x:v>04127997</x:v>
      </x:c>
      <x:c r="B399" s="13" t="n">
        <x:v>42</x:v>
      </x:c>
      <x:c r="C399" s="22" t="b">
        <x:v>0</x:v>
      </x:c>
      <x:c r="D399" s="11" t="n">
        <x:v>0.5715083266119751</x:v>
      </x:c>
      <x:c r="E399" s="11" t="n">
        <x:v>0.5012566208228801</x:v>
      </x:c>
      <x:c r="F399" s="11" t="n">
        <x:v>-0.2338336411972144</x:v>
      </x:c>
      <x:c r="G399" s="11" t="n">
        <x:v>0.07025170578909501</x:v>
      </x:c>
      <x:c r="H399" s="11" t="n">
        <x:v>0.8053419678091895</x:v>
      </x:c>
      <x:c r="I399" s="11" t="n">
        <x:v>0.95</x:v>
      </x:c>
      <x:c r="J399" s="13" t="n">
        <x:v>20</x:v>
      </x:c>
      <x:c r="K399" s="22" t="b">
        <x:v>0</x:v>
      </x:c>
      <x:c r="L399" s="13" t="n">
        <x:v>132</x:v>
      </x:c>
      <x:c r="M399" s="13" t="n">
        <x:v>47</x:v>
      </x:c>
    </x:row>
    <x:row r="400" ht="22" customHeight="1">
      <x:c r="A400" s="17" t="str">
        <x:f>"04185000"</x:f>
        <x:v>04185000</x:v>
      </x:c>
      <x:c r="B400" s="13" t="n">
        <x:v>42</x:v>
      </x:c>
      <x:c r="C400" s="22" t="b">
        <x:v>1</x:v>
      </x:c>
      <x:c r="D400" s="11" t="n">
        <x:v>0.9435078521480853</x:v>
      </x:c>
      <x:c r="E400" s="11" t="n">
        <x:v>0.9360328399136681</x:v>
      </x:c>
      <x:c r="F400" s="11" t="n">
        <x:v>0.40783342486253393</x:v>
      </x:c>
      <x:c r="G400" s="11" t="n">
        <x:v>0.0074750122344171555</x:v>
      </x:c>
      <x:c r="H400" s="11" t="n">
        <x:v>0.5356744272855514</x:v>
      </x:c>
      <x:c r="I400" s="11"/>
      <x:c r="J400" s="13" t="n">
        <x:v>0</x:v>
      </x:c>
      <x:c r="K400" s="22" t="b">
        <x:v>0</x:v>
      </x:c>
      <x:c r="L400" s="13" t="n">
        <x:v>76</x:v>
      </x:c>
      <x:c r="M400" s="13" t="n">
        <x:v>25</x:v>
      </x:c>
    </x:row>
    <x:row r="401" ht="22" customHeight="1">
      <x:c r="A401" s="17" t="str">
        <x:f>"04185000"</x:f>
        <x:v>04185000</x:v>
      </x:c>
      <x:c r="B401" s="13" t="n">
        <x:v>42</x:v>
      </x:c>
      <x:c r="C401" s="22" t="b">
        <x:v>0</x:v>
      </x:c>
      <x:c r="D401" s="11" t="n">
        <x:v>0.547791175893801</x:v>
      </x:c>
      <x:c r="E401" s="11" t="n">
        <x:v>0.5471086178133153</x:v>
      </x:c>
      <x:c r="F401" s="11" t="n">
        <x:v>-0.7303428769041045</x:v>
      </x:c>
      <x:c r="G401" s="11" t="n">
        <x:v>0.0006825580804856735</x:v>
      </x:c>
      <x:c r="H401" s="11" t="n">
        <x:v>1.2781340527979055</x:v>
      </x:c>
      <x:c r="I401" s="11" t="n">
        <x:v>0.6</x:v>
      </x:c>
      <x:c r="J401" s="13" t="n">
        <x:v>20</x:v>
      </x:c>
      <x:c r="K401" s="22" t="b">
        <x:v>0</x:v>
      </x:c>
      <x:c r="L401" s="13" t="n">
        <x:v>145</x:v>
      </x:c>
      <x:c r="M401" s="13" t="n">
        <x:v>57</x:v>
      </x:c>
    </x:row>
    <x:row r="402" ht="22" customHeight="1">
      <x:c r="A402" s="17" t="str">
        <x:f>"04196800"</x:f>
        <x:v>04196800</x:v>
      </x:c>
      <x:c r="B402" s="13" t="n">
        <x:v>42</x:v>
      </x:c>
      <x:c r="C402" s="22" t="b">
        <x:v>1</x:v>
      </x:c>
      <x:c r="D402" s="11" t="n">
        <x:v>0.8813161028317014</x:v>
      </x:c>
      <x:c r="E402" s="11" t="n">
        <x:v>0.8646010338077065</x:v>
      </x:c>
      <x:c r="F402" s="11" t="n">
        <x:v>0.659337829223423</x:v>
      </x:c>
      <x:c r="G402" s="11" t="n">
        <x:v>0.01671506902399489</x:v>
      </x:c>
      <x:c r="H402" s="11" t="n">
        <x:v>0.22197827360827838</x:v>
      </x:c>
      <x:c r="I402" s="11" t="n">
        <x:v>0.25</x:v>
      </x:c>
      <x:c r="J402" s="13" t="n">
        <x:v>16</x:v>
      </x:c>
      <x:c r="K402" s="22" t="b">
        <x:v>0</x:v>
      </x:c>
      <x:c r="L402" s="13" t="n">
        <x:v>91</x:v>
      </x:c>
      <x:c r="M402" s="13" t="n">
        <x:v>29</x:v>
      </x:c>
    </x:row>
    <x:row r="403" ht="22" customHeight="1">
      <x:c r="A403" s="17" t="str">
        <x:f>"04196800"</x:f>
        <x:v>04196800</x:v>
      </x:c>
      <x:c r="B403" s="13" t="n">
        <x:v>42</x:v>
      </x:c>
      <x:c r="C403" s="22" t="b">
        <x:v>0</x:v>
      </x:c>
      <x:c r="D403" s="11" t="n">
        <x:v>0.6425136692274227</x:v>
      </x:c>
      <x:c r="E403" s="11" t="n">
        <x:v>0.6658183382531013</x:v>
      </x:c>
      <x:c r="F403" s="11" t="n">
        <x:v>-1.18858774581759</x:v>
      </x:c>
      <x:c r="G403" s="11" t="n">
        <x:v>-0.023304669025678626</x:v>
      </x:c>
      <x:c r="H403" s="11" t="n">
        <x:v>1.8311014150450127</x:v>
      </x:c>
      <x:c r="I403" s="11" t="n">
        <x:v>0.95</x:v>
      </x:c>
      <x:c r="J403" s="13" t="n">
        <x:v>20</x:v>
      </x:c>
      <x:c r="K403" s="22" t="b">
        <x:v>1</x:v>
      </x:c>
      <x:c r="L403" s="13" t="n">
        <x:v>153</x:v>
      </x:c>
      <x:c r="M403" s="13" t="n">
        <x:v>60</x:v>
      </x:c>
    </x:row>
    <x:row r="404" ht="22" customHeight="1">
      <x:c r="A404" s="17" t="str">
        <x:f>"04197100"</x:f>
        <x:v>04197100</x:v>
      </x:c>
      <x:c r="B404" s="13" t="n">
        <x:v>42</x:v>
      </x:c>
      <x:c r="C404" s="22" t="b">
        <x:v>1</x:v>
      </x:c>
      <x:c r="D404" s="11" t="n">
        <x:v>0.7329953152240096</x:v>
      </x:c>
      <x:c r="E404" s="11" t="n">
        <x:v>0.6589118260414802</x:v>
      </x:c>
      <x:c r="F404" s="11" t="n">
        <x:v>0.5880813167941134</x:v>
      </x:c>
      <x:c r="G404" s="11" t="n">
        <x:v>0.07408348918252938</x:v>
      </x:c>
      <x:c r="H404" s="11" t="n">
        <x:v>0.14491399842989627</x:v>
      </x:c>
      <x:c r="I404" s="11" t="n">
        <x:v>1</x:v>
      </x:c>
      <x:c r="J404" s="13" t="n">
        <x:v>20</x:v>
      </x:c>
      <x:c r="K404" s="22" t="b">
        <x:v>0</x:v>
      </x:c>
      <x:c r="L404" s="13" t="n">
        <x:v>112</x:v>
      </x:c>
      <x:c r="M404" s="13" t="n">
        <x:v>37</x:v>
      </x:c>
    </x:row>
    <x:row r="405" ht="22" customHeight="1">
      <x:c r="A405" s="17" t="str">
        <x:f>"04197100"</x:f>
        <x:v>04197100</x:v>
      </x:c>
      <x:c r="B405" s="13" t="n">
        <x:v>42</x:v>
      </x:c>
      <x:c r="C405" s="22" t="b">
        <x:v>0</x:v>
      </x:c>
      <x:c r="D405" s="11" t="n">
        <x:v>0.53992750905186</x:v>
      </x:c>
      <x:c r="E405" s="11" t="n">
        <x:v>0.5139201409158278</x:v>
      </x:c>
      <x:c r="F405" s="11" t="n">
        <x:v>0.01818517543018694</x:v>
      </x:c>
      <x:c r="G405" s="11" t="n">
        <x:v>0.026007368136032216</x:v>
      </x:c>
      <x:c r="H405" s="11" t="n">
        <x:v>0.5217423336216731</x:v>
      </x:c>
      <x:c r="I405" s="11" t="n">
        <x:v>0</x:v>
      </x:c>
      <x:c r="J405" s="13" t="n">
        <x:v>11</x:v>
      </x:c>
      <x:c r="K405" s="22" t="b">
        <x:v>0</x:v>
      </x:c>
      <x:c r="L405" s="13" t="n">
        <x:v>102</x:v>
      </x:c>
      <x:c r="M405" s="13" t="n">
        <x:v>33</x:v>
      </x:c>
    </x:row>
    <x:row r="406" ht="22" customHeight="1">
      <x:c r="A406" s="17" t="str">
        <x:f>"04213000"</x:f>
        <x:v>04213000</x:v>
      </x:c>
      <x:c r="B406" s="13" t="n">
        <x:v>42</x:v>
      </x:c>
      <x:c r="C406" s="22" t="b">
        <x:v>1</x:v>
      </x:c>
      <x:c r="D406" s="11" t="n">
        <x:v>0.7471773143074298</x:v>
      </x:c>
      <x:c r="E406" s="11" t="n">
        <x:v>0.7014400796804714</x:v>
      </x:c>
      <x:c r="F406" s="11" t="n">
        <x:v>0.19637548753145706</x:v>
      </x:c>
      <x:c r="G406" s="11" t="n">
        <x:v>0.045737234626958445</x:v>
      </x:c>
      <x:c r="H406" s="11" t="n">
        <x:v>0.5508018267759728</x:v>
      </x:c>
      <x:c r="I406" s="11" t="n">
        <x:v>1</x:v>
      </x:c>
      <x:c r="J406" s="13" t="n">
        <x:v>19</x:v>
      </x:c>
      <x:c r="K406" s="22" t="b">
        <x:v>1</x:v>
      </x:c>
      <x:c r="L406" s="13" t="n">
        <x:v>118</x:v>
      </x:c>
      <x:c r="M406" s="13" t="n">
        <x:v>40</x:v>
      </x:c>
    </x:row>
    <x:row r="407" ht="22" customHeight="1">
      <x:c r="A407" s="17" t="str">
        <x:f>"04213000"</x:f>
        <x:v>04213000</x:v>
      </x:c>
      <x:c r="B407" s="13" t="n">
        <x:v>42</x:v>
      </x:c>
      <x:c r="C407" s="22" t="b">
        <x:v>0</x:v>
      </x:c>
      <x:c r="D407" s="11" t="n">
        <x:v>0.6113927584230232</x:v>
      </x:c>
      <x:c r="E407" s="11" t="n">
        <x:v>0.5961177437435223</x:v>
      </x:c>
      <x:c r="F407" s="11" t="n">
        <x:v>0.024245418239225325</x:v>
      </x:c>
      <x:c r="G407" s="11" t="n">
        <x:v>0.015275014679500876</x:v>
      </x:c>
      <x:c r="H407" s="11" t="n">
        <x:v>0.5871473401837979</x:v>
      </x:c>
      <x:c r="I407" s="11" t="n">
        <x:v>0.85</x:v>
      </x:c>
      <x:c r="J407" s="13" t="n">
        <x:v>20</x:v>
      </x:c>
      <x:c r="K407" s="22" t="b">
        <x:v>1</x:v>
      </x:c>
      <x:c r="L407" s="13" t="n">
        <x:v>144</x:v>
      </x:c>
      <x:c r="M407" s="13" t="n">
        <x:v>54</x:v>
      </x:c>
    </x:row>
    <x:row r="408" ht="22" customHeight="1">
      <x:c r="A408" s="17" t="str">
        <x:f>"04216418"</x:f>
        <x:v>04216418</x:v>
      </x:c>
      <x:c r="B408" s="13" t="n">
        <x:v>42</x:v>
      </x:c>
      <x:c r="C408" s="22" t="b">
        <x:v>1</x:v>
      </x:c>
      <x:c r="D408" s="11" t="n">
        <x:v>0.48059195948095523</x:v>
      </x:c>
      <x:c r="E408" s="11" t="n">
        <x:v>0.3534151467280675</x:v>
      </x:c>
      <x:c r="F408" s="11" t="n">
        <x:v>0.4595966540362968</x:v>
      </x:c>
      <x:c r="G408" s="11" t="n">
        <x:v>0.12717681275288772</x:v>
      </x:c>
      <x:c r="H408" s="11" t="n">
        <x:v>0.02099530544465844</x:v>
      </x:c>
      <x:c r="I408" s="11" t="n">
        <x:v>0.5789473684210527</x:v>
      </x:c>
      <x:c r="J408" s="13" t="n">
        <x:v>19</x:v>
      </x:c>
      <x:c r="K408" s="22" t="b">
        <x:v>0</x:v>
      </x:c>
      <x:c r="L408" s="13" t="n">
        <x:v>104</x:v>
      </x:c>
      <x:c r="M408" s="13" t="n">
        <x:v>34</x:v>
      </x:c>
    </x:row>
    <x:row r="409" ht="22" customHeight="1">
      <x:c r="A409" s="17" t="str">
        <x:f>"04216418"</x:f>
        <x:v>04216418</x:v>
      </x:c>
      <x:c r="B409" s="13" t="n">
        <x:v>42</x:v>
      </x:c>
      <x:c r="C409" s="22" t="b">
        <x:v>0</x:v>
      </x:c>
      <x:c r="D409" s="11" t="n">
        <x:v>0.2740232548441299</x:v>
      </x:c>
      <x:c r="E409" s="11" t="n">
        <x:v>0.22008267780761714</x:v>
      </x:c>
      <x:c r="F409" s="11" t="n">
        <x:v>-0.37253406420801216</x:v>
      </x:c>
      <x:c r="G409" s="11" t="n">
        <x:v>0.05394057703651278</x:v>
      </x:c>
      <x:c r="H409" s="11" t="n">
        <x:v>0.6465573190521421</x:v>
      </x:c>
      <x:c r="I409" s="11" t="n">
        <x:v>0</x:v>
      </x:c>
      <x:c r="J409" s="13" t="n">
        <x:v>20</x:v>
      </x:c>
      <x:c r="K409" s="22" t="b">
        <x:v>0</x:v>
      </x:c>
      <x:c r="L409" s="13" t="n">
        <x:v>116</x:v>
      </x:c>
      <x:c r="M409" s="13" t="n">
        <x:v>39</x:v>
      </x:c>
    </x:row>
    <x:row r="410" ht="22" customHeight="1">
      <x:c r="A410" s="17" t="str">
        <x:f>"04221000"</x:f>
        <x:v>04221000</x:v>
      </x:c>
      <x:c r="B410" s="13" t="n">
        <x:v>42</x:v>
      </x:c>
      <x:c r="C410" s="22" t="b">
        <x:v>1</x:v>
      </x:c>
      <x:c r="D410" s="11" t="n">
        <x:v>0.5412228845060961</x:v>
      </x:c>
      <x:c r="E410" s="11" t="n">
        <x:v>0.4456720559811408</x:v>
      </x:c>
      <x:c r="F410" s="11" t="n">
        <x:v>0.45792630160771564</x:v>
      </x:c>
      <x:c r="G410" s="11" t="n">
        <x:v>0.09555082852495533</x:v>
      </x:c>
      <x:c r="H410" s="11" t="n">
        <x:v>0.08329658289838049</x:v>
      </x:c>
      <x:c r="I410" s="11" t="n">
        <x:v>0.8333333333333334</x:v>
      </x:c>
      <x:c r="J410" s="13" t="n">
        <x:v>18</x:v>
      </x:c>
      <x:c r="K410" s="22" t="b">
        <x:v>0</x:v>
      </x:c>
      <x:c r="L410" s="13" t="n">
        <x:v>98</x:v>
      </x:c>
      <x:c r="M410" s="13" t="n">
        <x:v>31</x:v>
      </x:c>
    </x:row>
    <x:row r="411" ht="22" customHeight="1">
      <x:c r="A411" s="17" t="str">
        <x:f>"04221000"</x:f>
        <x:v>04221000</x:v>
      </x:c>
      <x:c r="B411" s="13" t="n">
        <x:v>42</x:v>
      </x:c>
      <x:c r="C411" s="22" t="b">
        <x:v>0</x:v>
      </x:c>
      <x:c r="D411" s="11" t="n">
        <x:v>0.43351946681680575</x:v>
      </x:c>
      <x:c r="E411" s="11" t="n">
        <x:v>0.3709136038544365</x:v>
      </x:c>
      <x:c r="F411" s="11" t="n">
        <x:v>0.27878262109147933</x:v>
      </x:c>
      <x:c r="G411" s="11" t="n">
        <x:v>0.06260586296236925</x:v>
      </x:c>
      <x:c r="H411" s="11" t="n">
        <x:v>0.15473684572532642</x:v>
      </x:c>
      <x:c r="I411" s="11" t="n">
        <x:v>0.95</x:v>
      </x:c>
      <x:c r="J411" s="13" t="n">
        <x:v>20</x:v>
      </x:c>
      <x:c r="K411" s="22" t="b">
        <x:v>0</x:v>
      </x:c>
      <x:c r="L411" s="13" t="n">
        <x:v>177</x:v>
      </x:c>
      <x:c r="M411" s="13" t="n">
        <x:v>81</x:v>
      </x:c>
    </x:row>
    <x:row r="412" ht="22" customHeight="1">
      <x:c r="A412" s="17" t="str">
        <x:f>"04224775"</x:f>
        <x:v>04224775</x:v>
      </x:c>
      <x:c r="B412" s="13" t="n">
        <x:v>42</x:v>
      </x:c>
      <x:c r="C412" s="22" t="b">
        <x:v>1</x:v>
      </x:c>
      <x:c r="D412" s="11" t="n">
        <x:v>0.4874039984133187</x:v>
      </x:c>
      <x:c r="E412" s="11" t="n">
        <x:v>0.38601555302112134</x:v>
      </x:c>
      <x:c r="F412" s="11" t="n">
        <x:v>0.41903110607002403</x:v>
      </x:c>
      <x:c r="G412" s="11" t="n">
        <x:v>0.10138844539219738</x:v>
      </x:c>
      <x:c r="H412" s="11" t="n">
        <x:v>0.06837289234329469</x:v>
      </x:c>
      <x:c r="I412" s="11" t="n">
        <x:v>0.5263157894736842</x:v>
      </x:c>
      <x:c r="J412" s="13" t="n">
        <x:v>19</x:v>
      </x:c>
      <x:c r="K412" s="22" t="b">
        <x:v>0</x:v>
      </x:c>
      <x:c r="L412" s="13" t="n">
        <x:v>88</x:v>
      </x:c>
      <x:c r="M412" s="13" t="n">
        <x:v>28</x:v>
      </x:c>
    </x:row>
    <x:row r="413" ht="22" customHeight="1">
      <x:c r="A413" s="17" t="str">
        <x:f>"04224775"</x:f>
        <x:v>04224775</x:v>
      </x:c>
      <x:c r="B413" s="13" t="n">
        <x:v>42</x:v>
      </x:c>
      <x:c r="C413" s="22" t="b">
        <x:v>0</x:v>
      </x:c>
      <x:c r="D413" s="11" t="n">
        <x:v>0.37011002073048493</x:v>
      </x:c>
      <x:c r="E413" s="11" t="n">
        <x:v>0.33479440887172995</x:v>
      </x:c>
      <x:c r="F413" s="11" t="n">
        <x:v>-0.30731430805919024</x:v>
      </x:c>
      <x:c r="G413" s="11" t="n">
        <x:v>0.03531561185875498</x:v>
      </x:c>
      <x:c r="H413" s="11" t="n">
        <x:v>0.6774243287896752</x:v>
      </x:c>
      <x:c r="I413" s="11" t="n">
        <x:v>0.6</x:v>
      </x:c>
      <x:c r="J413" s="13" t="n">
        <x:v>20</x:v>
      </x:c>
      <x:c r="K413" s="22" t="b">
        <x:v>0</x:v>
      </x:c>
      <x:c r="L413" s="13" t="n">
        <x:v>118</x:v>
      </x:c>
      <x:c r="M413" s="13" t="n">
        <x:v>40</x:v>
      </x:c>
    </x:row>
    <x:row r="414" ht="22" customHeight="1">
      <x:c r="A414" s="17" t="str">
        <x:f>"04256000"</x:f>
        <x:v>04256000</x:v>
      </x:c>
      <x:c r="B414" s="13" t="n">
        <x:v>42</x:v>
      </x:c>
      <x:c r="C414" s="22" t="b">
        <x:v>1</x:v>
      </x:c>
      <x:c r="D414" s="11" t="n">
        <x:v>0.7835466251465872</x:v>
      </x:c>
      <x:c r="E414" s="11" t="n">
        <x:v>0.7623423613606837</x:v>
      </x:c>
      <x:c r="F414" s="11" t="n">
        <x:v>0.4350650008059729</x:v>
      </x:c>
      <x:c r="G414" s="11" t="n">
        <x:v>0.021204263785903565</x:v>
      </x:c>
      <x:c r="H414" s="11" t="n">
        <x:v>0.34848162434061436</x:v>
      </x:c>
      <x:c r="I414" s="11" t="n">
        <x:v>0.4375</x:v>
      </x:c>
      <x:c r="J414" s="13" t="n">
        <x:v>16</x:v>
      </x:c>
      <x:c r="K414" s="22" t="b">
        <x:v>0</x:v>
      </x:c>
      <x:c r="L414" s="13" t="n">
        <x:v>89</x:v>
      </x:c>
      <x:c r="M414" s="13" t="n">
        <x:v>28</x:v>
      </x:c>
    </x:row>
    <x:row r="415" ht="22" customHeight="1">
      <x:c r="A415" s="17" t="str">
        <x:f>"04256000"</x:f>
        <x:v>04256000</x:v>
      </x:c>
      <x:c r="B415" s="13" t="n">
        <x:v>42</x:v>
      </x:c>
      <x:c r="C415" s="22" t="b">
        <x:v>0</x:v>
      </x:c>
      <x:c r="D415" s="11" t="n">
        <x:v>0.5497159125716575</x:v>
      </x:c>
      <x:c r="E415" s="11" t="n">
        <x:v>0.4620209852761541</x:v>
      </x:c>
      <x:c r="F415" s="11" t="n">
        <x:v>-2.9281873489966346</x:v>
      </x:c>
      <x:c r="G415" s="11" t="n">
        <x:v>0.08769492729550343</x:v>
      </x:c>
      <x:c r="H415" s="11" t="n">
        <x:v>3.477903261568292</x:v>
      </x:c>
      <x:c r="I415" s="11" t="n">
        <x:v>0.95</x:v>
      </x:c>
      <x:c r="J415" s="13" t="n">
        <x:v>20</x:v>
      </x:c>
      <x:c r="K415" s="22" t="b">
        <x:v>0</x:v>
      </x:c>
      <x:c r="L415" s="13" t="n">
        <x:v>139</x:v>
      </x:c>
      <x:c r="M415" s="13" t="n">
        <x:v>51</x:v>
      </x:c>
    </x:row>
    <x:row r="416" ht="22" customHeight="1">
      <x:c r="A416" s="17" t="str">
        <x:f>"04296000"</x:f>
        <x:v>04296000</x:v>
      </x:c>
      <x:c r="B416" s="13" t="n">
        <x:v>42</x:v>
      </x:c>
      <x:c r="C416" s="22" t="b">
        <x:v>1</x:v>
      </x:c>
      <x:c r="D416" s="11" t="n">
        <x:v>0.775119575845775</x:v>
      </x:c>
      <x:c r="E416" s="11" t="n">
        <x:v>0.7704687741030595</x:v>
      </x:c>
      <x:c r="F416" s="11" t="n">
        <x:v>0.30301112108012895</x:v>
      </x:c>
      <x:c r="G416" s="11" t="n">
        <x:v>0.004650801742715482</x:v>
      </x:c>
      <x:c r="H416" s="11" t="n">
        <x:v>0.472108454765646</x:v>
      </x:c>
      <x:c r="I416" s="11" t="n">
        <x:v>0.85</x:v>
      </x:c>
      <x:c r="J416" s="13" t="n">
        <x:v>20</x:v>
      </x:c>
      <x:c r="K416" s="22" t="b">
        <x:v>1</x:v>
      </x:c>
      <x:c r="L416" s="13" t="n">
        <x:v>128</x:v>
      </x:c>
      <x:c r="M416" s="13" t="n">
        <x:v>45</x:v>
      </x:c>
    </x:row>
    <x:row r="417" ht="22" customHeight="1">
      <x:c r="A417" s="17" t="str">
        <x:f>"04296000"</x:f>
        <x:v>04296000</x:v>
      </x:c>
      <x:c r="B417" s="13" t="n">
        <x:v>42</x:v>
      </x:c>
      <x:c r="C417" s="22" t="b">
        <x:v>0</x:v>
      </x:c>
      <x:c r="D417" s="11" t="n">
        <x:v>0.5259009103191702</x:v>
      </x:c>
      <x:c r="E417" s="11" t="n">
        <x:v>0.553091197581246</x:v>
      </x:c>
      <x:c r="F417" s="11" t="n">
        <x:v>-0.16897774506973096</x:v>
      </x:c>
      <x:c r="G417" s="11" t="n">
        <x:v>-0.02719028726207584</x:v>
      </x:c>
      <x:c r="H417" s="11" t="n">
        <x:v>0.6948786553889011</x:v>
      </x:c>
      <x:c r="I417" s="11" t="n">
        <x:v>1</x:v>
      </x:c>
      <x:c r="J417" s="13" t="n">
        <x:v>20</x:v>
      </x:c>
      <x:c r="K417" s="22" t="b">
        <x:v>1</x:v>
      </x:c>
      <x:c r="L417" s="13" t="n">
        <x:v>125</x:v>
      </x:c>
      <x:c r="M417" s="13" t="n">
        <x:v>45</x:v>
      </x:c>
    </x:row>
    <x:row r="418" ht="22" customHeight="1">
      <x:c r="A418" s="17" t="str">
        <x:f>"05056000"</x:f>
        <x:v>05056000</x:v>
      </x:c>
      <x:c r="B418" s="13" t="n">
        <x:v>42</x:v>
      </x:c>
      <x:c r="C418" s="22" t="b">
        <x:v>1</x:v>
      </x:c>
      <x:c r="D418" s="11" t="n">
        <x:v>0.9312935978651301</x:v>
      </x:c>
      <x:c r="E418" s="11" t="n">
        <x:v>0.8504977462237858</x:v>
      </x:c>
      <x:c r="F418" s="11" t="n">
        <x:v>0.8400398527283196</x:v>
      </x:c>
      <x:c r="G418" s="11" t="n">
        <x:v>0.08079585164134429</x:v>
      </x:c>
      <x:c r="H418" s="11" t="n">
        <x:v>0.0912537451368105</x:v>
      </x:c>
      <x:c r="I418" s="11" t="n">
        <x:v>1</x:v>
      </x:c>
      <x:c r="J418" s="13" t="n">
        <x:v>19</x:v>
      </x:c>
      <x:c r="K418" s="22" t="b">
        <x:v>0</x:v>
      </x:c>
      <x:c r="L418" s="13" t="n">
        <x:v>68</x:v>
      </x:c>
      <x:c r="M418" s="13" t="n">
        <x:v>29</x:v>
      </x:c>
    </x:row>
    <x:row r="419" ht="22" customHeight="1">
      <x:c r="A419" s="17" t="str">
        <x:f>"05056000"</x:f>
        <x:v>05056000</x:v>
      </x:c>
      <x:c r="B419" s="13" t="n">
        <x:v>42</x:v>
      </x:c>
      <x:c r="C419" s="22" t="b">
        <x:v>0</x:v>
      </x:c>
      <x:c r="D419" s="11" t="n">
        <x:v>0.24293016422423175</x:v>
      </x:c>
      <x:c r="E419" s="11" t="n">
        <x:v>0.3616830369811751</x:v>
      </x:c>
      <x:c r="F419" s="11" t="n">
        <x:v>-0.8583870126203057</x:v>
      </x:c>
      <x:c r="G419" s="11" t="n">
        <x:v>-0.11875287275694335</x:v>
      </x:c>
      <x:c r="H419" s="11" t="n">
        <x:v>1.1013171768445376</x:v>
      </x:c>
      <x:c r="I419" s="11" t="n">
        <x:v>0.8888888888888888</x:v>
      </x:c>
      <x:c r="J419" s="13" t="n">
        <x:v>18</x:v>
      </x:c>
      <x:c r="K419" s="22" t="b">
        <x:v>1</x:v>
      </x:c>
      <x:c r="L419" s="13" t="n">
        <x:v>118</x:v>
      </x:c>
      <x:c r="M419" s="13" t="n">
        <x:v>40</x:v>
      </x:c>
    </x:row>
    <x:row r="420" ht="22" customHeight="1">
      <x:c r="A420" s="17" t="str">
        <x:f>"05057000"</x:f>
        <x:v>05057000</x:v>
      </x:c>
      <x:c r="B420" s="13" t="n">
        <x:v>42</x:v>
      </x:c>
      <x:c r="C420" s="22" t="b">
        <x:v>1</x:v>
      </x:c>
      <x:c r="D420" s="11" t="n">
        <x:v>0.9492299993551792</x:v>
      </x:c>
      <x:c r="E420" s="11" t="n">
        <x:v>0.9093582087177683</x:v>
      </x:c>
      <x:c r="F420" s="11" t="n">
        <x:v>0.6431441559468407</x:v>
      </x:c>
      <x:c r="G420" s="11" t="n">
        <x:v>0.039871790637410864</x:v>
      </x:c>
      <x:c r="H420" s="11" t="n">
        <x:v>0.30608584340833844</x:v>
      </x:c>
      <x:c r="I420" s="11" t="n">
        <x:v>1</x:v>
      </x:c>
      <x:c r="J420" s="13" t="n">
        <x:v>17</x:v>
      </x:c>
      <x:c r="K420" s="22" t="b">
        <x:v>1</x:v>
      </x:c>
      <x:c r="L420" s="13" t="n">
        <x:v>72</x:v>
      </x:c>
      <x:c r="M420" s="13" t="n">
        <x:v>25</x:v>
      </x:c>
    </x:row>
    <x:row r="421" ht="22" customHeight="1">
      <x:c r="A421" s="17" t="str">
        <x:f>"05057000"</x:f>
        <x:v>05057000</x:v>
      </x:c>
      <x:c r="B421" s="13" t="n">
        <x:v>42</x:v>
      </x:c>
      <x:c r="C421" s="22" t="b">
        <x:v>0</x:v>
      </x:c>
      <x:c r="D421" s="11" t="n">
        <x:v>0.3354265306802221</x:v>
      </x:c>
      <x:c r="E421" s="11" t="n">
        <x:v>0.32751083463538044</x:v>
      </x:c>
      <x:c r="F421" s="11" t="n">
        <x:v>-1.5413354849184455</x:v>
      </x:c>
      <x:c r="G421" s="11" t="n">
        <x:v>0.007915696044841658</x:v>
      </x:c>
      <x:c r="H421" s="11" t="n">
        <x:v>1.8767620155986675</x:v>
      </x:c>
      <x:c r="I421" s="11" t="n">
        <x:v>0.6111111111111112</x:v>
      </x:c>
      <x:c r="J421" s="13" t="n">
        <x:v>18</x:v>
      </x:c>
      <x:c r="K421" s="22" t="b">
        <x:v>0</x:v>
      </x:c>
      <x:c r="L421" s="13" t="n">
        <x:v>101</x:v>
      </x:c>
      <x:c r="M421" s="13" t="n">
        <x:v>33</x:v>
      </x:c>
    </x:row>
    <x:row r="422" ht="22" customHeight="1">
      <x:c r="A422" s="17" t="str">
        <x:f>"05057200"</x:f>
        <x:v>05057200</x:v>
      </x:c>
      <x:c r="B422" s="13" t="n">
        <x:v>42</x:v>
      </x:c>
      <x:c r="C422" s="22" t="b">
        <x:v>1</x:v>
      </x:c>
      <x:c r="D422" s="11" t="n">
        <x:v>0.8855027714894556</x:v>
      </x:c>
      <x:c r="E422" s="11" t="n">
        <x:v>0.8751554406814103</x:v>
      </x:c>
      <x:c r="F422" s="11" t="n">
        <x:v>0.7317075181493102</x:v>
      </x:c>
      <x:c r="G422" s="11" t="n">
        <x:v>0.010347330808045285</x:v>
      </x:c>
      <x:c r="H422" s="11" t="n">
        <x:v>0.15379525334014532</x:v>
      </x:c>
      <x:c r="I422" s="11" t="n">
        <x:v>1</x:v>
      </x:c>
      <x:c r="J422" s="13" t="n">
        <x:v>13</x:v>
      </x:c>
      <x:c r="K422" s="22" t="b">
        <x:v>1</x:v>
      </x:c>
      <x:c r="L422" s="13" t="n">
        <x:v>89</x:v>
      </x:c>
      <x:c r="M422" s="13" t="n">
        <x:v>28</x:v>
      </x:c>
    </x:row>
    <x:row r="423" ht="22" customHeight="1">
      <x:c r="A423" s="17" t="str">
        <x:f>"05057200"</x:f>
        <x:v>05057200</x:v>
      </x:c>
      <x:c r="B423" s="13" t="n">
        <x:v>42</x:v>
      </x:c>
      <x:c r="C423" s="22" t="b">
        <x:v>0</x:v>
      </x:c>
      <x:c r="D423" s="11" t="n">
        <x:v>0.21934730640623168</x:v>
      </x:c>
      <x:c r="E423" s="11" t="n">
        <x:v>0.3890220784720898</x:v>
      </x:c>
      <x:c r="F423" s="11" t="n">
        <x:v>-0.2579215492625635</x:v>
      </x:c>
      <x:c r="G423" s="11" t="n">
        <x:v>-0.16967477206585813</x:v>
      </x:c>
      <x:c r="H423" s="11" t="n">
        <x:v>0.4772688556687952</x:v>
      </x:c>
      <x:c r="I423" s="11" t="n">
        <x:v>1</x:v>
      </x:c>
      <x:c r="J423" s="13" t="n">
        <x:v>17</x:v>
      </x:c>
      <x:c r="K423" s="22" t="b">
        <x:v>1</x:v>
      </x:c>
      <x:c r="L423" s="13" t="n">
        <x:v>99</x:v>
      </x:c>
      <x:c r="M423" s="13" t="n">
        <x:v>32</x:v>
      </x:c>
    </x:row>
    <x:row r="424" ht="22" customHeight="1">
      <x:c r="A424" s="17" t="str">
        <x:f>"05120500"</x:f>
        <x:v>05120500</x:v>
      </x:c>
      <x:c r="B424" s="13" t="n">
        <x:v>42</x:v>
      </x:c>
      <x:c r="C424" s="22" t="b">
        <x:v>1</x:v>
      </x:c>
      <x:c r="D424" s="11" t="n">
        <x:v>0.9300491582970422</x:v>
      </x:c>
      <x:c r="E424" s="11" t="n">
        <x:v>0.7555197766985211</x:v>
      </x:c>
      <x:c r="F424" s="11" t="n">
        <x:v>0.8732458130750205</x:v>
      </x:c>
      <x:c r="G424" s="11" t="n">
        <x:v>0.17452938159852105</x:v>
      </x:c>
      <x:c r="H424" s="11" t="n">
        <x:v>0.056803345222021684</x:v>
      </x:c>
      <x:c r="I424" s="11" t="n">
        <x:v>1</x:v>
      </x:c>
      <x:c r="J424" s="13" t="n">
        <x:v>17</x:v>
      </x:c>
      <x:c r="K424" s="22" t="b">
        <x:v>0</x:v>
      </x:c>
      <x:c r="L424" s="13" t="n">
        <x:v>64</x:v>
      </x:c>
      <x:c r="M424" s="13" t="n">
        <x:v>30</x:v>
      </x:c>
    </x:row>
    <x:row r="425" ht="22" customHeight="1">
      <x:c r="A425" s="17" t="str">
        <x:f>"05120500"</x:f>
        <x:v>05120500</x:v>
      </x:c>
      <x:c r="B425" s="13" t="n">
        <x:v>42</x:v>
      </x:c>
      <x:c r="C425" s="22" t="b">
        <x:v>0</x:v>
      </x:c>
      <x:c r="D425" s="11" t="n">
        <x:v>0.30742545173829094</x:v>
      </x:c>
      <x:c r="E425" s="11" t="n">
        <x:v>0.19403758457104925</x:v>
      </x:c>
      <x:c r="F425" s="11" t="n">
        <x:v>0.14681136105406256</x:v>
      </x:c>
      <x:c r="G425" s="11" t="n">
        <x:v>0.1133878671672417</x:v>
      </x:c>
      <x:c r="H425" s="11" t="n">
        <x:v>0.16061409068422838</x:v>
      </x:c>
      <x:c r="I425" s="11" t="n">
        <x:v>1</x:v>
      </x:c>
      <x:c r="J425" s="13" t="n">
        <x:v>20</x:v>
      </x:c>
      <x:c r="K425" s="22" t="b">
        <x:v>0</x:v>
      </x:c>
      <x:c r="L425" s="13" t="n">
        <x:v>157</x:v>
      </x:c>
      <x:c r="M425" s="13" t="n">
        <x:v>63</x:v>
      </x:c>
    </x:row>
    <x:row r="426" ht="22" customHeight="1">
      <x:c r="A426" s="17" t="str">
        <x:f>"05123400"</x:f>
        <x:v>05123400</x:v>
      </x:c>
      <x:c r="B426" s="13" t="n">
        <x:v>42</x:v>
      </x:c>
      <x:c r="C426" s="22" t="b">
        <x:v>1</x:v>
      </x:c>
      <x:c r="D426" s="11" t="n">
        <x:v>0.9758194587358593</x:v>
      </x:c>
      <x:c r="E426" s="11" t="n">
        <x:v>0.9629089565598129</x:v>
      </x:c>
      <x:c r="F426" s="11" t="n">
        <x:v>-0.06871175133747687</x:v>
      </x:c>
      <x:c r="G426" s="11" t="n">
        <x:v>0.01291050217604639</x:v>
      </x:c>
      <x:c r="H426" s="11" t="n">
        <x:v>1.0445312100733362</x:v>
      </x:c>
      <x:c r="I426" s="11" t="n">
        <x:v>1</x:v>
      </x:c>
      <x:c r="J426" s="13" t="n">
        <x:v>12</x:v>
      </x:c>
      <x:c r="K426" s="22" t="b">
        <x:v>1</x:v>
      </x:c>
      <x:c r="L426" s="13" t="n">
        <x:v>69</x:v>
      </x:c>
      <x:c r="M426" s="13" t="n">
        <x:v>23</x:v>
      </x:c>
    </x:row>
    <x:row r="427" ht="22" customHeight="1">
      <x:c r="A427" s="17" t="str">
        <x:f>"05123400"</x:f>
        <x:v>05123400</x:v>
      </x:c>
      <x:c r="B427" s="13" t="n">
        <x:v>42</x:v>
      </x:c>
      <x:c r="C427" s="22" t="b">
        <x:v>0</x:v>
      </x:c>
      <x:c r="D427" s="11" t="n">
        <x:v>0.3872267465249126</x:v>
      </x:c>
      <x:c r="E427" s="11" t="n">
        <x:v>0.2511881353813388</x:v>
      </x:c>
      <x:c r="F427" s="11" t="n">
        <x:v>-0.7136242014914145</x:v>
      </x:c>
      <x:c r="G427" s="11" t="n">
        <x:v>0.13603861114357385</x:v>
      </x:c>
      <x:c r="H427" s="11" t="n">
        <x:v>1.100850948016327</x:v>
      </x:c>
      <x:c r="I427" s="11" t="n">
        <x:v>0.4</x:v>
      </x:c>
      <x:c r="J427" s="13" t="n">
        <x:v>20</x:v>
      </x:c>
      <x:c r="K427" s="22" t="b">
        <x:v>0</x:v>
      </x:c>
      <x:c r="L427" s="13" t="n">
        <x:v>150</x:v>
      </x:c>
      <x:c r="M427" s="13" t="n">
        <x:v>63</x:v>
      </x:c>
    </x:row>
    <x:row r="428" ht="22" customHeight="1">
      <x:c r="A428" s="17" t="str">
        <x:f>"05129115"</x:f>
        <x:v>05129115</x:v>
      </x:c>
      <x:c r="B428" s="13" t="n">
        <x:v>42</x:v>
      </x:c>
      <x:c r="C428" s="22" t="b">
        <x:v>1</x:v>
      </x:c>
      <x:c r="D428" s="11" t="n">
        <x:v>0.9937974038224224</x:v>
      </x:c>
      <x:c r="E428" s="11" t="n">
        <x:v>0.9875092844807172</x:v>
      </x:c>
      <x:c r="F428" s="11" t="n">
        <x:v>0.7948204334131663</x:v>
      </x:c>
      <x:c r="G428" s="11" t="n">
        <x:v>0.006288119341705256</x:v>
      </x:c>
      <x:c r="H428" s="11" t="n">
        <x:v>0.1989769704092561</x:v>
      </x:c>
      <x:c r="I428" s="11" t="n">
        <x:v>1</x:v>
      </x:c>
      <x:c r="J428" s="13" t="n">
        <x:v>18</x:v>
      </x:c>
      <x:c r="K428" s="22" t="b">
        <x:v>1</x:v>
      </x:c>
      <x:c r="L428" s="13" t="n">
        <x:v>40</x:v>
      </x:c>
      <x:c r="M428" s="13" t="n">
        <x:v>15</x:v>
      </x:c>
    </x:row>
    <x:row r="429" ht="22" customHeight="1">
      <x:c r="A429" s="17" t="str">
        <x:f>"05129115"</x:f>
        <x:v>05129115</x:v>
      </x:c>
      <x:c r="B429" s="13" t="n">
        <x:v>42</x:v>
      </x:c>
      <x:c r="C429" s="22" t="b">
        <x:v>0</x:v>
      </x:c>
      <x:c r="D429" s="11" t="n">
        <x:v>0.5328851800065193</x:v>
      </x:c>
      <x:c r="E429" s="11" t="n">
        <x:v>0.6395476576851888</x:v>
      </x:c>
      <x:c r="F429" s="11" t="n">
        <x:v>-0.7162602972179661</x:v>
      </x:c>
      <x:c r="G429" s="11" t="n">
        <x:v>-0.10666247767866954</x:v>
      </x:c>
      <x:c r="H429" s="11" t="n">
        <x:v>1.2491454772244854</x:v>
      </x:c>
      <x:c r="I429" s="11" t="n">
        <x:v>1</x:v>
      </x:c>
      <x:c r="J429" s="13" t="n">
        <x:v>20</x:v>
      </x:c>
      <x:c r="K429" s="22" t="b">
        <x:v>1</x:v>
      </x:c>
      <x:c r="L429" s="13" t="n">
        <x:v>152</x:v>
      </x:c>
      <x:c r="M429" s="13" t="n">
        <x:v>59</x:v>
      </x:c>
    </x:row>
    <x:row r="430" ht="22" customHeight="1">
      <x:c r="A430" s="17" t="str">
        <x:f>"05131500"</x:f>
        <x:v>05131500</x:v>
      </x:c>
      <x:c r="B430" s="13" t="n">
        <x:v>42</x:v>
      </x:c>
      <x:c r="C430" s="22" t="b">
        <x:v>1</x:v>
      </x:c>
      <x:c r="D430" s="11" t="n">
        <x:v>0.974406389624584</x:v>
      </x:c>
      <x:c r="E430" s="11" t="n">
        <x:v>0.968198187756683</x:v>
      </x:c>
      <x:c r="F430" s="11" t="n">
        <x:v>0.3848511522995083</x:v>
      </x:c>
      <x:c r="G430" s="11" t="n">
        <x:v>0.006208201867901053</x:v>
      </x:c>
      <x:c r="H430" s="11" t="n">
        <x:v>0.5895552373250758</x:v>
      </x:c>
      <x:c r="I430" s="11" t="n">
        <x:v>1</x:v>
      </x:c>
      <x:c r="J430" s="13" t="n">
        <x:v>15</x:v>
      </x:c>
      <x:c r="K430" s="22" t="b">
        <x:v>1</x:v>
      </x:c>
      <x:c r="L430" s="13" t="n">
        <x:v>81</x:v>
      </x:c>
      <x:c r="M430" s="13" t="n">
        <x:v>26</x:v>
      </x:c>
    </x:row>
    <x:row r="431" ht="22" customHeight="1">
      <x:c r="A431" s="17" t="str">
        <x:f>"05131500"</x:f>
        <x:v>05131500</x:v>
      </x:c>
      <x:c r="B431" s="13" t="n">
        <x:v>42</x:v>
      </x:c>
      <x:c r="C431" s="22" t="b">
        <x:v>0</x:v>
      </x:c>
      <x:c r="D431" s="11" t="n">
        <x:v>0.6596487807888144</x:v>
      </x:c>
      <x:c r="E431" s="11" t="n">
        <x:v>0.6381871036399439</x:v>
      </x:c>
      <x:c r="F431" s="11" t="n">
        <x:v>-0.5661811148790219</x:v>
      </x:c>
      <x:c r="G431" s="11" t="n">
        <x:v>0.021461677148870484</x:v>
      </x:c>
      <x:c r="H431" s="11" t="n">
        <x:v>1.2258298956678364</x:v>
      </x:c>
      <x:c r="I431" s="11" t="n">
        <x:v>0.9</x:v>
      </x:c>
      <x:c r="J431" s="13" t="n">
        <x:v>20</x:v>
      </x:c>
      <x:c r="K431" s="22" t="b">
        <x:v>1</x:v>
      </x:c>
      <x:c r="L431" s="13" t="n">
        <x:v>215</x:v>
      </x:c>
      <x:c r="M431" s="13" t="n">
        <x:v>119</x:v>
      </x:c>
    </x:row>
    <x:row r="432" ht="22" customHeight="1">
      <x:c r="A432" s="17" t="str">
        <x:f>"05291000"</x:f>
        <x:v>05291000</x:v>
      </x:c>
      <x:c r="B432" s="13" t="n">
        <x:v>42</x:v>
      </x:c>
      <x:c r="C432" s="22" t="b">
        <x:v>1</x:v>
      </x:c>
      <x:c r="D432" s="11" t="n">
        <x:v>0.8213223714803389</x:v>
      </x:c>
      <x:c r="E432" s="11" t="n">
        <x:v>0.7110237818467569</x:v>
      </x:c>
      <x:c r="F432" s="11" t="n">
        <x:v>0.6695473544234364</x:v>
      </x:c>
      <x:c r="G432" s="11" t="n">
        <x:v>0.11029858963358208</x:v>
      </x:c>
      <x:c r="H432" s="11" t="n">
        <x:v>0.15177501705690255</x:v>
      </x:c>
      <x:c r="I432" s="11" t="n">
        <x:v>1</x:v>
      </x:c>
      <x:c r="J432" s="13" t="n">
        <x:v>14</x:v>
      </x:c>
      <x:c r="K432" s="22" t="b">
        <x:v>0</x:v>
      </x:c>
      <x:c r="L432" s="13" t="n">
        <x:v>111</x:v>
      </x:c>
      <x:c r="M432" s="13" t="n">
        <x:v>37</x:v>
      </x:c>
    </x:row>
    <x:row r="433" ht="22" customHeight="1">
      <x:c r="A433" s="17" t="str">
        <x:f>"05291000"</x:f>
        <x:v>05291000</x:v>
      </x:c>
      <x:c r="B433" s="13" t="n">
        <x:v>42</x:v>
      </x:c>
      <x:c r="C433" s="22" t="b">
        <x:v>0</x:v>
      </x:c>
      <x:c r="D433" s="11" t="n">
        <x:v>0.33080744168244125</x:v>
      </x:c>
      <x:c r="E433" s="11" t="n">
        <x:v>0.3014970667952982</x:v>
      </x:c>
      <x:c r="F433" s="11" t="n">
        <x:v>-0.5857374847069887</x:v>
      </x:c>
      <x:c r="G433" s="11" t="n">
        <x:v>0.029310374887143054</x:v>
      </x:c>
      <x:c r="H433" s="11" t="n">
        <x:v>0.91654492638943</x:v>
      </x:c>
      <x:c r="I433" s="11" t="n">
        <x:v>0.9</x:v>
      </x:c>
      <x:c r="J433" s="13" t="n">
        <x:v>20</x:v>
      </x:c>
      <x:c r="K433" s="22" t="b">
        <x:v>1</x:v>
      </x:c>
      <x:c r="L433" s="13" t="n">
        <x:v>124</x:v>
      </x:c>
      <x:c r="M433" s="13" t="n">
        <x:v>43</x:v>
      </x:c>
    </x:row>
    <x:row r="434" ht="22" customHeight="1">
      <x:c r="A434" s="17" t="str">
        <x:f>"05362000"</x:f>
        <x:v>05362000</x:v>
      </x:c>
      <x:c r="B434" s="13" t="n">
        <x:v>42</x:v>
      </x:c>
      <x:c r="C434" s="22" t="b">
        <x:v>1</x:v>
      </x:c>
      <x:c r="D434" s="11" t="n">
        <x:v>0.88419295797587</x:v>
      </x:c>
      <x:c r="E434" s="11" t="n">
        <x:v>0.8685999379927429</x:v>
      </x:c>
      <x:c r="F434" s="11" t="n">
        <x:v>-0.043115350046834866</x:v>
      </x:c>
      <x:c r="G434" s="11" t="n">
        <x:v>0.015593019983127121</x:v>
      </x:c>
      <x:c r="H434" s="11" t="n">
        <x:v>0.9273083080227049</x:v>
      </x:c>
      <x:c r="I434" s="11" t="n">
        <x:v>1</x:v>
      </x:c>
      <x:c r="J434" s="13" t="n">
        <x:v>17</x:v>
      </x:c>
      <x:c r="K434" s="22" t="b">
        <x:v>1</x:v>
      </x:c>
      <x:c r="L434" s="13" t="n">
        <x:v>91</x:v>
      </x:c>
      <x:c r="M434" s="13" t="n">
        <x:v>29</x:v>
      </x:c>
    </x:row>
    <x:row r="435" ht="22" customHeight="1">
      <x:c r="A435" s="17" t="str">
        <x:f>"05362000"</x:f>
        <x:v>05362000</x:v>
      </x:c>
      <x:c r="B435" s="13" t="n">
        <x:v>42</x:v>
      </x:c>
      <x:c r="C435" s="22" t="b">
        <x:v>0</x:v>
      </x:c>
      <x:c r="D435" s="11" t="n">
        <x:v>0.6052081070703226</x:v>
      </x:c>
      <x:c r="E435" s="11" t="n">
        <x:v>0.5115380901652316</x:v>
      </x:c>
      <x:c r="F435" s="11" t="n">
        <x:v>0.3240107037298041</x:v>
      </x:c>
      <x:c r="G435" s="11" t="n">
        <x:v>0.09367001690509102</x:v>
      </x:c>
      <x:c r="H435" s="11" t="n">
        <x:v>0.28119740334051846</x:v>
      </x:c>
      <x:c r="I435" s="11" t="n">
        <x:v>0.95</x:v>
      </x:c>
      <x:c r="J435" s="13" t="n">
        <x:v>20</x:v>
      </x:c>
      <x:c r="K435" s="22" t="b">
        <x:v>0</x:v>
      </x:c>
      <x:c r="L435" s="13" t="n">
        <x:v>226</x:v>
      </x:c>
      <x:c r="M435" s="13" t="n">
        <x:v>130</x:v>
      </x:c>
    </x:row>
    <x:row r="436" ht="22" customHeight="1">
      <x:c r="A436" s="17" t="str">
        <x:f>"05393500"</x:f>
        <x:v>05393500</x:v>
      </x:c>
      <x:c r="B436" s="13" t="n">
        <x:v>42</x:v>
      </x:c>
      <x:c r="C436" s="22" t="b">
        <x:v>1</x:v>
      </x:c>
      <x:c r="D436" s="11" t="n">
        <x:v>0.8143833532419353</x:v>
      </x:c>
      <x:c r="E436" s="11" t="n">
        <x:v>0.7574261374800011</x:v>
      </x:c>
      <x:c r="F436" s="11" t="n">
        <x:v>0.5783685116766859</x:v>
      </x:c>
      <x:c r="G436" s="11" t="n">
        <x:v>0.05695721576193424</x:v>
      </x:c>
      <x:c r="H436" s="11" t="n">
        <x:v>0.23601484156524943</x:v>
      </x:c>
      <x:c r="I436" s="11" t="n">
        <x:v>1</x:v>
      </x:c>
      <x:c r="J436" s="13" t="n">
        <x:v>16</x:v>
      </x:c>
      <x:c r="K436" s="22" t="b">
        <x:v>0</x:v>
      </x:c>
      <x:c r="L436" s="13" t="n">
        <x:v>115</x:v>
      </x:c>
      <x:c r="M436" s="13" t="n">
        <x:v>38</x:v>
      </x:c>
    </x:row>
    <x:row r="437" ht="22" customHeight="1">
      <x:c r="A437" s="17" t="str">
        <x:f>"05393500"</x:f>
        <x:v>05393500</x:v>
      </x:c>
      <x:c r="B437" s="13" t="n">
        <x:v>42</x:v>
      </x:c>
      <x:c r="C437" s="22" t="b">
        <x:v>0</x:v>
      </x:c>
      <x:c r="D437" s="11" t="n">
        <x:v>0.5887029371109589</x:v>
      </x:c>
      <x:c r="E437" s="11" t="n">
        <x:v>0.5895977300836277</x:v>
      </x:c>
      <x:c r="F437" s="11" t="n">
        <x:v>-1.4980895415678477</x:v>
      </x:c>
      <x:c r="G437" s="11" t="n">
        <x:v>-0.000894792972668812</x:v>
      </x:c>
      <x:c r="H437" s="11" t="n">
        <x:v>2.086792478678807</x:v>
      </x:c>
      <x:c r="I437" s="11" t="n">
        <x:v>0.7</x:v>
      </x:c>
      <x:c r="J437" s="13" t="n">
        <x:v>20</x:v>
      </x:c>
      <x:c r="K437" s="22" t="b">
        <x:v>0</x:v>
      </x:c>
      <x:c r="L437" s="13" t="n">
        <x:v>132</x:v>
      </x:c>
      <x:c r="M437" s="13" t="n">
        <x:v>47</x:v>
      </x:c>
    </x:row>
    <x:row r="438" ht="22" customHeight="1">
      <x:c r="A438" s="17" t="str">
        <x:f>"05399500"</x:f>
        <x:v>05399500</x:v>
      </x:c>
      <x:c r="B438" s="13" t="n">
        <x:v>42</x:v>
      </x:c>
      <x:c r="C438" s="22" t="b">
        <x:v>1</x:v>
      </x:c>
      <x:c r="D438" s="11" t="n">
        <x:v>0.6120894162311761</x:v>
      </x:c>
      <x:c r="E438" s="11" t="n">
        <x:v>0.525807884206203</x:v>
      </x:c>
      <x:c r="F438" s="11" t="n">
        <x:v>0.5933382660514841</x:v>
      </x:c>
      <x:c r="G438" s="11" t="n">
        <x:v>0.08628153202497313</x:v>
      </x:c>
      <x:c r="H438" s="11" t="n">
        <x:v>0.018751150179691978</x:v>
      </x:c>
      <x:c r="I438" s="11" t="n">
        <x:v>1</x:v>
      </x:c>
      <x:c r="J438" s="13" t="n">
        <x:v>19</x:v>
      </x:c>
      <x:c r="K438" s="22" t="b">
        <x:v>0</x:v>
      </x:c>
      <x:c r="L438" s="13" t="n">
        <x:v>106</x:v>
      </x:c>
      <x:c r="M438" s="13" t="n">
        <x:v>34</x:v>
      </x:c>
    </x:row>
    <x:row r="439" ht="22" customHeight="1">
      <x:c r="A439" s="17" t="str">
        <x:f>"05399500"</x:f>
        <x:v>05399500</x:v>
      </x:c>
      <x:c r="B439" s="13" t="n">
        <x:v>42</x:v>
      </x:c>
      <x:c r="C439" s="22" t="b">
        <x:v>0</x:v>
      </x:c>
      <x:c r="D439" s="11" t="n">
        <x:v>0.37083554056395085</x:v>
      </x:c>
      <x:c r="E439" s="11" t="n">
        <x:v>0.391594153047946</x:v>
      </x:c>
      <x:c r="F439" s="11" t="n">
        <x:v>-0.8772140840448017</x:v>
      </x:c>
      <x:c r="G439" s="11" t="n">
        <x:v>-0.02075861248399513</x:v>
      </x:c>
      <x:c r="H439" s="11" t="n">
        <x:v>1.2480496246087527</x:v>
      </x:c>
      <x:c r="I439" s="11" t="n">
        <x:v>0.4</x:v>
      </x:c>
      <x:c r="J439" s="13" t="n">
        <x:v>20</x:v>
      </x:c>
      <x:c r="K439" s="22" t="b">
        <x:v>0</x:v>
      </x:c>
      <x:c r="L439" s="13" t="n">
        <x:v>143</x:v>
      </x:c>
      <x:c r="M439" s="13" t="n">
        <x:v>54</x:v>
      </x:c>
    </x:row>
    <x:row r="440" ht="22" customHeight="1">
      <x:c r="A440" s="17" t="str">
        <x:f>"05408000"</x:f>
        <x:v>05408000</x:v>
      </x:c>
      <x:c r="B440" s="13" t="n">
        <x:v>42</x:v>
      </x:c>
      <x:c r="C440" s="22" t="b">
        <x:v>1</x:v>
      </x:c>
      <x:c r="D440" s="11" t="n">
        <x:v>0.3990645792347235</x:v>
      </x:c>
      <x:c r="E440" s="11" t="n">
        <x:v>0.46162045367082505</x:v>
      </x:c>
      <x:c r="F440" s="11" t="n">
        <x:v>0.20035942771846837</x:v>
      </x:c>
      <x:c r="G440" s="11" t="n">
        <x:v>-0.06255587443610156</x:v>
      </x:c>
      <x:c r="H440" s="11" t="n">
        <x:v>0.19870515151625512</x:v>
      </x:c>
      <x:c r="I440" s="11" t="n">
        <x:v>0.8</x:v>
      </x:c>
      <x:c r="J440" s="13" t="n">
        <x:v>20</x:v>
      </x:c>
      <x:c r="K440" s="22" t="b">
        <x:v>1</x:v>
      </x:c>
      <x:c r="L440" s="13" t="n">
        <x:v>117</x:v>
      </x:c>
      <x:c r="M440" s="13" t="n">
        <x:v>39</x:v>
      </x:c>
    </x:row>
    <x:row r="441" ht="22" customHeight="1">
      <x:c r="A441" s="17" t="str">
        <x:f>"05408000"</x:f>
        <x:v>05408000</x:v>
      </x:c>
      <x:c r="B441" s="13" t="n">
        <x:v>42</x:v>
      </x:c>
      <x:c r="C441" s="22" t="b">
        <x:v>0</x:v>
      </x:c>
      <x:c r="D441" s="11" t="n">
        <x:v>0.2014054408149415</x:v>
      </x:c>
      <x:c r="E441" s="11" t="n">
        <x:v>0.260174399108116</x:v>
      </x:c>
      <x:c r="F441" s="11" t="n">
        <x:v>-0.21368958481313083</x:v>
      </x:c>
      <x:c r="G441" s="11" t="n">
        <x:v>-0.05876895829317452</x:v>
      </x:c>
      <x:c r="H441" s="11" t="n">
        <x:v>0.4150950256280723</x:v>
      </x:c>
      <x:c r="I441" s="11" t="n">
        <x:v>0</x:v>
      </x:c>
      <x:c r="J441" s="13" t="n">
        <x:v>18</x:v>
      </x:c>
      <x:c r="K441" s="22" t="b">
        <x:v>0</x:v>
      </x:c>
      <x:c r="L441" s="13" t="n">
        <x:v>117</x:v>
      </x:c>
      <x:c r="M441" s="13" t="n">
        <x:v>39</x:v>
      </x:c>
    </x:row>
    <x:row r="442" ht="22" customHeight="1">
      <x:c r="A442" s="17" t="str">
        <x:f>"05412500"</x:f>
        <x:v>05412500</x:v>
      </x:c>
      <x:c r="B442" s="13" t="n">
        <x:v>42</x:v>
      </x:c>
      <x:c r="C442" s="22" t="b">
        <x:v>1</x:v>
      </x:c>
      <x:c r="D442" s="11" t="n">
        <x:v>0.7832320217178124</x:v>
      </x:c>
      <x:c r="E442" s="11" t="n">
        <x:v>0.7801520342976664</x:v>
      </x:c>
      <x:c r="F442" s="11" t="n">
        <x:v>-0.8138715305247248</x:v>
      </x:c>
      <x:c r="G442" s="11" t="n">
        <x:v>0.0030799874201459243</x:v>
      </x:c>
      <x:c r="H442" s="11" t="n">
        <x:v>1.5971035522425372</x:v>
      </x:c>
      <x:c r="I442" s="11"/>
      <x:c r="J442" s="13" t="n">
        <x:v>0</x:v>
      </x:c>
      <x:c r="K442" s="22" t="b">
        <x:v>0</x:v>
      </x:c>
      <x:c r="L442" s="13" t="n">
        <x:v>54</x:v>
      </x:c>
      <x:c r="M442" s="13" t="n">
        <x:v>18</x:v>
      </x:c>
    </x:row>
    <x:row r="443" ht="22" customHeight="1">
      <x:c r="A443" s="17" t="str">
        <x:f>"05412500"</x:f>
        <x:v>05412500</x:v>
      </x:c>
      <x:c r="B443" s="13" t="n">
        <x:v>42</x:v>
      </x:c>
      <x:c r="C443" s="22" t="b">
        <x:v>0</x:v>
      </x:c>
      <x:c r="D443" s="11" t="n">
        <x:v>0.5236800678727543</x:v>
      </x:c>
      <x:c r="E443" s="11" t="n">
        <x:v>0.5675398609204085</x:v>
      </x:c>
      <x:c r="F443" s="11" t="n">
        <x:v>-0.31875261086651663</x:v>
      </x:c>
      <x:c r="G443" s="11" t="n">
        <x:v>-0.043859793047654194</x:v>
      </x:c>
      <x:c r="H443" s="11" t="n">
        <x:v>0.842432678739271</x:v>
      </x:c>
      <x:c r="I443" s="11" t="n">
        <x:v>1</x:v>
      </x:c>
      <x:c r="J443" s="13" t="n">
        <x:v>17</x:v>
      </x:c>
      <x:c r="K443" s="22" t="b">
        <x:v>1</x:v>
      </x:c>
      <x:c r="L443" s="13" t="n">
        <x:v>99</x:v>
      </x:c>
      <x:c r="M443" s="13" t="n">
        <x:v>32</x:v>
      </x:c>
    </x:row>
    <x:row r="444" ht="22" customHeight="1">
      <x:c r="A444" s="17" t="str">
        <x:f>"05413500"</x:f>
        <x:v>05413500</x:v>
      </x:c>
      <x:c r="B444" s="13" t="n">
        <x:v>42</x:v>
      </x:c>
      <x:c r="C444" s="22" t="b">
        <x:v>1</x:v>
      </x:c>
      <x:c r="D444" s="11" t="n">
        <x:v>0.419683962395905</x:v>
      </x:c>
      <x:c r="E444" s="11" t="n">
        <x:v>0.40206359982038264</x:v>
      </x:c>
      <x:c r="F444" s="11" t="n">
        <x:v>0.1876109984926545</x:v>
      </x:c>
      <x:c r="G444" s="11" t="n">
        <x:v>0.017620362575522353</x:v>
      </x:c>
      <x:c r="H444" s="11" t="n">
        <x:v>0.2320729639032505</x:v>
      </x:c>
      <x:c r="I444" s="11" t="n">
        <x:v>1</x:v>
      </x:c>
      <x:c r="J444" s="13" t="n">
        <x:v>19</x:v>
      </x:c>
      <x:c r="K444" s="22" t="b">
        <x:v>1</x:v>
      </x:c>
      <x:c r="L444" s="13" t="n">
        <x:v>84</x:v>
      </x:c>
      <x:c r="M444" s="13" t="n">
        <x:v>27</x:v>
      </x:c>
    </x:row>
    <x:row r="445" ht="22" customHeight="1">
      <x:c r="A445" s="17" t="str">
        <x:f>"05413500"</x:f>
        <x:v>05413500</x:v>
      </x:c>
      <x:c r="B445" s="13" t="n">
        <x:v>42</x:v>
      </x:c>
      <x:c r="C445" s="22" t="b">
        <x:v>0</x:v>
      </x:c>
      <x:c r="D445" s="11" t="n">
        <x:v>0.12382343711578092</x:v>
      </x:c>
      <x:c r="E445" s="11" t="n">
        <x:v>0.15241074839848445</x:v>
      </x:c>
      <x:c r="F445" s="11" t="n">
        <x:v>0.039166597358915256</x:v>
      </x:c>
      <x:c r="G445" s="11" t="n">
        <x:v>-0.02858731128270353</x:v>
      </x:c>
      <x:c r="H445" s="11" t="n">
        <x:v>0.08465683975686566</x:v>
      </x:c>
      <x:c r="I445" s="11" t="n">
        <x:v>1</x:v>
      </x:c>
      <x:c r="J445" s="13" t="n">
        <x:v>20</x:v>
      </x:c>
      <x:c r="K445" s="22" t="b">
        <x:v>1</x:v>
      </x:c>
      <x:c r="L445" s="13" t="n">
        <x:v>155</x:v>
      </x:c>
      <x:c r="M445" s="13" t="n">
        <x:v>65</x:v>
      </x:c>
    </x:row>
    <x:row r="446" ht="22" customHeight="1">
      <x:c r="A446" s="17" t="str">
        <x:f>"05414000"</x:f>
        <x:v>05414000</x:v>
      </x:c>
      <x:c r="B446" s="13" t="n">
        <x:v>42</x:v>
      </x:c>
      <x:c r="C446" s="22" t="b">
        <x:v>1</x:v>
      </x:c>
      <x:c r="D446" s="11" t="n">
        <x:v>0.43690177079301884</x:v>
      </x:c>
      <x:c r="E446" s="11" t="n">
        <x:v>0.4236247076034201</x:v>
      </x:c>
      <x:c r="F446" s="11" t="n">
        <x:v>0.3312019811382335</x:v>
      </x:c>
      <x:c r="G446" s="11" t="n">
        <x:v>0.013277063189598759</x:v>
      </x:c>
      <x:c r="H446" s="11" t="n">
        <x:v>0.10569978965478533</x:v>
      </x:c>
      <x:c r="I446" s="11" t="n">
        <x:v>1</x:v>
      </x:c>
      <x:c r="J446" s="13" t="n">
        <x:v>11</x:v>
      </x:c>
      <x:c r="K446" s="22" t="b">
        <x:v>1</x:v>
      </x:c>
      <x:c r="L446" s="13" t="n">
        <x:v>62</x:v>
      </x:c>
      <x:c r="M446" s="13" t="n">
        <x:v>21</x:v>
      </x:c>
    </x:row>
    <x:row r="447" ht="22" customHeight="1">
      <x:c r="A447" s="17" t="str">
        <x:f>"05414000"</x:f>
        <x:v>05414000</x:v>
      </x:c>
      <x:c r="B447" s="13" t="n">
        <x:v>42</x:v>
      </x:c>
      <x:c r="C447" s="22" t="b">
        <x:v>0</x:v>
      </x:c>
      <x:c r="D447" s="11" t="n">
        <x:v>0.1779798017802834</x:v>
      </x:c>
      <x:c r="E447" s="11" t="n">
        <x:v>0.2502320238533421</x:v>
      </x:c>
      <x:c r="F447" s="11" t="n">
        <x:v>0.22845737029284452</x:v>
      </x:c>
      <x:c r="G447" s="11" t="n">
        <x:v>-0.0722522220730587</x:v>
      </x:c>
      <x:c r="H447" s="11" t="n">
        <x:v>-0.05047756851256113</x:v>
      </x:c>
      <x:c r="I447" s="11" t="n">
        <x:v>1</x:v>
      </x:c>
      <x:c r="J447" s="13" t="n">
        <x:v>17</x:v>
      </x:c>
      <x:c r="K447" s="22" t="b">
        <x:v>0</x:v>
      </x:c>
      <x:c r="L447" s="13" t="n">
        <x:v>92</x:v>
      </x:c>
      <x:c r="M447" s="13" t="n">
        <x:v>30</x:v>
      </x:c>
    </x:row>
    <x:row r="448" ht="22" customHeight="1">
      <x:c r="A448" s="17" t="str">
        <x:f>"05444000"</x:f>
        <x:v>05444000</x:v>
      </x:c>
      <x:c r="B448" s="13" t="n">
        <x:v>42</x:v>
      </x:c>
      <x:c r="C448" s="22" t="b">
        <x:v>1</x:v>
      </x:c>
      <x:c r="D448" s="11" t="n">
        <x:v>0.48907523311231815</x:v>
      </x:c>
      <x:c r="E448" s="11" t="n">
        <x:v>0.4991777311037844</x:v>
      </x:c>
      <x:c r="F448" s="11" t="n">
        <x:v>0.4310098098598866</x:v>
      </x:c>
      <x:c r="G448" s="11" t="n">
        <x:v>-0.01010249799146623</x:v>
      </x:c>
      <x:c r="H448" s="11" t="n">
        <x:v>0.05806542325243158</x:v>
      </x:c>
      <x:c r="I448" s="11" t="n">
        <x:v>0.9</x:v>
      </x:c>
      <x:c r="J448" s="13" t="n">
        <x:v>20</x:v>
      </x:c>
      <x:c r="K448" s="22" t="b">
        <x:v>1</x:v>
      </x:c>
      <x:c r="L448" s="13" t="n">
        <x:v>109</x:v>
      </x:c>
      <x:c r="M448" s="13" t="n">
        <x:v>36</x:v>
      </x:c>
    </x:row>
    <x:row r="449" ht="22" customHeight="1">
      <x:c r="A449" s="17" t="str">
        <x:f>"05444000"</x:f>
        <x:v>05444000</x:v>
      </x:c>
      <x:c r="B449" s="13" t="n">
        <x:v>42</x:v>
      </x:c>
      <x:c r="C449" s="22" t="b">
        <x:v>0</x:v>
      </x:c>
      <x:c r="D449" s="11" t="n">
        <x:v>0.32194348587111987</x:v>
      </x:c>
      <x:c r="E449" s="11" t="n">
        <x:v>0.2839172392875797</x:v>
      </x:c>
      <x:c r="F449" s="11" t="n">
        <x:v>0.08290026141572815</x:v>
      </x:c>
      <x:c r="G449" s="11" t="n">
        <x:v>0.038026246583540146</x:v>
      </x:c>
      <x:c r="H449" s="11" t="n">
        <x:v>0.23904322445539172</x:v>
      </x:c>
      <x:c r="I449" s="11" t="n">
        <x:v>0.9</x:v>
      </x:c>
      <x:c r="J449" s="13" t="n">
        <x:v>20</x:v>
      </x:c>
      <x:c r="K449" s="22" t="b">
        <x:v>1</x:v>
      </x:c>
      <x:c r="L449" s="13" t="n">
        <x:v>132</x:v>
      </x:c>
      <x:c r="M449" s="13" t="n">
        <x:v>47</x:v>
      </x:c>
    </x:row>
    <x:row r="450" ht="22" customHeight="1">
      <x:c r="A450" s="17" t="str">
        <x:f>"05454000"</x:f>
        <x:v>05454000</x:v>
      </x:c>
      <x:c r="B450" s="13" t="n">
        <x:v>42</x:v>
      </x:c>
      <x:c r="C450" s="22" t="b">
        <x:v>1</x:v>
      </x:c>
      <x:c r="D450" s="11" t="n">
        <x:v>0.2586038371369276</x:v>
      </x:c>
      <x:c r="E450" s="11" t="n">
        <x:v>0.25202719786777084</x:v>
      </x:c>
      <x:c r="F450" s="11" t="n">
        <x:v>0.23311065800252095</x:v>
      </x:c>
      <x:c r="G450" s="11" t="n">
        <x:v>0.006576639269156748</x:v>
      </x:c>
      <x:c r="H450" s="11" t="n">
        <x:v>0.02549317913440663</x:v>
      </x:c>
      <x:c r="I450" s="11"/>
      <x:c r="J450" s="13" t="n">
        <x:v>0</x:v>
      </x:c>
      <x:c r="K450" s="22" t="b">
        <x:v>0</x:v>
      </x:c>
      <x:c r="L450" s="13" t="n">
        <x:v>52</x:v>
      </x:c>
      <x:c r="M450" s="13" t="n">
        <x:v>18</x:v>
      </x:c>
    </x:row>
    <x:row r="451" ht="22" customHeight="1">
      <x:c r="A451" s="17" t="str">
        <x:f>"05454000"</x:f>
        <x:v>05454000</x:v>
      </x:c>
      <x:c r="B451" s="13" t="n">
        <x:v>42</x:v>
      </x:c>
      <x:c r="C451" s="22" t="b">
        <x:v>0</x:v>
      </x:c>
      <x:c r="D451" s="11" t="n">
        <x:v>0.1757840243562082</x:v>
      </x:c>
      <x:c r="E451" s="11" t="n">
        <x:v>0.17530002677345413</x:v>
      </x:c>
      <x:c r="F451" s="11" t="n">
        <x:v>0.09010721198848515</x:v>
      </x:c>
      <x:c r="G451" s="11" t="n">
        <x:v>0.000483997582754081</x:v>
      </x:c>
      <x:c r="H451" s="11" t="n">
        <x:v>0.08567681236772307</x:v>
      </x:c>
      <x:c r="I451" s="11" t="n">
        <x:v>0.25</x:v>
      </x:c>
      <x:c r="J451" s="13" t="n">
        <x:v>20</x:v>
      </x:c>
      <x:c r="K451" s="22" t="b">
        <x:v>0</x:v>
      </x:c>
      <x:c r="L451" s="13" t="n">
        <x:v>121</x:v>
      </x:c>
      <x:c r="M451" s="13" t="n">
        <x:v>41</x:v>
      </x:c>
    </x:row>
    <x:row r="452" ht="22" customHeight="1">
      <x:c r="A452" s="17" t="str">
        <x:f>"05458000"</x:f>
        <x:v>05458000</x:v>
      </x:c>
      <x:c r="B452" s="13" t="n">
        <x:v>42</x:v>
      </x:c>
      <x:c r="C452" s="22" t="b">
        <x:v>1</x:v>
      </x:c>
      <x:c r="D452" s="11" t="n">
        <x:v>0.7627274302669629</x:v>
      </x:c>
      <x:c r="E452" s="11" t="n">
        <x:v>0.7553881645034987</x:v>
      </x:c>
      <x:c r="F452" s="11" t="n">
        <x:v>0.24690666789061577</x:v>
      </x:c>
      <x:c r="G452" s="11" t="n">
        <x:v>0.00733926576346422</x:v>
      </x:c>
      <x:c r="H452" s="11" t="n">
        <x:v>0.5158207623763471</x:v>
      </x:c>
      <x:c r="I452" s="11" t="n">
        <x:v>0.4</x:v>
      </x:c>
      <x:c r="J452" s="13" t="n">
        <x:v>15</x:v>
      </x:c>
      <x:c r="K452" s="22" t="b">
        <x:v>0</x:v>
      </x:c>
      <x:c r="L452" s="13" t="n">
        <x:v>79</x:v>
      </x:c>
      <x:c r="M452" s="13" t="n">
        <x:v>26</x:v>
      </x:c>
    </x:row>
    <x:row r="453" ht="22" customHeight="1">
      <x:c r="A453" s="17" t="str">
        <x:f>"05458000"</x:f>
        <x:v>05458000</x:v>
      </x:c>
      <x:c r="B453" s="13" t="n">
        <x:v>42</x:v>
      </x:c>
      <x:c r="C453" s="22" t="b">
        <x:v>0</x:v>
      </x:c>
      <x:c r="D453" s="11" t="n">
        <x:v>0.542624563583209</x:v>
      </x:c>
      <x:c r="E453" s="11" t="n">
        <x:v>0.4888804402998268</x:v>
      </x:c>
      <x:c r="F453" s="11" t="n">
        <x:v>-0.3525918776770842</x:v>
      </x:c>
      <x:c r="G453" s="11" t="n">
        <x:v>0.053744123283382184</x:v>
      </x:c>
      <x:c r="H453" s="11" t="n">
        <x:v>0.8952164412602932</x:v>
      </x:c>
      <x:c r="I453" s="11" t="n">
        <x:v>0</x:v>
      </x:c>
      <x:c r="J453" s="13" t="n">
        <x:v>14</x:v>
      </x:c>
      <x:c r="K453" s="22" t="b">
        <x:v>0</x:v>
      </x:c>
      <x:c r="L453" s="13" t="n">
        <x:v>111</x:v>
      </x:c>
      <x:c r="M453" s="13" t="n">
        <x:v>37</x:v>
      </x:c>
    </x:row>
    <x:row r="454" ht="22" customHeight="1">
      <x:c r="A454" s="17" t="str">
        <x:f>"05466500"</x:f>
        <x:v>05466500</x:v>
      </x:c>
      <x:c r="B454" s="13" t="n">
        <x:v>42</x:v>
      </x:c>
      <x:c r="C454" s="22" t="b">
        <x:v>1</x:v>
      </x:c>
      <x:c r="D454" s="11" t="n">
        <x:v>0.8691736093572539</x:v>
      </x:c>
      <x:c r="E454" s="11" t="n">
        <x:v>0.8564084888870408</x:v>
      </x:c>
      <x:c r="F454" s="11" t="n">
        <x:v>0.7145905263711897</x:v>
      </x:c>
      <x:c r="G454" s="11" t="n">
        <x:v>0.012765120470213054</x:v>
      </x:c>
      <x:c r="H454" s="11" t="n">
        <x:v>0.15458308298606416</x:v>
      </x:c>
      <x:c r="I454" s="11"/>
      <x:c r="J454" s="13" t="n">
        <x:v>0</x:v>
      </x:c>
      <x:c r="K454" s="22" t="b">
        <x:v>0</x:v>
      </x:c>
      <x:c r="L454" s="13" t="n">
        <x:v>84</x:v>
      </x:c>
      <x:c r="M454" s="13" t="n">
        <x:v>27</x:v>
      </x:c>
    </x:row>
    <x:row r="455" ht="22" customHeight="1">
      <x:c r="A455" s="17" t="str">
        <x:f>"05466500"</x:f>
        <x:v>05466500</x:v>
      </x:c>
      <x:c r="B455" s="13" t="n">
        <x:v>42</x:v>
      </x:c>
      <x:c r="C455" s="22" t="b">
        <x:v>0</x:v>
      </x:c>
      <x:c r="D455" s="11" t="n">
        <x:v>0.6668938462509129</x:v>
      </x:c>
      <x:c r="E455" s="11" t="n">
        <x:v>0.6304088407891033</x:v>
      </x:c>
      <x:c r="F455" s="11" t="n">
        <x:v>-0.4790403978623037</x:v>
      </x:c>
      <x:c r="G455" s="11" t="n">
        <x:v>0.03648500546180955</x:v>
      </x:c>
      <x:c r="H455" s="11" t="n">
        <x:v>1.1459342441132165</x:v>
      </x:c>
      <x:c r="I455" s="11" t="n">
        <x:v>0.95</x:v>
      </x:c>
      <x:c r="J455" s="13" t="n">
        <x:v>20</x:v>
      </x:c>
      <x:c r="K455" s="22" t="b">
        <x:v>1</x:v>
      </x:c>
      <x:c r="L455" s="13" t="n">
        <x:v>122</x:v>
      </x:c>
      <x:c r="M455" s="13" t="n">
        <x:v>41</x:v>
      </x:c>
    </x:row>
    <x:row r="456" ht="22" customHeight="1">
      <x:c r="A456" s="17" t="str">
        <x:f>"05487980"</x:f>
        <x:v>05487980</x:v>
      </x:c>
      <x:c r="B456" s="13" t="n">
        <x:v>42</x:v>
      </x:c>
      <x:c r="C456" s="22" t="b">
        <x:v>1</x:v>
      </x:c>
      <x:c r="D456" s="11" t="n">
        <x:v>0.4986000934576107</x:v>
      </x:c>
      <x:c r="E456" s="11" t="n">
        <x:v>0.40984522235399534</x:v>
      </x:c>
      <x:c r="F456" s="11" t="n">
        <x:v>-0.08390761071102504</x:v>
      </x:c>
      <x:c r="G456" s="11" t="n">
        <x:v>0.08875487110361535</x:v>
      </x:c>
      <x:c r="H456" s="11" t="n">
        <x:v>0.5825077041686357</x:v>
      </x:c>
      <x:c r="I456" s="11" t="n">
        <x:v>1</x:v>
      </x:c>
      <x:c r="J456" s="13" t="n">
        <x:v>19</x:v>
      </x:c>
      <x:c r="K456" s="22" t="b">
        <x:v>0</x:v>
      </x:c>
      <x:c r="L456" s="13" t="n">
        <x:v>95</x:v>
      </x:c>
      <x:c r="M456" s="13" t="n">
        <x:v>31</x:v>
      </x:c>
    </x:row>
    <x:row r="457" ht="22" customHeight="1">
      <x:c r="A457" s="17" t="str">
        <x:f>"05487980"</x:f>
        <x:v>05487980</x:v>
      </x:c>
      <x:c r="B457" s="13" t="n">
        <x:v>42</x:v>
      </x:c>
      <x:c r="C457" s="22" t="b">
        <x:v>0</x:v>
      </x:c>
      <x:c r="D457" s="11" t="n">
        <x:v>0.33945498920920114</x:v>
      </x:c>
      <x:c r="E457" s="11" t="n">
        <x:v>0.32387320001065356</x:v>
      </x:c>
      <x:c r="F457" s="11" t="n">
        <x:v>0.265996901297912</x:v>
      </x:c>
      <x:c r="G457" s="11" t="n">
        <x:v>0.01558178919854758</x:v>
      </x:c>
      <x:c r="H457" s="11" t="n">
        <x:v>0.07345808791128916</x:v>
      </x:c>
      <x:c r="I457" s="11" t="n">
        <x:v>1</x:v>
      </x:c>
      <x:c r="J457" s="13" t="n">
        <x:v>20</x:v>
      </x:c>
      <x:c r="K457" s="22" t="b">
        <x:v>1</x:v>
      </x:c>
      <x:c r="L457" s="13" t="n">
        <x:v>121</x:v>
      </x:c>
      <x:c r="M457" s="13" t="n">
        <x:v>41</x:v>
      </x:c>
    </x:row>
    <x:row r="458" ht="22" customHeight="1">
      <x:c r="A458" s="17" t="str">
        <x:f>"05489000"</x:f>
        <x:v>05489000</x:v>
      </x:c>
      <x:c r="B458" s="13" t="n">
        <x:v>42</x:v>
      </x:c>
      <x:c r="C458" s="22" t="b">
        <x:v>1</x:v>
      </x:c>
      <x:c r="D458" s="11" t="n">
        <x:v>0.38018838337106386</x:v>
      </x:c>
      <x:c r="E458" s="11" t="n">
        <x:v>0.3834267238051222</x:v>
      </x:c>
      <x:c r="F458" s="11" t="n">
        <x:v>0.33966912946252836</x:v>
      </x:c>
      <x:c r="G458" s="11" t="n">
        <x:v>-0.003238340434058351</x:v>
      </x:c>
      <x:c r="H458" s="11" t="n">
        <x:v>0.0405192539085355</x:v>
      </x:c>
      <x:c r="I458" s="11" t="n">
        <x:v>0.125</x:v>
      </x:c>
      <x:c r="J458" s="13" t="n">
        <x:v>16</x:v>
      </x:c>
      <x:c r="K458" s="22" t="b">
        <x:v>0</x:v>
      </x:c>
      <x:c r="L458" s="13" t="n">
        <x:v>98</x:v>
      </x:c>
      <x:c r="M458" s="13" t="n">
        <x:v>31</x:v>
      </x:c>
    </x:row>
    <x:row r="459" ht="22" customHeight="1">
      <x:c r="A459" s="17" t="str">
        <x:f>"05489000"</x:f>
        <x:v>05489000</x:v>
      </x:c>
      <x:c r="B459" s="13" t="n">
        <x:v>42</x:v>
      </x:c>
      <x:c r="C459" s="22" t="b">
        <x:v>0</x:v>
      </x:c>
      <x:c r="D459" s="11" t="n">
        <x:v>0.2580114255848258</x:v>
      </x:c>
      <x:c r="E459" s="11" t="n">
        <x:v>0.3122402996552872</x:v>
      </x:c>
      <x:c r="F459" s="11" t="n">
        <x:v>0.19225390740860338</x:v>
      </x:c>
      <x:c r="G459" s="11" t="n">
        <x:v>-0.0542288740704614</x:v>
      </x:c>
      <x:c r="H459" s="11" t="n">
        <x:v>0.06575751817622244</x:v>
      </x:c>
      <x:c r="I459" s="11" t="n">
        <x:v>0</x:v>
      </x:c>
      <x:c r="J459" s="13" t="n">
        <x:v>10</x:v>
      </x:c>
      <x:c r="K459" s="22" t="b">
        <x:v>0</x:v>
      </x:c>
      <x:c r="L459" s="13" t="n">
        <x:v>85</x:v>
      </x:c>
      <x:c r="M459" s="13" t="n">
        <x:v>27</x:v>
      </x:c>
    </x:row>
    <x:row r="460" ht="22" customHeight="1">
      <x:c r="A460" s="17" t="str">
        <x:f>"05495000"</x:f>
        <x:v>05495000</x:v>
      </x:c>
      <x:c r="B460" s="13" t="n">
        <x:v>42</x:v>
      </x:c>
      <x:c r="C460" s="22" t="b">
        <x:v>1</x:v>
      </x:c>
      <x:c r="D460" s="11" t="n">
        <x:v>0.646554037900283</x:v>
      </x:c>
      <x:c r="E460" s="11" t="n">
        <x:v>0.6439459945078887</x:v>
      </x:c>
      <x:c r="F460" s="11" t="n">
        <x:v>0.4692426376445811</x:v>
      </x:c>
      <x:c r="G460" s="11" t="n">
        <x:v>0.002608043392394288</x:v>
      </x:c>
      <x:c r="H460" s="11" t="n">
        <x:v>0.1773114002557019</x:v>
      </x:c>
      <x:c r="I460" s="11" t="n">
        <x:v>1</x:v>
      </x:c>
      <x:c r="J460" s="13" t="n">
        <x:v>17</x:v>
      </x:c>
      <x:c r="K460" s="22" t="b">
        <x:v>1</x:v>
      </x:c>
      <x:c r="L460" s="13" t="n">
        <x:v>112</x:v>
      </x:c>
      <x:c r="M460" s="13" t="n">
        <x:v>39</x:v>
      </x:c>
    </x:row>
    <x:row r="461" ht="22" customHeight="1">
      <x:c r="A461" s="17" t="str">
        <x:f>"05495000"</x:f>
        <x:v>05495000</x:v>
      </x:c>
      <x:c r="B461" s="13" t="n">
        <x:v>42</x:v>
      </x:c>
      <x:c r="C461" s="22" t="b">
        <x:v>0</x:v>
      </x:c>
      <x:c r="D461" s="11" t="n">
        <x:v>0.5066074706987285</x:v>
      </x:c>
      <x:c r="E461" s="11" t="n">
        <x:v>0.4926648546913631</x:v>
      </x:c>
      <x:c r="F461" s="11" t="n">
        <x:v>0.38997813968978523</x:v>
      </x:c>
      <x:c r="G461" s="11" t="n">
        <x:v>0.01394261600736535</x:v>
      </x:c>
      <x:c r="H461" s="11" t="n">
        <x:v>0.11662933100894324</x:v>
      </x:c>
      <x:c r="I461" s="11" t="n">
        <x:v>0</x:v>
      </x:c>
      <x:c r="J461" s="13" t="n">
        <x:v>10</x:v>
      </x:c>
      <x:c r="K461" s="22" t="b">
        <x:v>0</x:v>
      </x:c>
      <x:c r="L461" s="13" t="n">
        <x:v>95</x:v>
      </x:c>
      <x:c r="M461" s="13" t="n">
        <x:v>32</x:v>
      </x:c>
    </x:row>
    <x:row r="462" ht="22" customHeight="1">
      <x:c r="A462" s="17" t="str">
        <x:f>"05495500"</x:f>
        <x:v>05495500</x:v>
      </x:c>
      <x:c r="B462" s="13" t="n">
        <x:v>42</x:v>
      </x:c>
      <x:c r="C462" s="22" t="b">
        <x:v>1</x:v>
      </x:c>
      <x:c r="D462" s="11" t="n">
        <x:v>0.3569989312618801</x:v>
      </x:c>
      <x:c r="E462" s="11" t="n">
        <x:v>0.36952648345217143</x:v>
      </x:c>
      <x:c r="F462" s="11" t="n">
        <x:v>0.2534803133574153</x:v>
      </x:c>
      <x:c r="G462" s="11" t="n">
        <x:v>-0.012527552190291336</x:v>
      </x:c>
      <x:c r="H462" s="11" t="n">
        <x:v>0.10351861790446482</x:v>
      </x:c>
      <x:c r="I462" s="11" t="n">
        <x:v>0.55</x:v>
      </x:c>
      <x:c r="J462" s="13" t="n">
        <x:v>20</x:v>
      </x:c>
      <x:c r="K462" s="22" t="b">
        <x:v>0</x:v>
      </x:c>
      <x:c r="L462" s="13" t="n">
        <x:v>178</x:v>
      </x:c>
      <x:c r="M462" s="13" t="n">
        <x:v>82</x:v>
      </x:c>
    </x:row>
    <x:row r="463" ht="22" customHeight="1">
      <x:c r="A463" s="17" t="str">
        <x:f>"05495500"</x:f>
        <x:v>05495500</x:v>
      </x:c>
      <x:c r="B463" s="13" t="n">
        <x:v>42</x:v>
      </x:c>
      <x:c r="C463" s="22" t="b">
        <x:v>0</x:v>
      </x:c>
      <x:c r="D463" s="11" t="n">
        <x:v>0.2028299625653176</x:v>
      </x:c>
      <x:c r="E463" s="11" t="n">
        <x:v>0.22573426800302687</x:v>
      </x:c>
      <x:c r="F463" s="11" t="n">
        <x:v>0.22203412172846448</x:v>
      </x:c>
      <x:c r="G463" s="11" t="n">
        <x:v>-0.02290430543770927</x:v>
      </x:c>
      <x:c r="H463" s="11" t="n">
        <x:v>-0.019204159163146883</x:v>
      </x:c>
      <x:c r="I463" s="11" t="n">
        <x:v>1</x:v>
      </x:c>
      <x:c r="J463" s="13" t="n">
        <x:v>17</x:v>
      </x:c>
      <x:c r="K463" s="22" t="b">
        <x:v>0</x:v>
      </x:c>
      <x:c r="L463" s="13" t="n">
        <x:v>108</x:v>
      </x:c>
      <x:c r="M463" s="13" t="n">
        <x:v>36</x:v>
      </x:c>
    </x:row>
    <x:row r="464" ht="22" customHeight="1">
      <x:c r="A464" s="17" t="str">
        <x:f>"05501000"</x:f>
        <x:v>05501000</x:v>
      </x:c>
      <x:c r="B464" s="13" t="n">
        <x:v>42</x:v>
      </x:c>
      <x:c r="C464" s="22" t="b">
        <x:v>1</x:v>
      </x:c>
      <x:c r="D464" s="11" t="n">
        <x:v>0.296864889492681</x:v>
      </x:c>
      <x:c r="E464" s="11" t="n">
        <x:v>0.26455128215354096</x:v>
      </x:c>
      <x:c r="F464" s="11" t="n">
        <x:v>0.2808890859483265</x:v>
      </x:c>
      <x:c r="G464" s="11" t="n">
        <x:v>0.032313607339140016</x:v>
      </x:c>
      <x:c r="H464" s="11" t="n">
        <x:v>0.01597580354435446</x:v>
      </x:c>
      <x:c r="I464" s="11" t="n">
        <x:v>0.42857142857142855</x:v>
      </x:c>
      <x:c r="J464" s="13" t="n">
        <x:v>14</x:v>
      </x:c>
      <x:c r="K464" s="22" t="b">
        <x:v>0</x:v>
      </x:c>
      <x:c r="L464" s="13" t="n">
        <x:v>78</x:v>
      </x:c>
      <x:c r="M464" s="13" t="n">
        <x:v>25</x:v>
      </x:c>
    </x:row>
    <x:row r="465" ht="22" customHeight="1">
      <x:c r="A465" s="17" t="str">
        <x:f>"05501000"</x:f>
        <x:v>05501000</x:v>
      </x:c>
      <x:c r="B465" s="13" t="n">
        <x:v>42</x:v>
      </x:c>
      <x:c r="C465" s="22" t="b">
        <x:v>0</x:v>
      </x:c>
      <x:c r="D465" s="11" t="n">
        <x:v>0.21855264683986464</x:v>
      </x:c>
      <x:c r="E465" s="11" t="n">
        <x:v>0.17391449997382058</x:v>
      </x:c>
      <x:c r="F465" s="11" t="n">
        <x:v>0.16192913168294432</x:v>
      </x:c>
      <x:c r="G465" s="11" t="n">
        <x:v>0.04463814686604406</x:v>
      </x:c>
      <x:c r="H465" s="11" t="n">
        <x:v>0.05662351515692032</x:v>
      </x:c>
      <x:c r="I465" s="11" t="n">
        <x:v>0</x:v>
      </x:c>
      <x:c r="J465" s="13" t="n">
        <x:v>17</x:v>
      </x:c>
      <x:c r="K465" s="22" t="b">
        <x:v>0</x:v>
      </x:c>
      <x:c r="L465" s="13" t="n">
        <x:v>82</x:v>
      </x:c>
      <x:c r="M465" s="13" t="n">
        <x:v>28</x:v>
      </x:c>
    </x:row>
    <x:row r="466" ht="22" customHeight="1">
      <x:c r="A466" s="17" t="str">
        <x:f>"05503800"</x:f>
        <x:v>05503800</x:v>
      </x:c>
      <x:c r="B466" s="13" t="n">
        <x:v>42</x:v>
      </x:c>
      <x:c r="C466" s="22" t="b">
        <x:v>1</x:v>
      </x:c>
      <x:c r="D466" s="11" t="n">
        <x:v>0.26327410147071173</x:v>
      </x:c>
      <x:c r="E466" s="11" t="n">
        <x:v>0.042417938302776625</x:v>
      </x:c>
      <x:c r="F466" s="11" t="n">
        <x:v>0.2084872708514246</x:v>
      </x:c>
      <x:c r="G466" s="11" t="n">
        <x:v>0.2208561631679351</x:v>
      </x:c>
      <x:c r="H466" s="11" t="n">
        <x:v>0.05478683061928713</x:v>
      </x:c>
      <x:c r="I466" s="11" t="n">
        <x:v>1</x:v>
      </x:c>
      <x:c r="J466" s="13" t="n">
        <x:v>10</x:v>
      </x:c>
      <x:c r="K466" s="22" t="b">
        <x:v>0</x:v>
      </x:c>
      <x:c r="L466" s="13" t="n">
        <x:v>86</x:v>
      </x:c>
      <x:c r="M466" s="13" t="n">
        <x:v>27</x:v>
      </x:c>
    </x:row>
    <x:row r="467" ht="22" customHeight="1">
      <x:c r="A467" s="17" t="str">
        <x:f>"05503800"</x:f>
        <x:v>05503800</x:v>
      </x:c>
      <x:c r="B467" s="13" t="n">
        <x:v>42</x:v>
      </x:c>
      <x:c r="C467" s="22" t="b">
        <x:v>0</x:v>
      </x:c>
      <x:c r="D467" s="11" t="n">
        <x:v>0.14743692571251688</x:v>
      </x:c>
      <x:c r="E467" s="11" t="n">
        <x:v>0.08984738352319688</x:v>
      </x:c>
      <x:c r="F467" s="11" t="n">
        <x:v>0.08874124001031192</x:v>
      </x:c>
      <x:c r="G467" s="11" t="n">
        <x:v>0.05758954218932</x:v>
      </x:c>
      <x:c r="H467" s="11" t="n">
        <x:v>0.05869568570220496</x:v>
      </x:c>
      <x:c r="I467" s="11" t="n">
        <x:v>1</x:v>
      </x:c>
      <x:c r="J467" s="13" t="n">
        <x:v>20</x:v>
      </x:c>
      <x:c r="K467" s="22" t="b">
        <x:v>0</x:v>
      </x:c>
      <x:c r="L467" s="13" t="n">
        <x:v>124</x:v>
      </x:c>
      <x:c r="M467" s="13" t="n">
        <x:v>45</x:v>
      </x:c>
    </x:row>
    <x:row r="468" ht="22" customHeight="1">
      <x:c r="A468" s="17" t="str">
        <x:f>"05507600"</x:f>
        <x:v>05507600</x:v>
      </x:c>
      <x:c r="B468" s="13" t="n">
        <x:v>42</x:v>
      </x:c>
      <x:c r="C468" s="22" t="b">
        <x:v>1</x:v>
      </x:c>
      <x:c r="D468" s="11" t="n">
        <x:v>0.1952389357800831</x:v>
      </x:c>
      <x:c r="E468" s="11" t="n">
        <x:v>0.21856631033504414</x:v>
      </x:c>
      <x:c r="F468" s="11" t="n">
        <x:v>0.17652545664434272</x:v>
      </x:c>
      <x:c r="G468" s="11" t="n">
        <x:v>-0.023327374554961033</x:v>
      </x:c>
      <x:c r="H468" s="11" t="n">
        <x:v>0.018713479135740396</x:v>
      </x:c>
      <x:c r="I468" s="11" t="n">
        <x:v>1</x:v>
      </x:c>
      <x:c r="J468" s="13" t="n">
        <x:v>6</x:v>
      </x:c>
      <x:c r="K468" s="22" t="b">
        <x:v>0</x:v>
      </x:c>
      <x:c r="L468" s="13" t="n">
        <x:v>81</x:v>
      </x:c>
      <x:c r="M468" s="13" t="n">
        <x:v>26</x:v>
      </x:c>
    </x:row>
    <x:row r="469" ht="22" customHeight="1">
      <x:c r="A469" s="17" t="str">
        <x:f>"05507600"</x:f>
        <x:v>05507600</x:v>
      </x:c>
      <x:c r="B469" s="13" t="n">
        <x:v>42</x:v>
      </x:c>
      <x:c r="C469" s="22" t="b">
        <x:v>0</x:v>
      </x:c>
      <x:c r="D469" s="11" t="n">
        <x:v>0.06536393807737662</x:v>
      </x:c>
      <x:c r="E469" s="11" t="n">
        <x:v>-0.01119312441580167</x:v>
      </x:c>
      <x:c r="F469" s="11" t="n">
        <x:v>0.029406869082257203</x:v>
      </x:c>
      <x:c r="G469" s="11" t="n">
        <x:v>0.07655706249317829</x:v>
      </x:c>
      <x:c r="H469" s="11" t="n">
        <x:v>0.03595706899511941</x:v>
      </x:c>
      <x:c r="I469" s="11" t="n">
        <x:v>0</x:v>
      </x:c>
      <x:c r="J469" s="13" t="n">
        <x:v>17</x:v>
      </x:c>
      <x:c r="K469" s="22" t="b">
        <x:v>0</x:v>
      </x:c>
      <x:c r="L469" s="13" t="n">
        <x:v>79</x:v>
      </x:c>
      <x:c r="M469" s="13" t="n">
        <x:v>26</x:v>
      </x:c>
    </x:row>
    <x:row r="470" ht="22" customHeight="1">
      <x:c r="A470" s="17" t="str">
        <x:f>"05508805"</x:f>
        <x:v>05508805</x:v>
      </x:c>
      <x:c r="B470" s="13" t="n">
        <x:v>42</x:v>
      </x:c>
      <x:c r="C470" s="22" t="b">
        <x:v>1</x:v>
      </x:c>
      <x:c r="D470" s="11" t="n">
        <x:v>0.21386475471442856</x:v>
      </x:c>
      <x:c r="E470" s="11" t="n">
        <x:v>0.07669176682169643</x:v>
      </x:c>
      <x:c r="F470" s="11" t="n">
        <x:v>0.1975685735463084</x:v>
      </x:c>
      <x:c r="G470" s="11" t="n">
        <x:v>0.13717298789273213</x:v>
      </x:c>
      <x:c r="H470" s="11" t="n">
        <x:v>0.01629618116812015</x:v>
      </x:c>
      <x:c r="I470" s="11" t="n">
        <x:v>0.5294117647058824</x:v>
      </x:c>
      <x:c r="J470" s="13" t="n">
        <x:v>17</x:v>
      </x:c>
      <x:c r="K470" s="22" t="b">
        <x:v>0</x:v>
      </x:c>
      <x:c r="L470" s="13" t="n">
        <x:v>96</x:v>
      </x:c>
      <x:c r="M470" s="13" t="n">
        <x:v>31</x:v>
      </x:c>
    </x:row>
    <x:row r="471" ht="22" customHeight="1">
      <x:c r="A471" s="17" t="str">
        <x:f>"05508805"</x:f>
        <x:v>05508805</x:v>
      </x:c>
      <x:c r="B471" s="13" t="n">
        <x:v>42</x:v>
      </x:c>
      <x:c r="C471" s="22" t="b">
        <x:v>0</x:v>
      </x:c>
      <x:c r="D471" s="11" t="n">
        <x:v>0.06539123155034399</x:v>
      </x:c>
      <x:c r="E471" s="11" t="n">
        <x:v>-0.0013695308107963822</x:v>
      </x:c>
      <x:c r="F471" s="11" t="n">
        <x:v>0.05332228243605508</x:v>
      </x:c>
      <x:c r="G471" s="11" t="n">
        <x:v>0.06676076236114037</x:v>
      </x:c>
      <x:c r="H471" s="11" t="n">
        <x:v>0.012068949114288907</x:v>
      </x:c>
      <x:c r="I471" s="11" t="n">
        <x:v>0</x:v>
      </x:c>
      <x:c r="J471" s="13" t="n">
        <x:v>8</x:v>
      </x:c>
      <x:c r="K471" s="22" t="b">
        <x:v>0</x:v>
      </x:c>
      <x:c r="L471" s="13" t="n">
        <x:v>87</x:v>
      </x:c>
      <x:c r="M471" s="13" t="n">
        <x:v>28</x:v>
      </x:c>
    </x:row>
    <x:row r="472" ht="22" customHeight="1">
      <x:c r="A472" s="17" t="str">
        <x:f>"05514500"</x:f>
        <x:v>05514500</x:v>
      </x:c>
      <x:c r="B472" s="13" t="n">
        <x:v>42</x:v>
      </x:c>
      <x:c r="C472" s="22" t="b">
        <x:v>1</x:v>
      </x:c>
      <x:c r="D472" s="11" t="n">
        <x:v>0.4189198538186619</x:v>
      </x:c>
      <x:c r="E472" s="11" t="n">
        <x:v>0.3907899255732531</x:v>
      </x:c>
      <x:c r="F472" s="11" t="n">
        <x:v>-0.4204810633207863</x:v>
      </x:c>
      <x:c r="G472" s="11" t="n">
        <x:v>0.02812992824540883</x:v>
      </x:c>
      <x:c r="H472" s="11" t="n">
        <x:v>0.8394009171394482</x:v>
      </x:c>
      <x:c r="I472" s="11" t="n">
        <x:v>1</x:v>
      </x:c>
      <x:c r="J472" s="13" t="n">
        <x:v>17</x:v>
      </x:c>
      <x:c r="K472" s="22" t="b">
        <x:v>1</x:v>
      </x:c>
      <x:c r="L472" s="13" t="n">
        <x:v>115</x:v>
      </x:c>
      <x:c r="M472" s="13" t="n">
        <x:v>38</x:v>
      </x:c>
    </x:row>
    <x:row r="473" ht="22" customHeight="1">
      <x:c r="A473" s="17" t="str">
        <x:f>"05514500"</x:f>
        <x:v>05514500</x:v>
      </x:c>
      <x:c r="B473" s="13" t="n">
        <x:v>42</x:v>
      </x:c>
      <x:c r="C473" s="22" t="b">
        <x:v>0</x:v>
      </x:c>
      <x:c r="D473" s="11" t="n">
        <x:v>0.26428296596085366</x:v>
      </x:c>
      <x:c r="E473" s="11" t="n">
        <x:v>0.22517548740622384</x:v>
      </x:c>
      <x:c r="F473" s="11" t="n">
        <x:v>-0.643721885857419</x:v>
      </x:c>
      <x:c r="G473" s="11" t="n">
        <x:v>0.039107478554629815</x:v>
      </x:c>
      <x:c r="H473" s="11" t="n">
        <x:v>0.9080048518182726</x:v>
      </x:c>
      <x:c r="I473" s="11" t="n">
        <x:v>1</x:v>
      </x:c>
      <x:c r="J473" s="13" t="n">
        <x:v>20</x:v>
      </x:c>
      <x:c r="K473" s="22" t="b">
        <x:v>1</x:v>
      </x:c>
      <x:c r="L473" s="13" t="n">
        <x:v>90</x:v>
      </x:c>
      <x:c r="M473" s="13" t="n">
        <x:v>31</x:v>
      </x:c>
    </x:row>
    <x:row r="474" ht="22" customHeight="1">
      <x:c r="A474" s="17" t="str">
        <x:f>"05525500"</x:f>
        <x:v>05525500</x:v>
      </x:c>
      <x:c r="B474" s="13" t="n">
        <x:v>42</x:v>
      </x:c>
      <x:c r="C474" s="22" t="b">
        <x:v>1</x:v>
      </x:c>
      <x:c r="D474" s="11" t="n">
        <x:v>0.8250258650325649</x:v>
      </x:c>
      <x:c r="E474" s="11" t="n">
        <x:v>0.7981344498599907</x:v>
      </x:c>
      <x:c r="F474" s="11" t="n">
        <x:v>-0.11742615509785082</x:v>
      </x:c>
      <x:c r="G474" s="11" t="n">
        <x:v>0.026891415172574207</x:v>
      </x:c>
      <x:c r="H474" s="11" t="n">
        <x:v>0.9424520201304157</x:v>
      </x:c>
      <x:c r="I474" s="11" t="n">
        <x:v>1</x:v>
      </x:c>
      <x:c r="J474" s="13" t="n">
        <x:v>15</x:v>
      </x:c>
      <x:c r="K474" s="22" t="b">
        <x:v>1</x:v>
      </x:c>
      <x:c r="L474" s="13" t="n">
        <x:v>115</x:v>
      </x:c>
      <x:c r="M474" s="13" t="n">
        <x:v>38</x:v>
      </x:c>
    </x:row>
    <x:row r="475" ht="22" customHeight="1">
      <x:c r="A475" s="17" t="str">
        <x:f>"05525500"</x:f>
        <x:v>05525500</x:v>
      </x:c>
      <x:c r="B475" s="13" t="n">
        <x:v>42</x:v>
      </x:c>
      <x:c r="C475" s="22" t="b">
        <x:v>0</x:v>
      </x:c>
      <x:c r="D475" s="11" t="n">
        <x:v>0.6084450855452506</x:v>
      </x:c>
      <x:c r="E475" s="11" t="n">
        <x:v>0.3598517375626775</x:v>
      </x:c>
      <x:c r="F475" s="11" t="n">
        <x:v>-2.8225118780371665</x:v>
      </x:c>
      <x:c r="G475" s="11" t="n">
        <x:v>0.24859334798257304</x:v>
      </x:c>
      <x:c r="H475" s="11" t="n">
        <x:v>3.430956963582417</x:v>
      </x:c>
      <x:c r="I475" s="11" t="n">
        <x:v>1</x:v>
      </x:c>
      <x:c r="J475" s="13" t="n">
        <x:v>18</x:v>
      </x:c>
      <x:c r="K475" s="22" t="b">
        <x:v>0</x:v>
      </x:c>
      <x:c r="L475" s="13" t="n">
        <x:v>109</x:v>
      </x:c>
      <x:c r="M475" s="13" t="n">
        <x:v>36</x:v>
      </x:c>
    </x:row>
    <x:row r="476" ht="22" customHeight="1">
      <x:c r="A476" s="17" t="str">
        <x:f>"05556500"</x:f>
        <x:v>05556500</x:v>
      </x:c>
      <x:c r="B476" s="13" t="n">
        <x:v>42</x:v>
      </x:c>
      <x:c r="C476" s="22" t="b">
        <x:v>1</x:v>
      </x:c>
      <x:c r="D476" s="11" t="n">
        <x:v>0.5591014552545395</x:v>
      </x:c>
      <x:c r="E476" s="11" t="n">
        <x:v>0.5320138086434707</x:v>
      </x:c>
      <x:c r="F476" s="11" t="n">
        <x:v>0.36923069487702553</x:v>
      </x:c>
      <x:c r="G476" s="11" t="n">
        <x:v>0.027087646611068772</x:v>
      </x:c>
      <x:c r="H476" s="11" t="n">
        <x:v>0.18987076037751394</x:v>
      </x:c>
      <x:c r="I476" s="11" t="n">
        <x:v>1</x:v>
      </x:c>
      <x:c r="J476" s="13" t="n">
        <x:v>14</x:v>
      </x:c>
      <x:c r="K476" s="22" t="b">
        <x:v>1</x:v>
      </x:c>
      <x:c r="L476" s="13" t="n">
        <x:v>75</x:v>
      </x:c>
      <x:c r="M476" s="13" t="n">
        <x:v>25</x:v>
      </x:c>
    </x:row>
    <x:row r="477" ht="22" customHeight="1">
      <x:c r="A477" s="17" t="str">
        <x:f>"05556500"</x:f>
        <x:v>05556500</x:v>
      </x:c>
      <x:c r="B477" s="13" t="n">
        <x:v>42</x:v>
      </x:c>
      <x:c r="C477" s="22" t="b">
        <x:v>0</x:v>
      </x:c>
      <x:c r="D477" s="11" t="n">
        <x:v>0.35929537297214276</x:v>
      </x:c>
      <x:c r="E477" s="11" t="n">
        <x:v>0.33200901798510274</x:v>
      </x:c>
      <x:c r="F477" s="11" t="n">
        <x:v>0.19687404192278535</x:v>
      </x:c>
      <x:c r="G477" s="11" t="n">
        <x:v>0.027286354987040018</x:v>
      </x:c>
      <x:c r="H477" s="11" t="n">
        <x:v>0.1624213310493574</x:v>
      </x:c>
      <x:c r="I477" s="11" t="n">
        <x:v>0</x:v>
      </x:c>
      <x:c r="J477" s="13" t="n">
        <x:v>11</x:v>
      </x:c>
      <x:c r="K477" s="22" t="b">
        <x:v>0</x:v>
      </x:c>
      <x:c r="L477" s="13" t="n">
        <x:v>110</x:v>
      </x:c>
      <x:c r="M477" s="13" t="n">
        <x:v>36</x:v>
      </x:c>
    </x:row>
    <x:row r="478" ht="22" customHeight="1">
      <x:c r="A478" s="17" t="str">
        <x:f>"05584500"</x:f>
        <x:v>05584500</x:v>
      </x:c>
      <x:c r="B478" s="13" t="n">
        <x:v>42</x:v>
      </x:c>
      <x:c r="C478" s="22" t="b">
        <x:v>1</x:v>
      </x:c>
      <x:c r="D478" s="11" t="n">
        <x:v>0.8267560250779918</x:v>
      </x:c>
      <x:c r="E478" s="11" t="n">
        <x:v>0.7665821139846244</x:v>
      </x:c>
      <x:c r="F478" s="11" t="n">
        <x:v>0.5446455162071934</x:v>
      </x:c>
      <x:c r="G478" s="11" t="n">
        <x:v>0.06017391109336745</x:v>
      </x:c>
      <x:c r="H478" s="11" t="n">
        <x:v>0.28211050887079847</x:v>
      </x:c>
      <x:c r="I478" s="11" t="n">
        <x:v>1</x:v>
      </x:c>
      <x:c r="J478" s="13" t="n">
        <x:v>17</x:v>
      </x:c>
      <x:c r="K478" s="22" t="b">
        <x:v>0</x:v>
      </x:c>
      <x:c r="L478" s="13" t="n">
        <x:v>84</x:v>
      </x:c>
      <x:c r="M478" s="13" t="n">
        <x:v>31</x:v>
      </x:c>
    </x:row>
    <x:row r="479" ht="22" customHeight="1">
      <x:c r="A479" s="17" t="str">
        <x:f>"05584500"</x:f>
        <x:v>05584500</x:v>
      </x:c>
      <x:c r="B479" s="13" t="n">
        <x:v>42</x:v>
      </x:c>
      <x:c r="C479" s="22" t="b">
        <x:v>0</x:v>
      </x:c>
      <x:c r="D479" s="11" t="n">
        <x:v>0.6457905735989948</x:v>
      </x:c>
      <x:c r="E479" s="11" t="n">
        <x:v>0.5908127999502102</x:v>
      </x:c>
      <x:c r="F479" s="11" t="n">
        <x:v>-0.05540063468592482</x:v>
      </x:c>
      <x:c r="G479" s="11" t="n">
        <x:v>0.054977773648784645</x:v>
      </x:c>
      <x:c r="H479" s="11" t="n">
        <x:v>0.7011912082849197</x:v>
      </x:c>
      <x:c r="I479" s="11" t="n">
        <x:v>0.05555555555555555</x:v>
      </x:c>
      <x:c r="J479" s="13" t="n">
        <x:v>18</x:v>
      </x:c>
      <x:c r="K479" s="22" t="b">
        <x:v>0</x:v>
      </x:c>
      <x:c r="L479" s="13" t="n">
        <x:v>120</x:v>
      </x:c>
      <x:c r="M479" s="13" t="n">
        <x:v>41</x:v>
      </x:c>
    </x:row>
    <x:row r="480" ht="22" customHeight="1">
      <x:c r="A480" s="17" t="str">
        <x:f>"05585000"</x:f>
        <x:v>05585000</x:v>
      </x:c>
      <x:c r="B480" s="13" t="n">
        <x:v>42</x:v>
      </x:c>
      <x:c r="C480" s="22" t="b">
        <x:v>1</x:v>
      </x:c>
      <x:c r="D480" s="11" t="n">
        <x:v>0.8887646571226195</x:v>
      </x:c>
      <x:c r="E480" s="11" t="n">
        <x:v>0.8653802969114759</x:v>
      </x:c>
      <x:c r="F480" s="11" t="n">
        <x:v>0.4940969193300724</x:v>
      </x:c>
      <x:c r="G480" s="11" t="n">
        <x:v>0.02338436021114365</x:v>
      </x:c>
      <x:c r="H480" s="11" t="n">
        <x:v>0.39466773779254716</x:v>
      </x:c>
      <x:c r="I480" s="11" t="n">
        <x:v>1</x:v>
      </x:c>
      <x:c r="J480" s="13" t="n">
        <x:v>20</x:v>
      </x:c>
      <x:c r="K480" s="22" t="b">
        <x:v>1</x:v>
      </x:c>
      <x:c r="L480" s="13" t="n">
        <x:v>190</x:v>
      </x:c>
      <x:c r="M480" s="13" t="n">
        <x:v>94</x:v>
      </x:c>
    </x:row>
    <x:row r="481" ht="22" customHeight="1">
      <x:c r="A481" s="17" t="str">
        <x:f>"05585000"</x:f>
        <x:v>05585000</x:v>
      </x:c>
      <x:c r="B481" s="13" t="n">
        <x:v>42</x:v>
      </x:c>
      <x:c r="C481" s="22" t="b">
        <x:v>0</x:v>
      </x:c>
      <x:c r="D481" s="11" t="n">
        <x:v>0.6000070292453987</x:v>
      </x:c>
      <x:c r="E481" s="11" t="n">
        <x:v>0.5744420421261581</x:v>
      </x:c>
      <x:c r="F481" s="11" t="n">
        <x:v>-0.9306123632249053</x:v>
      </x:c>
      <x:c r="G481" s="11" t="n">
        <x:v>0.0255649871192406</x:v>
      </x:c>
      <x:c r="H481" s="11" t="n">
        <x:v>1.530619392470304</x:v>
      </x:c>
      <x:c r="I481" s="11" t="n">
        <x:v>0.42105263157894735</x:v>
      </x:c>
      <x:c r="J481" s="13" t="n">
        <x:v>19</x:v>
      </x:c>
      <x:c r="K481" s="22" t="b">
        <x:v>0</x:v>
      </x:c>
      <x:c r="L481" s="13" t="n">
        <x:v>118</x:v>
      </x:c>
      <x:c r="M481" s="13" t="n">
        <x:v>40</x:v>
      </x:c>
    </x:row>
    <x:row r="482" ht="22" customHeight="1">
      <x:c r="A482" s="17" t="str">
        <x:f>"05591550"</x:f>
        <x:v>05591550</x:v>
      </x:c>
      <x:c r="B482" s="13" t="n">
        <x:v>42</x:v>
      </x:c>
      <x:c r="C482" s="22" t="b">
        <x:v>1</x:v>
      </x:c>
      <x:c r="D482" s="11" t="n">
        <x:v>0.394664113796225</x:v>
      </x:c>
      <x:c r="E482" s="11" t="n">
        <x:v>0.42554853974849216</x:v>
      </x:c>
      <x:c r="F482" s="11" t="n">
        <x:v>0.34201654467659626</x:v>
      </x:c>
      <x:c r="G482" s="11" t="n">
        <x:v>-0.030884425952267147</x:v>
      </x:c>
      <x:c r="H482" s="11" t="n">
        <x:v>0.052647569119628757</x:v>
      </x:c>
      <x:c r="I482" s="11" t="n">
        <x:v>1</x:v>
      </x:c>
      <x:c r="J482" s="13" t="n">
        <x:v>20</x:v>
      </x:c>
      <x:c r="K482" s="22" t="b">
        <x:v>1</x:v>
      </x:c>
      <x:c r="L482" s="13" t="n">
        <x:v>78</x:v>
      </x:c>
      <x:c r="M482" s="13" t="n">
        <x:v>25</x:v>
      </x:c>
    </x:row>
    <x:row r="483" ht="22" customHeight="1">
      <x:c r="A483" s="17" t="str">
        <x:f>"05591550"</x:f>
        <x:v>05591550</x:v>
      </x:c>
      <x:c r="B483" s="13" t="n">
        <x:v>42</x:v>
      </x:c>
      <x:c r="C483" s="22" t="b">
        <x:v>0</x:v>
      </x:c>
      <x:c r="D483" s="11" t="n">
        <x:v>0.26211795941451455</x:v>
      </x:c>
      <x:c r="E483" s="11" t="n">
        <x:v>0.2717954319598308</x:v>
      </x:c>
      <x:c r="F483" s="11" t="n">
        <x:v>0.13618570376006645</x:v>
      </x:c>
      <x:c r="G483" s="11" t="n">
        <x:v>-0.009677472545316257</x:v>
      </x:c>
      <x:c r="H483" s="11" t="n">
        <x:v>0.1259322556544481</x:v>
      </x:c>
      <x:c r="I483" s="11" t="n">
        <x:v>0.55</x:v>
      </x:c>
      <x:c r="J483" s="13" t="n">
        <x:v>20</x:v>
      </x:c>
      <x:c r="K483" s="22" t="b">
        <x:v>0</x:v>
      </x:c>
      <x:c r="L483" s="13" t="n">
        <x:v>122</x:v>
      </x:c>
      <x:c r="M483" s="13" t="n">
        <x:v>41</x:v>
      </x:c>
    </x:row>
    <x:row r="484" ht="22" customHeight="1">
      <x:c r="A484" s="17" t="str">
        <x:f>"05592050"</x:f>
        <x:v>05592050</x:v>
      </x:c>
      <x:c r="B484" s="13" t="n">
        <x:v>42</x:v>
      </x:c>
      <x:c r="C484" s="22" t="b">
        <x:v>1</x:v>
      </x:c>
      <x:c r="D484" s="11" t="n">
        <x:v>0.3730682020552598</x:v>
      </x:c>
      <x:c r="E484" s="11" t="n">
        <x:v>0.3979962666764221</x:v>
      </x:c>
      <x:c r="F484" s="11" t="n">
        <x:v>0.16699360804350583</x:v>
      </x:c>
      <x:c r="G484" s="11" t="n">
        <x:v>-0.02492806462116226</x:v>
      </x:c>
      <x:c r="H484" s="11" t="n">
        <x:v>0.206074594011754</x:v>
      </x:c>
      <x:c r="I484" s="11" t="n">
        <x:v>0</x:v>
      </x:c>
      <x:c r="J484" s="13" t="n">
        <x:v>20</x:v>
      </x:c>
      <x:c r="K484" s="22" t="b">
        <x:v>0</x:v>
      </x:c>
      <x:c r="L484" s="13" t="n">
        <x:v>89</x:v>
      </x:c>
      <x:c r="M484" s="13" t="n">
        <x:v>28</x:v>
      </x:c>
    </x:row>
    <x:row r="485" ht="22" customHeight="1">
      <x:c r="A485" s="17" t="str">
        <x:f>"05592050"</x:f>
        <x:v>05592050</x:v>
      </x:c>
      <x:c r="B485" s="13" t="n">
        <x:v>42</x:v>
      </x:c>
      <x:c r="C485" s="22" t="b">
        <x:v>0</x:v>
      </x:c>
      <x:c r="D485" s="11" t="n">
        <x:v>0.06755966243852873</x:v>
      </x:c>
      <x:c r="E485" s="11" t="n">
        <x:v>0.06498117882577403</x:v>
      </x:c>
      <x:c r="F485" s="11" t="n">
        <x:v>-1.2687123259935746</x:v>
      </x:c>
      <x:c r="G485" s="11" t="n">
        <x:v>0.0025784836127547006</x:v>
      </x:c>
      <x:c r="H485" s="11" t="n">
        <x:v>1.3362719884321033</x:v>
      </x:c>
      <x:c r="I485" s="11" t="n">
        <x:v>0.85</x:v>
      </x:c>
      <x:c r="J485" s="13" t="n">
        <x:v>20</x:v>
      </x:c>
      <x:c r="K485" s="22" t="b">
        <x:v>1</x:v>
      </x:c>
      <x:c r="L485" s="13" t="n">
        <x:v>111</x:v>
      </x:c>
      <x:c r="M485" s="13" t="n">
        <x:v>37</x:v>
      </x:c>
    </x:row>
    <x:row r="486" ht="22" customHeight="1">
      <x:c r="A486" s="17" t="str">
        <x:f>"05593575"</x:f>
        <x:v>05593575</x:v>
      </x:c>
      <x:c r="B486" s="13" t="n">
        <x:v>42</x:v>
      </x:c>
      <x:c r="C486" s="22" t="b">
        <x:v>1</x:v>
      </x:c>
      <x:c r="D486" s="11" t="n">
        <x:v>0.34373550485500726</x:v>
      </x:c>
      <x:c r="E486" s="11" t="n">
        <x:v>0.34758079249469875</x:v>
      </x:c>
      <x:c r="F486" s="11" t="n">
        <x:v>-0.7692601463463631</x:v>
      </x:c>
      <x:c r="G486" s="11" t="n">
        <x:v>-0.003845287639691497</x:v>
      </x:c>
      <x:c r="H486" s="11" t="n">
        <x:v>1.1129956512013703</x:v>
      </x:c>
      <x:c r="I486" s="11" t="n">
        <x:v>0.47368421052631576</x:v>
      </x:c>
      <x:c r="J486" s="13" t="n">
        <x:v>19</x:v>
      </x:c>
      <x:c r="K486" s="22" t="b">
        <x:v>0</x:v>
      </x:c>
      <x:c r="L486" s="13" t="n">
        <x:v>117</x:v>
      </x:c>
      <x:c r="M486" s="13" t="n">
        <x:v>39</x:v>
      </x:c>
    </x:row>
    <x:row r="487" ht="22" customHeight="1">
      <x:c r="A487" s="17" t="str">
        <x:f>"05593575"</x:f>
        <x:v>05593575</x:v>
      </x:c>
      <x:c r="B487" s="13" t="n">
        <x:v>42</x:v>
      </x:c>
      <x:c r="C487" s="22" t="b">
        <x:v>0</x:v>
      </x:c>
      <x:c r="D487" s="11" t="n">
        <x:v>0.24933842641473214</x:v>
      </x:c>
      <x:c r="E487" s="11" t="n">
        <x:v>0.23973429144518366</x:v>
      </x:c>
      <x:c r="F487" s="11" t="n">
        <x:v>0.023801405980214407</x:v>
      </x:c>
      <x:c r="G487" s="11" t="n">
        <x:v>0.009604134969548483</x:v>
      </x:c>
      <x:c r="H487" s="11" t="n">
        <x:v>0.22553702043451773</x:v>
      </x:c>
      <x:c r="I487" s="11" t="n">
        <x:v>0.3333333333333333</x:v>
      </x:c>
      <x:c r="J487" s="13" t="n">
        <x:v>18</x:v>
      </x:c>
      <x:c r="K487" s="22" t="b">
        <x:v>0</x:v>
      </x:c>
      <x:c r="L487" s="13" t="n">
        <x:v>109</x:v>
      </x:c>
      <x:c r="M487" s="13" t="n">
        <x:v>36</x:v>
      </x:c>
    </x:row>
    <x:row r="488" ht="22" customHeight="1">
      <x:c r="A488" s="17" t="str">
        <x:f>"05593900"</x:f>
        <x:v>05593900</x:v>
      </x:c>
      <x:c r="B488" s="13" t="n">
        <x:v>42</x:v>
      </x:c>
      <x:c r="C488" s="22" t="b">
        <x:v>1</x:v>
      </x:c>
      <x:c r="D488" s="11" t="n">
        <x:v>0.2399831681474165</x:v>
      </x:c>
      <x:c r="E488" s="11" t="n">
        <x:v>0.18751837336003474</x:v>
      </x:c>
      <x:c r="F488" s="11" t="n">
        <x:v>-0.2930444312171012</x:v>
      </x:c>
      <x:c r="G488" s="11" t="n">
        <x:v>0.05246479478738175</x:v>
      </x:c>
      <x:c r="H488" s="11" t="n">
        <x:v>0.5330275993645177</x:v>
      </x:c>
      <x:c r="I488" s="11"/>
      <x:c r="J488" s="13" t="n">
        <x:v>0</x:v>
      </x:c>
      <x:c r="K488" s="22" t="b">
        <x:v>0</x:v>
      </x:c>
      <x:c r="L488" s="13" t="n">
        <x:v>81</x:v>
      </x:c>
      <x:c r="M488" s="13" t="n">
        <x:v>26</x:v>
      </x:c>
    </x:row>
    <x:row r="489" ht="22" customHeight="1">
      <x:c r="A489" s="17" t="str">
        <x:f>"05593900"</x:f>
        <x:v>05593900</x:v>
      </x:c>
      <x:c r="B489" s="13" t="n">
        <x:v>42</x:v>
      </x:c>
      <x:c r="C489" s="22" t="b">
        <x:v>0</x:v>
      </x:c>
      <x:c r="D489" s="11" t="n">
        <x:v>0.05458532458145893</x:v>
      </x:c>
      <x:c r="E489" s="11" t="n">
        <x:v>0.005577790277469963</x:v>
      </x:c>
      <x:c r="F489" s="11" t="n">
        <x:v>-0.26284279164540014</x:v>
      </x:c>
      <x:c r="G489" s="11" t="n">
        <x:v>0.049007534303988964</x:v>
      </x:c>
      <x:c r="H489" s="11" t="n">
        <x:v>0.31742811622685907</x:v>
      </x:c>
      <x:c r="I489" s="11" t="n">
        <x:v>0</x:v>
      </x:c>
      <x:c r="J489" s="13" t="n">
        <x:v>15</x:v>
      </x:c>
      <x:c r="K489" s="22" t="b">
        <x:v>0</x:v>
      </x:c>
      <x:c r="L489" s="13" t="n">
        <x:v>112</x:v>
      </x:c>
      <x:c r="M489" s="13" t="n">
        <x:v>37</x:v>
      </x:c>
    </x:row>
    <x:row r="490" ht="22" customHeight="1">
      <x:c r="A490" s="17" t="str">
        <x:f>"05595730"</x:f>
        <x:v>05595730</x:v>
      </x:c>
      <x:c r="B490" s="13" t="n">
        <x:v>42</x:v>
      </x:c>
      <x:c r="C490" s="22" t="b">
        <x:v>1</x:v>
      </x:c>
      <x:c r="D490" s="11" t="n">
        <x:v>0.3280923347019983</x:v>
      </x:c>
      <x:c r="E490" s="11" t="n">
        <x:v>0.2988269950745426</x:v>
      </x:c>
      <x:c r="F490" s="11" t="n">
        <x:v>0.19120659438773224</x:v>
      </x:c>
      <x:c r="G490" s="11" t="n">
        <x:v>0.0292653396274557</x:v>
      </x:c>
      <x:c r="H490" s="11" t="n">
        <x:v>0.13688574031426604</x:v>
      </x:c>
      <x:c r="I490" s="11" t="n">
        <x:v>0.8823529411764706</x:v>
      </x:c>
      <x:c r="J490" s="13" t="n">
        <x:v>17</x:v>
      </x:c>
      <x:c r="K490" s="22" t="b">
        <x:v>1</x:v>
      </x:c>
      <x:c r="L490" s="13" t="n">
        <x:v>98</x:v>
      </x:c>
      <x:c r="M490" s="13" t="n">
        <x:v>31</x:v>
      </x:c>
    </x:row>
    <x:row r="491" ht="22" customHeight="1">
      <x:c r="A491" s="17" t="str">
        <x:f>"05595730"</x:f>
        <x:v>05595730</x:v>
      </x:c>
      <x:c r="B491" s="13" t="n">
        <x:v>42</x:v>
      </x:c>
      <x:c r="C491" s="22" t="b">
        <x:v>0</x:v>
      </x:c>
      <x:c r="D491" s="11" t="n">
        <x:v>0.22379139683371063</x:v>
      </x:c>
      <x:c r="E491" s="11" t="n">
        <x:v>0.2263715140893432</x:v>
      </x:c>
      <x:c r="F491" s="11" t="n">
        <x:v>-2.6034538005105095</x:v>
      </x:c>
      <x:c r="G491" s="11" t="n">
        <x:v>-0.0025801172556325636</x:v>
      </x:c>
      <x:c r="H491" s="11" t="n">
        <x:v>2.82724519734422</x:v>
      </x:c>
      <x:c r="I491" s="11" t="n">
        <x:v>0</x:v>
      </x:c>
      <x:c r="J491" s="13" t="n">
        <x:v>20</x:v>
      </x:c>
      <x:c r="K491" s="22" t="b">
        <x:v>0</x:v>
      </x:c>
      <x:c r="L491" s="13" t="n">
        <x:v>107</x:v>
      </x:c>
      <x:c r="M491" s="13" t="n">
        <x:v>35</x:v>
      </x:c>
    </x:row>
    <x:row r="492" ht="22" customHeight="1">
      <x:c r="A492" s="17" t="str">
        <x:f>"06191500"</x:f>
        <x:v>06191500</x:v>
      </x:c>
      <x:c r="B492" s="13" t="n">
        <x:v>42</x:v>
      </x:c>
      <x:c r="C492" s="22" t="b">
        <x:v>1</x:v>
      </x:c>
      <x:c r="D492" s="11" t="n">
        <x:v>0.9919200051673627</x:v>
      </x:c>
      <x:c r="E492" s="11" t="n">
        <x:v>0.9847797220536001</x:v>
      </x:c>
      <x:c r="F492" s="11" t="n">
        <x:v>0.8123439071625206</x:v>
      </x:c>
      <x:c r="G492" s="11" t="n">
        <x:v>0.00714028311376258</x:v>
      </x:c>
      <x:c r="H492" s="11" t="n">
        <x:v>0.1795760980048421</x:v>
      </x:c>
      <x:c r="I492" s="11"/>
      <x:c r="J492" s="13" t="n">
        <x:v>0</x:v>
      </x:c>
      <x:c r="K492" s="22" t="b">
        <x:v>0</x:v>
      </x:c>
      <x:c r="L492" s="13" t="n">
        <x:v>43</x:v>
      </x:c>
      <x:c r="M492" s="13" t="n">
        <x:v>16</x:v>
      </x:c>
    </x:row>
    <x:row r="493" ht="22" customHeight="1">
      <x:c r="A493" s="17" t="str">
        <x:f>"06191500"</x:f>
        <x:v>06191500</x:v>
      </x:c>
      <x:c r="B493" s="13" t="n">
        <x:v>42</x:v>
      </x:c>
      <x:c r="C493" s="22" t="b">
        <x:v>0</x:v>
      </x:c>
      <x:c r="D493" s="11" t="n">
        <x:v>0.857254549295227</x:v>
      </x:c>
      <x:c r="E493" s="11" t="n">
        <x:v>0.8620391447341339</x:v>
      </x:c>
      <x:c r="F493" s="11" t="n">
        <x:v>0.40134071531935256</x:v>
      </x:c>
      <x:c r="G493" s="11" t="n">
        <x:v>-0.004784595438906858</x:v>
      </x:c>
      <x:c r="H493" s="11" t="n">
        <x:v>0.4559138339758745</x:v>
      </x:c>
      <x:c r="I493" s="11" t="n">
        <x:v>0.95</x:v>
      </x:c>
      <x:c r="J493" s="13" t="n">
        <x:v>20</x:v>
      </x:c>
      <x:c r="K493" s="22" t="b">
        <x:v>1</x:v>
      </x:c>
      <x:c r="L493" s="13" t="n">
        <x:v>169</x:v>
      </x:c>
      <x:c r="M493" s="13" t="n">
        <x:v>73</x:v>
      </x:c>
    </x:row>
    <x:row r="494" ht="22" customHeight="1">
      <x:c r="A494" s="17" t="str">
        <x:f>"06224000"</x:f>
        <x:v>06224000</x:v>
      </x:c>
      <x:c r="B494" s="13" t="n">
        <x:v>42</x:v>
      </x:c>
      <x:c r="C494" s="22" t="b">
        <x:v>1</x:v>
      </x:c>
      <x:c r="D494" s="11" t="n">
        <x:v>0.9696128510521782</x:v>
      </x:c>
      <x:c r="E494" s="11" t="n">
        <x:v>0.9613680497991589</x:v>
      </x:c>
      <x:c r="F494" s="11" t="n">
        <x:v>0.8887151022094387</x:v>
      </x:c>
      <x:c r="G494" s="11" t="n">
        <x:v>0.008244801253019296</x:v>
      </x:c>
      <x:c r="H494" s="11" t="n">
        <x:v>0.08089774884273948</x:v>
      </x:c>
      <x:c r="I494" s="11"/>
      <x:c r="J494" s="13" t="n">
        <x:v>0</x:v>
      </x:c>
      <x:c r="K494" s="22" t="b">
        <x:v>0</x:v>
      </x:c>
      <x:c r="L494" s="13" t="n">
        <x:v>50</x:v>
      </x:c>
      <x:c r="M494" s="13" t="n">
        <x:v>17</x:v>
      </x:c>
    </x:row>
    <x:row r="495" ht="22" customHeight="1">
      <x:c r="A495" s="17" t="str">
        <x:f>"06224000"</x:f>
        <x:v>06224000</x:v>
      </x:c>
      <x:c r="B495" s="13" t="n">
        <x:v>42</x:v>
      </x:c>
      <x:c r="C495" s="22" t="b">
        <x:v>0</x:v>
      </x:c>
      <x:c r="D495" s="11" t="n">
        <x:v>0.7662632024063487</x:v>
      </x:c>
      <x:c r="E495" s="11" t="n">
        <x:v>0.7572594179378067</x:v>
      </x:c>
      <x:c r="F495" s="11" t="n">
        <x:v>-0.2929706561517438</x:v>
      </x:c>
      <x:c r="G495" s="11" t="n">
        <x:v>0.009003784468541998</x:v>
      </x:c>
      <x:c r="H495" s="11" t="n">
        <x:v>1.0592338585580925</x:v>
      </x:c>
      <x:c r="I495" s="11" t="n">
        <x:v>0.95</x:v>
      </x:c>
      <x:c r="J495" s="13" t="n">
        <x:v>20</x:v>
      </x:c>
      <x:c r="K495" s="22" t="b">
        <x:v>1</x:v>
      </x:c>
      <x:c r="L495" s="13" t="n">
        <x:v>120</x:v>
      </x:c>
      <x:c r="M495" s="13" t="n">
        <x:v>41</x:v>
      </x:c>
    </x:row>
    <x:row r="496" ht="22" customHeight="1">
      <x:c r="A496" s="17" t="str">
        <x:f>"06278300"</x:f>
        <x:v>06278300</x:v>
      </x:c>
      <x:c r="B496" s="13" t="n">
        <x:v>42</x:v>
      </x:c>
      <x:c r="C496" s="22" t="b">
        <x:v>1</x:v>
      </x:c>
      <x:c r="D496" s="11" t="n">
        <x:v>0.9049969798063062</x:v>
      </x:c>
      <x:c r="E496" s="11" t="n">
        <x:v>0.9044913552439772</x:v>
      </x:c>
      <x:c r="F496" s="11" t="n">
        <x:v>0.8478407071154836</x:v>
      </x:c>
      <x:c r="G496" s="11" t="n">
        <x:v>0.0005056245623290545</x:v>
      </x:c>
      <x:c r="H496" s="11" t="n">
        <x:v>0.057156272690822574</x:v>
      </x:c>
      <x:c r="I496" s="11" t="n">
        <x:v>1</x:v>
      </x:c>
      <x:c r="J496" s="13" t="n">
        <x:v>17</x:v>
      </x:c>
      <x:c r="K496" s="22" t="b">
        <x:v>1</x:v>
      </x:c>
      <x:c r="L496" s="13" t="n">
        <x:v>101</x:v>
      </x:c>
      <x:c r="M496" s="13" t="n">
        <x:v>33</x:v>
      </x:c>
    </x:row>
    <x:row r="497" ht="22" customHeight="1">
      <x:c r="A497" s="17" t="str">
        <x:f>"06278300"</x:f>
        <x:v>06278300</x:v>
      </x:c>
      <x:c r="B497" s="13" t="n">
        <x:v>42</x:v>
      </x:c>
      <x:c r="C497" s="22" t="b">
        <x:v>0</x:v>
      </x:c>
      <x:c r="D497" s="11" t="n">
        <x:v>0.5787234325658028</x:v>
      </x:c>
      <x:c r="E497" s="11" t="n">
        <x:v>0.6368825730524712</x:v>
      </x:c>
      <x:c r="F497" s="11" t="n">
        <x:v>-0.23899748647823427</x:v>
      </x:c>
      <x:c r="G497" s="11" t="n">
        <x:v>-0.05815914048666837</x:v>
      </x:c>
      <x:c r="H497" s="11" t="n">
        <x:v>0.8177209190440371</x:v>
      </x:c>
      <x:c r="I497" s="11" t="n">
        <x:v>0.6842105263157895</x:v>
      </x:c>
      <x:c r="J497" s="13" t="n">
        <x:v>19</x:v>
      </x:c>
      <x:c r="K497" s="22" t="b">
        <x:v>0</x:v>
      </x:c>
      <x:c r="L497" s="13" t="n">
        <x:v>144</x:v>
      </x:c>
      <x:c r="M497" s="13" t="n">
        <x:v>54</x:v>
      </x:c>
    </x:row>
    <x:row r="498" ht="22" customHeight="1">
      <x:c r="A498" s="17" t="str">
        <x:f>"06280300"</x:f>
        <x:v>06280300</x:v>
      </x:c>
      <x:c r="B498" s="13" t="n">
        <x:v>42</x:v>
      </x:c>
      <x:c r="C498" s="22" t="b">
        <x:v>1</x:v>
      </x:c>
      <x:c r="D498" s="11" t="n">
        <x:v>0.9739812907180522</x:v>
      </x:c>
      <x:c r="E498" s="11" t="n">
        <x:v>0.9620596966403545</x:v>
      </x:c>
      <x:c r="F498" s="11" t="n">
        <x:v>0.8959860054878068</x:v>
      </x:c>
      <x:c r="G498" s="11" t="n">
        <x:v>0.011921594077697661</x:v>
      </x:c>
      <x:c r="H498" s="11" t="n">
        <x:v>0.07799528523024535</x:v>
      </x:c>
      <x:c r="I498" s="11"/>
      <x:c r="J498" s="13" t="n">
        <x:v>0</x:v>
      </x:c>
      <x:c r="K498" s="22" t="b">
        <x:v>0</x:v>
      </x:c>
      <x:c r="L498" s="13" t="n">
        <x:v>45</x:v>
      </x:c>
      <x:c r="M498" s="13" t="n">
        <x:v>16</x:v>
      </x:c>
    </x:row>
    <x:row r="499" ht="22" customHeight="1">
      <x:c r="A499" s="17" t="str">
        <x:f>"06280300"</x:f>
        <x:v>06280300</x:v>
      </x:c>
      <x:c r="B499" s="13" t="n">
        <x:v>42</x:v>
      </x:c>
      <x:c r="C499" s="22" t="b">
        <x:v>0</x:v>
      </x:c>
      <x:c r="D499" s="11" t="n">
        <x:v>0.7883170501399006</x:v>
      </x:c>
      <x:c r="E499" s="11" t="n">
        <x:v>0.8356936655405433</x:v>
      </x:c>
      <x:c r="F499" s="11" t="n">
        <x:v>0.4401579405433603</x:v>
      </x:c>
      <x:c r="G499" s="11" t="n">
        <x:v>-0.04737661540064264</x:v>
      </x:c>
      <x:c r="H499" s="11" t="n">
        <x:v>0.3481591095965403</x:v>
      </x:c>
      <x:c r="I499" s="11" t="n">
        <x:v>0.7894736842105263</x:v>
      </x:c>
      <x:c r="J499" s="13" t="n">
        <x:v>19</x:v>
      </x:c>
      <x:c r="K499" s="22" t="b">
        <x:v>0</x:v>
      </x:c>
      <x:c r="L499" s="13" t="n">
        <x:v>131</x:v>
      </x:c>
      <x:c r="M499" s="13" t="n">
        <x:v>46</x:v>
      </x:c>
    </x:row>
    <x:row r="500" ht="22" customHeight="1">
      <x:c r="A500" s="17" t="str">
        <x:f>"06289000"</x:f>
        <x:v>06289000</x:v>
      </x:c>
      <x:c r="B500" s="13" t="n">
        <x:v>42</x:v>
      </x:c>
      <x:c r="C500" s="22" t="b">
        <x:v>1</x:v>
      </x:c>
      <x:c r="D500" s="11" t="n">
        <x:v>0.9628410712581675</x:v>
      </x:c>
      <x:c r="E500" s="11" t="n">
        <x:v>0.9464285508662122</x:v>
      </x:c>
      <x:c r="F500" s="11" t="n">
        <x:v>0.9412798475263047</x:v>
      </x:c>
      <x:c r="G500" s="11" t="n">
        <x:v>0.016412520391955288</x:v>
      </x:c>
      <x:c r="H500" s="11" t="n">
        <x:v>0.021561223731862866</x:v>
      </x:c>
      <x:c r="I500" s="11" t="n">
        <x:v>0.8888888888888888</x:v>
      </x:c>
      <x:c r="J500" s="13" t="n">
        <x:v>18</x:v>
      </x:c>
      <x:c r="K500" s="22" t="b">
        <x:v>1</x:v>
      </x:c>
      <x:c r="L500" s="13" t="n">
        <x:v>56</x:v>
      </x:c>
      <x:c r="M500" s="13" t="n">
        <x:v>19</x:v>
      </x:c>
    </x:row>
    <x:row r="501" ht="22" customHeight="1">
      <x:c r="A501" s="17" t="str">
        <x:f>"06289000"</x:f>
        <x:v>06289000</x:v>
      </x:c>
      <x:c r="B501" s="13" t="n">
        <x:v>42</x:v>
      </x:c>
      <x:c r="C501" s="22" t="b">
        <x:v>0</x:v>
      </x:c>
      <x:c r="D501" s="11" t="n">
        <x:v>0.6315289180699795</x:v>
      </x:c>
      <x:c r="E501" s="11" t="n">
        <x:v>0.7226482241598953</x:v>
      </x:c>
      <x:c r="F501" s="11" t="n">
        <x:v>0.3601059021473778</x:v>
      </x:c>
      <x:c r="G501" s="11" t="n">
        <x:v>-0.09111930608991581</x:v>
      </x:c>
      <x:c r="H501" s="11" t="n">
        <x:v>0.27142301592260165</x:v>
      </x:c>
      <x:c r="I501" s="11" t="n">
        <x:v>0.55</x:v>
      </x:c>
      <x:c r="J501" s="13" t="n">
        <x:v>20</x:v>
      </x:c>
      <x:c r="K501" s="22" t="b">
        <x:v>0</x:v>
      </x:c>
      <x:c r="L501" s="13" t="n">
        <x:v>138</x:v>
      </x:c>
      <x:c r="M501" s="13" t="n">
        <x:v>50</x:v>
      </x:c>
    </x:row>
    <x:row r="502" ht="22" customHeight="1">
      <x:c r="A502" s="17" t="str">
        <x:f>"06311000"</x:f>
        <x:v>06311000</x:v>
      </x:c>
      <x:c r="B502" s="13" t="n">
        <x:v>42</x:v>
      </x:c>
      <x:c r="C502" s="22" t="b">
        <x:v>1</x:v>
      </x:c>
      <x:c r="D502" s="11" t="n">
        <x:v>0.916177137606525</x:v>
      </x:c>
      <x:c r="E502" s="11" t="n">
        <x:v>0.8807489721347227</x:v>
      </x:c>
      <x:c r="F502" s="11" t="n">
        <x:v>0.8450143375804621</x:v>
      </x:c>
      <x:c r="G502" s="11" t="n">
        <x:v>0.035428165471802275</x:v>
      </x:c>
      <x:c r="H502" s="11" t="n">
        <x:v>0.0711628000260629</x:v>
      </x:c>
      <x:c r="I502" s="11" t="n">
        <x:v>1</x:v>
      </x:c>
      <x:c r="J502" s="13" t="n">
        <x:v>19</x:v>
      </x:c>
      <x:c r="K502" s="22" t="b">
        <x:v>1</x:v>
      </x:c>
      <x:c r="L502" s="13" t="n">
        <x:v>140</x:v>
      </x:c>
      <x:c r="M502" s="13" t="n">
        <x:v>52</x:v>
      </x:c>
    </x:row>
    <x:row r="503" ht="22" customHeight="1">
      <x:c r="A503" s="17" t="str">
        <x:f>"06311000"</x:f>
        <x:v>06311000</x:v>
      </x:c>
      <x:c r="B503" s="13" t="n">
        <x:v>42</x:v>
      </x:c>
      <x:c r="C503" s="22" t="b">
        <x:v>0</x:v>
      </x:c>
      <x:c r="D503" s="11" t="n">
        <x:v>0.5765981583070772</x:v>
      </x:c>
      <x:c r="E503" s="11" t="n">
        <x:v>0.6352296485873508</x:v>
      </x:c>
      <x:c r="F503" s="11" t="n">
        <x:v>0.07197003507833255</x:v>
      </x:c>
      <x:c r="G503" s="11" t="n">
        <x:v>-0.05863149028027359</x:v>
      </x:c>
      <x:c r="H503" s="11" t="n">
        <x:v>0.5046281232287446</x:v>
      </x:c>
      <x:c r="I503" s="11" t="n">
        <x:v>1</x:v>
      </x:c>
      <x:c r="J503" s="13" t="n">
        <x:v>20</x:v>
      </x:c>
      <x:c r="K503" s="22" t="b">
        <x:v>1</x:v>
      </x:c>
      <x:c r="L503" s="13" t="n">
        <x:v>151</x:v>
      </x:c>
      <x:c r="M503" s="13" t="n">
        <x:v>59</x:v>
      </x:c>
    </x:row>
    <x:row r="504" ht="22" customHeight="1">
      <x:c r="A504" s="17" t="str">
        <x:f>"06332515"</x:f>
        <x:v>06332515</x:v>
      </x:c>
      <x:c r="B504" s="13" t="n">
        <x:v>42</x:v>
      </x:c>
      <x:c r="C504" s="22" t="b">
        <x:v>1</x:v>
      </x:c>
      <x:c r="D504" s="11" t="n">
        <x:v>0.5017795841476069</x:v>
      </x:c>
      <x:c r="E504" s="11" t="n">
        <x:v>0.491400140865378</x:v>
      </x:c>
      <x:c r="F504" s="11" t="n">
        <x:v>-0.6270068644857267</x:v>
      </x:c>
      <x:c r="G504" s="11" t="n">
        <x:v>0.01037944328222895</x:v>
      </x:c>
      <x:c r="H504" s="11" t="n">
        <x:v>1.1287864486333337</x:v>
      </x:c>
      <x:c r="I504" s="11" t="n">
        <x:v>0.3125</x:v>
      </x:c>
      <x:c r="J504" s="13" t="n">
        <x:v>16</x:v>
      </x:c>
      <x:c r="K504" s="22" t="b">
        <x:v>0</x:v>
      </x:c>
      <x:c r="L504" s="13" t="n">
        <x:v>104</x:v>
      </x:c>
      <x:c r="M504" s="13" t="n">
        <x:v>34</x:v>
      </x:c>
    </x:row>
    <x:row r="505" ht="22" customHeight="1">
      <x:c r="A505" s="17" t="str">
        <x:f>"06332515"</x:f>
        <x:v>06332515</x:v>
      </x:c>
      <x:c r="B505" s="13" t="n">
        <x:v>42</x:v>
      </x:c>
      <x:c r="C505" s="22" t="b">
        <x:v>0</x:v>
      </x:c>
      <x:c r="D505" s="11" t="n">
        <x:v>0.12721889921148521</x:v>
      </x:c>
      <x:c r="E505" s="11" t="n">
        <x:v>0.09122602929629742</x:v>
      </x:c>
      <x:c r="F505" s="11" t="n">
        <x:v>-0.20305936326659313</x:v>
      </x:c>
      <x:c r="G505" s="11" t="n">
        <x:v>0.0359928699151878</x:v>
      </x:c>
      <x:c r="H505" s="11" t="n">
        <x:v>0.33027826247807834</x:v>
      </x:c>
      <x:c r="I505" s="11" t="n">
        <x:v>0.3</x:v>
      </x:c>
      <x:c r="J505" s="13" t="n">
        <x:v>20</x:v>
      </x:c>
      <x:c r="K505" s="22" t="b">
        <x:v>0</x:v>
      </x:c>
      <x:c r="L505" s="13" t="n">
        <x:v>154</x:v>
      </x:c>
      <x:c r="M505" s="13" t="n">
        <x:v>61</x:v>
      </x:c>
    </x:row>
    <x:row r="506" ht="22" customHeight="1">
      <x:c r="A506" s="17" t="str">
        <x:f>"06339100"</x:f>
        <x:v>06339100</x:v>
      </x:c>
      <x:c r="B506" s="13" t="n">
        <x:v>42</x:v>
      </x:c>
      <x:c r="C506" s="22" t="b">
        <x:v>1</x:v>
      </x:c>
      <x:c r="D506" s="11" t="n">
        <x:v>0.6285797792440859</x:v>
      </x:c>
      <x:c r="E506" s="11" t="n">
        <x:v>0.49136157915507306</x:v>
      </x:c>
      <x:c r="F506" s="11" t="n">
        <x:v>0.4050939712949716</x:v>
      </x:c>
      <x:c r="G506" s="11" t="n">
        <x:v>0.13721820008901287</x:v>
      </x:c>
      <x:c r="H506" s="11" t="n">
        <x:v>0.22348580794911432</x:v>
      </x:c>
      <x:c r="I506" s="11" t="n">
        <x:v>0</x:v>
      </x:c>
      <x:c r="J506" s="13" t="n">
        <x:v>17</x:v>
      </x:c>
      <x:c r="K506" s="22" t="b">
        <x:v>0</x:v>
      </x:c>
      <x:c r="L506" s="13" t="n">
        <x:v>97</x:v>
      </x:c>
      <x:c r="M506" s="13" t="n">
        <x:v>31</x:v>
      </x:c>
    </x:row>
    <x:row r="507" ht="22" customHeight="1">
      <x:c r="A507" s="17" t="str">
        <x:f>"06339100"</x:f>
        <x:v>06339100</x:v>
      </x:c>
      <x:c r="B507" s="13" t="n">
        <x:v>42</x:v>
      </x:c>
      <x:c r="C507" s="22" t="b">
        <x:v>0</x:v>
      </x:c>
      <x:c r="D507" s="11" t="n">
        <x:v>0.1784718221447955</x:v>
      </x:c>
      <x:c r="E507" s="11" t="n">
        <x:v>0.3446038745380663</x:v>
      </x:c>
      <x:c r="F507" s="11" t="n">
        <x:v>0.17959981538014713</x:v>
      </x:c>
      <x:c r="G507" s="11" t="n">
        <x:v>-0.16613205239327078</x:v>
      </x:c>
      <x:c r="H507" s="11" t="n">
        <x:v>-0.0011279932353516209</x:v>
      </x:c>
      <x:c r="I507" s="11" t="n">
        <x:v>0.95</x:v>
      </x:c>
      <x:c r="J507" s="13" t="n">
        <x:v>20</x:v>
      </x:c>
      <x:c r="K507" s="22" t="b">
        <x:v>0</x:v>
      </x:c>
      <x:c r="L507" s="13" t="n">
        <x:v>159</x:v>
      </x:c>
      <x:c r="M507" s="13" t="n">
        <x:v>68</x:v>
      </x:c>
    </x:row>
    <x:row r="508" ht="22" customHeight="1">
      <x:c r="A508" s="17" t="str">
        <x:f>"06339500"</x:f>
        <x:v>06339500</x:v>
      </x:c>
      <x:c r="B508" s="13" t="n">
        <x:v>42</x:v>
      </x:c>
      <x:c r="C508" s="22" t="b">
        <x:v>1</x:v>
      </x:c>
      <x:c r="D508" s="11" t="n">
        <x:v>0.8014982235943428</x:v>
      </x:c>
      <x:c r="E508" s="11" t="n">
        <x:v>0.5352188968887401</x:v>
      </x:c>
      <x:c r="F508" s="11" t="n">
        <x:v>0.7680903522854496</x:v>
      </x:c>
      <x:c r="G508" s="11" t="n">
        <x:v>0.2662793267056026</x:v>
      </x:c>
      <x:c r="H508" s="11" t="n">
        <x:v>0.03340787130889311</x:v>
      </x:c>
      <x:c r="I508" s="11" t="n">
        <x:v>1</x:v>
      </x:c>
      <x:c r="J508" s="13" t="n">
        <x:v>18</x:v>
      </x:c>
      <x:c r="K508" s="22" t="b">
        <x:v>0</x:v>
      </x:c>
      <x:c r="L508" s="13" t="n">
        <x:v>86</x:v>
      </x:c>
      <x:c r="M508" s="13" t="n">
        <x:v>27</x:v>
      </x:c>
    </x:row>
    <x:row r="509" ht="22" customHeight="1">
      <x:c r="A509" s="17" t="str">
        <x:f>"06339500"</x:f>
        <x:v>06339500</x:v>
      </x:c>
      <x:c r="B509" s="13" t="n">
        <x:v>42</x:v>
      </x:c>
      <x:c r="C509" s="22" t="b">
        <x:v>0</x:v>
      </x:c>
      <x:c r="D509" s="11" t="n">
        <x:v>0.33160013825715107</x:v>
      </x:c>
      <x:c r="E509" s="11" t="n">
        <x:v>0.2592426909006337</x:v>
      </x:c>
      <x:c r="F509" s="11" t="n">
        <x:v>0.10004289678653122</x:v>
      </x:c>
      <x:c r="G509" s="11" t="n">
        <x:v>0.07235744735651739</x:v>
      </x:c>
      <x:c r="H509" s="11" t="n">
        <x:v>0.23155724147061985</x:v>
      </x:c>
      <x:c r="I509" s="11" t="n">
        <x:v>0.3</x:v>
      </x:c>
      <x:c r="J509" s="13" t="n">
        <x:v>20</x:v>
      </x:c>
      <x:c r="K509" s="22" t="b">
        <x:v>0</x:v>
      </x:c>
      <x:c r="L509" s="13" t="n">
        <x:v>159</x:v>
      </x:c>
      <x:c r="M509" s="13" t="n">
        <x:v>65</x:v>
      </x:c>
    </x:row>
    <x:row r="510" ht="22" customHeight="1">
      <x:c r="A510" s="17" t="str">
        <x:f>"06344600"</x:f>
        <x:v>06344600</x:v>
      </x:c>
      <x:c r="B510" s="13" t="n">
        <x:v>42</x:v>
      </x:c>
      <x:c r="C510" s="22" t="b">
        <x:v>1</x:v>
      </x:c>
      <x:c r="D510" s="11" t="n">
        <x:v>0.5467813042992982</x:v>
      </x:c>
      <x:c r="E510" s="11" t="n">
        <x:v>0.5256378295422797</x:v>
      </x:c>
      <x:c r="F510" s="11" t="n">
        <x:v>0.38164589962194484</x:v>
      </x:c>
      <x:c r="G510" s="11" t="n">
        <x:v>0.0211434747570185</x:v>
      </x:c>
      <x:c r="H510" s="11" t="n">
        <x:v>0.16513540467735333</x:v>
      </x:c>
      <x:c r="I510" s="11" t="n">
        <x:v>0.75</x:v>
      </x:c>
      <x:c r="J510" s="13" t="n">
        <x:v>16</x:v>
      </x:c>
      <x:c r="K510" s="22" t="b">
        <x:v>0</x:v>
      </x:c>
      <x:c r="L510" s="13" t="n">
        <x:v>85</x:v>
      </x:c>
      <x:c r="M510" s="13" t="n">
        <x:v>27</x:v>
      </x:c>
    </x:row>
    <x:row r="511" ht="22" customHeight="1">
      <x:c r="A511" s="17" t="str">
        <x:f>"06344600"</x:f>
        <x:v>06344600</x:v>
      </x:c>
      <x:c r="B511" s="13" t="n">
        <x:v>42</x:v>
      </x:c>
      <x:c r="C511" s="22" t="b">
        <x:v>0</x:v>
      </x:c>
      <x:c r="D511" s="11" t="n">
        <x:v>0.09891837434370543</x:v>
      </x:c>
      <x:c r="E511" s="11" t="n">
        <x:v>0.11347583562512209</x:v>
      </x:c>
      <x:c r="F511" s="11" t="n">
        <x:v>0.06235644738304613</x:v>
      </x:c>
      <x:c r="G511" s="11" t="n">
        <x:v>-0.014557461281416662</x:v>
      </x:c>
      <x:c r="H511" s="11" t="n">
        <x:v>0.0365619269606593</x:v>
      </x:c>
      <x:c r="I511" s="11"/>
      <x:c r="J511" s="13" t="n">
        <x:v>0</x:v>
      </x:c>
      <x:c r="K511" s="22" t="b">
        <x:v>0</x:v>
      </x:c>
      <x:c r="L511" s="13" t="n">
        <x:v>92</x:v>
      </x:c>
      <x:c r="M511" s="13" t="n">
        <x:v>30</x:v>
      </x:c>
    </x:row>
    <x:row r="512" ht="22" customHeight="1">
      <x:c r="A512" s="17" t="str">
        <x:f>"06350000"</x:f>
        <x:v>06350000</x:v>
      </x:c>
      <x:c r="B512" s="13" t="n">
        <x:v>42</x:v>
      </x:c>
      <x:c r="C512" s="22" t="b">
        <x:v>1</x:v>
      </x:c>
      <x:c r="D512" s="11" t="n">
        <x:v>0.728461554801111</x:v>
      </x:c>
      <x:c r="E512" s="11" t="n">
        <x:v>0.4290300912200269</x:v>
      </x:c>
      <x:c r="F512" s="11" t="n">
        <x:v>0.6845431537844267</x:v>
      </x:c>
      <x:c r="G512" s="11" t="n">
        <x:v>0.2994314635810841</x:v>
      </x:c>
      <x:c r="H512" s="11" t="n">
        <x:v>0.043918401016684316</x:v>
      </x:c>
      <x:c r="I512" s="11" t="n">
        <x:v>0.75</x:v>
      </x:c>
      <x:c r="J512" s="13" t="n">
        <x:v>20</x:v>
      </x:c>
      <x:c r="K512" s="22" t="b">
        <x:v>0</x:v>
      </x:c>
      <x:c r="L512" s="13" t="n">
        <x:v>96</x:v>
      </x:c>
      <x:c r="M512" s="13" t="n">
        <x:v>31</x:v>
      </x:c>
    </x:row>
    <x:row r="513" ht="22" customHeight="1">
      <x:c r="A513" s="17" t="str">
        <x:f>"06350000"</x:f>
        <x:v>06350000</x:v>
      </x:c>
      <x:c r="B513" s="13" t="n">
        <x:v>42</x:v>
      </x:c>
      <x:c r="C513" s="22" t="b">
        <x:v>0</x:v>
      </x:c>
      <x:c r="D513" s="11" t="n">
        <x:v>0.1450878717391353</x:v>
      </x:c>
      <x:c r="E513" s="11" t="n">
        <x:v>0.11060674291900263</x:v>
      </x:c>
      <x:c r="F513" s="11" t="n">
        <x:v>0.12131261831551743</x:v>
      </x:c>
      <x:c r="G513" s="11" t="n">
        <x:v>0.034481128820132656</x:v>
      </x:c>
      <x:c r="H513" s="11" t="n">
        <x:v>0.02377525342361786</x:v>
      </x:c>
      <x:c r="I513" s="11" t="n">
        <x:v>0</x:v>
      </x:c>
      <x:c r="J513" s="13" t="n">
        <x:v>12</x:v>
      </x:c>
      <x:c r="K513" s="22" t="b">
        <x:v>0</x:v>
      </x:c>
      <x:c r="L513" s="13" t="n">
        <x:v>122</x:v>
      </x:c>
      <x:c r="M513" s="13" t="n">
        <x:v>41</x:v>
      </x:c>
    </x:row>
    <x:row r="514" ht="22" customHeight="1">
      <x:c r="A514" s="17" t="str">
        <x:f>"06352000"</x:f>
        <x:v>06352000</x:v>
      </x:c>
      <x:c r="B514" s="13" t="n">
        <x:v>42</x:v>
      </x:c>
      <x:c r="C514" s="22" t="b">
        <x:v>1</x:v>
      </x:c>
      <x:c r="D514" s="11" t="n">
        <x:v>0.7795251931534009</x:v>
      </x:c>
      <x:c r="E514" s="11" t="n">
        <x:v>0.12325297732990248</x:v>
      </x:c>
      <x:c r="F514" s="11" t="n">
        <x:v>0.755817876327788</x:v>
      </x:c>
      <x:c r="G514" s="11" t="n">
        <x:v>0.6562722158234984</x:v>
      </x:c>
      <x:c r="H514" s="11" t="n">
        <x:v>0.02370731682561289</x:v>
      </x:c>
      <x:c r="I514" s="11" t="n">
        <x:v>1</x:v>
      </x:c>
      <x:c r="J514" s="13" t="n">
        <x:v>18</x:v>
      </x:c>
      <x:c r="K514" s="22" t="b">
        <x:v>0</x:v>
      </x:c>
      <x:c r="L514" s="13" t="n">
        <x:v>84</x:v>
      </x:c>
      <x:c r="M514" s="13" t="n">
        <x:v>27</x:v>
      </x:c>
    </x:row>
    <x:row r="515" ht="22" customHeight="1">
      <x:c r="A515" s="17" t="str">
        <x:f>"06352000"</x:f>
        <x:v>06352000</x:v>
      </x:c>
      <x:c r="B515" s="13" t="n">
        <x:v>42</x:v>
      </x:c>
      <x:c r="C515" s="22" t="b">
        <x:v>0</x:v>
      </x:c>
      <x:c r="D515" s="11" t="n">
        <x:v>0.272935904868436</x:v>
      </x:c>
      <x:c r="E515" s="11" t="n">
        <x:v>0.025294240691223435</x:v>
      </x:c>
      <x:c r="F515" s="11" t="n">
        <x:v>-0.18492429211492034</x:v>
      </x:c>
      <x:c r="G515" s="11" t="n">
        <x:v>0.24764166417721256</x:v>
      </x:c>
      <x:c r="H515" s="11" t="n">
        <x:v>0.45786019698335634</x:v>
      </x:c>
      <x:c r="I515" s="11" t="n">
        <x:v>1</x:v>
      </x:c>
      <x:c r="J515" s="13" t="n">
        <x:v>13</x:v>
      </x:c>
      <x:c r="K515" s="22" t="b">
        <x:v>0</x:v>
      </x:c>
      <x:c r="L515" s="13" t="n">
        <x:v>88</x:v>
      </x:c>
      <x:c r="M515" s="13" t="n">
        <x:v>28</x:v>
      </x:c>
    </x:row>
    <x:row r="516" ht="22" customHeight="1">
      <x:c r="A516" s="17" t="str">
        <x:f>"06353000"</x:f>
        <x:v>06353000</x:v>
      </x:c>
      <x:c r="B516" s="13" t="n">
        <x:v>42</x:v>
      </x:c>
      <x:c r="C516" s="22" t="b">
        <x:v>1</x:v>
      </x:c>
      <x:c r="D516" s="11" t="n">
        <x:v>0.8915531185685259</x:v>
      </x:c>
      <x:c r="E516" s="11" t="n">
        <x:v>0.4076303078706991</x:v>
      </x:c>
      <x:c r="F516" s="11" t="n">
        <x:v>0.587851422216368</x:v>
      </x:c>
      <x:c r="G516" s="11" t="n">
        <x:v>0.48392281069782683</x:v>
      </x:c>
      <x:c r="H516" s="11" t="n">
        <x:v>0.30370169635215793</x:v>
      </x:c>
      <x:c r="I516" s="11" t="n">
        <x:v>1</x:v>
      </x:c>
      <x:c r="J516" s="13" t="n">
        <x:v>13</x:v>
      </x:c>
      <x:c r="K516" s="22" t="b">
        <x:v>0</x:v>
      </x:c>
      <x:c r="L516" s="13" t="n">
        <x:v>94</x:v>
      </x:c>
      <x:c r="M516" s="13" t="n">
        <x:v>30</x:v>
      </x:c>
    </x:row>
    <x:row r="517" ht="22" customHeight="1">
      <x:c r="A517" s="17" t="str">
        <x:f>"06353000"</x:f>
        <x:v>06353000</x:v>
      </x:c>
      <x:c r="B517" s="13" t="n">
        <x:v>42</x:v>
      </x:c>
      <x:c r="C517" s="22" t="b">
        <x:v>0</x:v>
      </x:c>
      <x:c r="D517" s="11" t="n">
        <x:v>-0.09097528386027465</x:v>
      </x:c>
      <x:c r="E517" s="11" t="n">
        <x:v>-0.2855850082843423</x:v>
      </x:c>
      <x:c r="F517" s="11" t="n">
        <x:v>-8.575612005662318</x:v>
      </x:c>
      <x:c r="G517" s="11" t="n">
        <x:v>0.19460972442406765</x:v>
      </x:c>
      <x:c r="H517" s="11" t="n">
        <x:v>8.484636721802044</x:v>
      </x:c>
      <x:c r="I517" s="11" t="n">
        <x:v>0.08333333333333333</x:v>
      </x:c>
      <x:c r="J517" s="13" t="n">
        <x:v>12</x:v>
      </x:c>
      <x:c r="K517" s="22" t="b">
        <x:v>0</x:v>
      </x:c>
      <x:c r="L517" s="13" t="n">
        <x:v>120</x:v>
      </x:c>
      <x:c r="M517" s="13" t="n">
        <x:v>41</x:v>
      </x:c>
    </x:row>
    <x:row r="518" ht="22" customHeight="1">
      <x:c r="A518" s="17" t="str">
        <x:f>"06354000"</x:f>
        <x:v>06354000</x:v>
      </x:c>
      <x:c r="B518" s="13" t="n">
        <x:v>42</x:v>
      </x:c>
      <x:c r="C518" s="22" t="b">
        <x:v>1</x:v>
      </x:c>
      <x:c r="D518" s="11" t="n">
        <x:v>0.9133190832828114</x:v>
      </x:c>
      <x:c r="E518" s="11" t="n">
        <x:v>0.4512304822207277</x:v>
      </x:c>
      <x:c r="F518" s="11" t="n">
        <x:v>0.33986160901687446</x:v>
      </x:c>
      <x:c r="G518" s="11" t="n">
        <x:v>0.4620886010620837</x:v>
      </x:c>
      <x:c r="H518" s="11" t="n">
        <x:v>0.573457474265937</x:v>
      </x:c>
      <x:c r="I518" s="11" t="n">
        <x:v>0.2</x:v>
      </x:c>
      <x:c r="J518" s="13" t="n">
        <x:v>20</x:v>
      </x:c>
      <x:c r="K518" s="22" t="b">
        <x:v>0</x:v>
      </x:c>
      <x:c r="L518" s="13" t="n">
        <x:v>103</x:v>
      </x:c>
      <x:c r="M518" s="13" t="n">
        <x:v>34</x:v>
      </x:c>
    </x:row>
    <x:row r="519" ht="22" customHeight="1">
      <x:c r="A519" s="17" t="str">
        <x:f>"06354000"</x:f>
        <x:v>06354000</x:v>
      </x:c>
      <x:c r="B519" s="13" t="n">
        <x:v>42</x:v>
      </x:c>
      <x:c r="C519" s="22" t="b">
        <x:v>0</x:v>
      </x:c>
      <x:c r="D519" s="11" t="n">
        <x:v>0.4970776756290817</x:v>
      </x:c>
      <x:c r="E519" s="11" t="n">
        <x:v>0.4798689855544086</x:v>
      </x:c>
      <x:c r="F519" s="11" t="n">
        <x:v>-1.7901864724580818</x:v>
      </x:c>
      <x:c r="G519" s="11" t="n">
        <x:v>0.017208690074673072</x:v>
      </x:c>
      <x:c r="H519" s="11" t="n">
        <x:v>2.2872641480871634</x:v>
      </x:c>
      <x:c r="I519" s="11"/>
      <x:c r="J519" s="13" t="n">
        <x:v>0</x:v>
      </x:c>
      <x:c r="K519" s="22" t="b">
        <x:v>0</x:v>
      </x:c>
      <x:c r="L519" s="13" t="n">
        <x:v>97</x:v>
      </x:c>
      <x:c r="M519" s="13" t="n">
        <x:v>31</x:v>
      </x:c>
    </x:row>
    <x:row r="520" ht="22" customHeight="1">
      <x:c r="A520" s="17" t="str">
        <x:f>"06360500"</x:f>
        <x:v>06360500</x:v>
      </x:c>
      <x:c r="B520" s="13" t="n">
        <x:v>42</x:v>
      </x:c>
      <x:c r="C520" s="22" t="b">
        <x:v>1</x:v>
      </x:c>
      <x:c r="D520" s="11" t="n">
        <x:v>0.7889653375561334</x:v>
      </x:c>
      <x:c r="E520" s="11" t="n">
        <x:v>0.697160216268282</x:v>
      </x:c>
      <x:c r="F520" s="11" t="n">
        <x:v>0.7154548608873095</x:v>
      </x:c>
      <x:c r="G520" s="11" t="n">
        <x:v>0.09180512128785145</x:v>
      </x:c>
      <x:c r="H520" s="11" t="n">
        <x:v>0.07351047666882393</x:v>
      </x:c>
      <x:c r="I520" s="11"/>
      <x:c r="J520" s="13" t="n">
        <x:v>0</x:v>
      </x:c>
      <x:c r="K520" s="22" t="b">
        <x:v>0</x:v>
      </x:c>
      <x:c r="L520" s="13" t="n">
        <x:v>88</x:v>
      </x:c>
      <x:c r="M520" s="13" t="n">
        <x:v>28</x:v>
      </x:c>
    </x:row>
    <x:row r="521" ht="22" customHeight="1">
      <x:c r="A521" s="17" t="str">
        <x:f>"06360500"</x:f>
        <x:v>06360500</x:v>
      </x:c>
      <x:c r="B521" s="13" t="n">
        <x:v>42</x:v>
      </x:c>
      <x:c r="C521" s="22" t="b">
        <x:v>0</x:v>
      </x:c>
      <x:c r="D521" s="11" t="n">
        <x:v>0.1803831079940048</x:v>
      </x:c>
      <x:c r="E521" s="11" t="n">
        <x:v>0.3671606861083071</x:v>
      </x:c>
      <x:c r="F521" s="11" t="n">
        <x:v>0.062013198688988025</x:v>
      </x:c>
      <x:c r="G521" s="11" t="n">
        <x:v>-0.1867775781143023</x:v>
      </x:c>
      <x:c r="H521" s="11" t="n">
        <x:v>0.11836990930501678</x:v>
      </x:c>
      <x:c r="I521" s="11" t="n">
        <x:v>1</x:v>
      </x:c>
      <x:c r="J521" s="13" t="n">
        <x:v>20</x:v>
      </x:c>
      <x:c r="K521" s="22" t="b">
        <x:v>1</x:v>
      </x:c>
      <x:c r="L521" s="13" t="n">
        <x:v>118</x:v>
      </x:c>
      <x:c r="M521" s="13" t="n">
        <x:v>40</x:v>
      </x:c>
    </x:row>
    <x:row r="522" ht="22" customHeight="1">
      <x:c r="A522" s="17" t="str">
        <x:f>"06404000"</x:f>
        <x:v>06404000</x:v>
      </x:c>
      <x:c r="B522" s="13" t="n">
        <x:v>42</x:v>
      </x:c>
      <x:c r="C522" s="22" t="b">
        <x:v>1</x:v>
      </x:c>
      <x:c r="D522" s="11" t="n">
        <x:v>0.7429703335768391</x:v>
      </x:c>
      <x:c r="E522" s="11" t="n">
        <x:v>0.7485571048098186</x:v>
      </x:c>
      <x:c r="F522" s="11" t="n">
        <x:v>0.41940561358552153</x:v>
      </x:c>
      <x:c r="G522" s="11" t="n">
        <x:v>-0.0055867712329795705</x:v>
      </x:c>
      <x:c r="H522" s="11" t="n">
        <x:v>0.32356471999131753</x:v>
      </x:c>
      <x:c r="I522" s="11" t="n">
        <x:v>0.95</x:v>
      </x:c>
      <x:c r="J522" s="13" t="n">
        <x:v>20</x:v>
      </x:c>
      <x:c r="K522" s="22" t="b">
        <x:v>1</x:v>
      </x:c>
      <x:c r="L522" s="13" t="n">
        <x:v>153</x:v>
      </x:c>
      <x:c r="M522" s="13" t="n">
        <x:v>60</x:v>
      </x:c>
    </x:row>
    <x:row r="523" ht="22" customHeight="1">
      <x:c r="A523" s="17" t="str">
        <x:f>"06404000"</x:f>
        <x:v>06404000</x:v>
      </x:c>
      <x:c r="B523" s="13" t="n">
        <x:v>42</x:v>
      </x:c>
      <x:c r="C523" s="22" t="b">
        <x:v>0</x:v>
      </x:c>
      <x:c r="D523" s="11" t="n">
        <x:v>0.4276408600139391</x:v>
      </x:c>
      <x:c r="E523" s="11" t="n">
        <x:v>0.25452180953249115</x:v>
      </x:c>
      <x:c r="F523" s="11" t="n">
        <x:v>-0.1994343104275973</x:v>
      </x:c>
      <x:c r="G523" s="11" t="n">
        <x:v>0.17311905048144793</x:v>
      </x:c>
      <x:c r="H523" s="11" t="n">
        <x:v>0.6270751704415364</x:v>
      </x:c>
      <x:c r="I523" s="11" t="n">
        <x:v>0.95</x:v>
      </x:c>
      <x:c r="J523" s="13" t="n">
        <x:v>20</x:v>
      </x:c>
      <x:c r="K523" s="22" t="b">
        <x:v>0</x:v>
      </x:c>
      <x:c r="L523" s="13" t="n">
        <x:v>162</x:v>
      </x:c>
      <x:c r="M523" s="13" t="n">
        <x:v>67</x:v>
      </x:c>
    </x:row>
    <x:row r="524" ht="22" customHeight="1">
      <x:c r="A524" s="17" t="str">
        <x:f>"06406000"</x:f>
        <x:v>06406000</x:v>
      </x:c>
      <x:c r="B524" s="13" t="n">
        <x:v>42</x:v>
      </x:c>
      <x:c r="C524" s="22" t="b">
        <x:v>1</x:v>
      </x:c>
      <x:c r="D524" s="11" t="n">
        <x:v>0.7431148120086309</x:v>
      </x:c>
      <x:c r="E524" s="11" t="n">
        <x:v>0.7304679881324975</x:v>
      </x:c>
      <x:c r="F524" s="11" t="n">
        <x:v>0.34584295967986656</x:v>
      </x:c>
      <x:c r="G524" s="11" t="n">
        <x:v>0.012646823876133473</x:v>
      </x:c>
      <x:c r="H524" s="11" t="n">
        <x:v>0.3972718523287644</x:v>
      </x:c>
      <x:c r="I524" s="11" t="n">
        <x:v>0.35</x:v>
      </x:c>
      <x:c r="J524" s="13" t="n">
        <x:v>20</x:v>
      </x:c>
      <x:c r="K524" s="22" t="b">
        <x:v>0</x:v>
      </x:c>
      <x:c r="L524" s="13" t="n">
        <x:v>196</x:v>
      </x:c>
      <x:c r="M524" s="13" t="n">
        <x:v>100</x:v>
      </x:c>
    </x:row>
    <x:row r="525" ht="22" customHeight="1">
      <x:c r="A525" s="17" t="str">
        <x:f>"06406000"</x:f>
        <x:v>06406000</x:v>
      </x:c>
      <x:c r="B525" s="13" t="n">
        <x:v>42</x:v>
      </x:c>
      <x:c r="C525" s="22" t="b">
        <x:v>0</x:v>
      </x:c>
      <x:c r="D525" s="11" t="n">
        <x:v>0.12820568973260338</x:v>
      </x:c>
      <x:c r="E525" s="11" t="n">
        <x:v>-0.07370584403460168</x:v>
      </x:c>
      <x:c r="F525" s="11" t="n">
        <x:v>-0.05005899424540572</x:v>
      </x:c>
      <x:c r="G525" s="11" t="n">
        <x:v>0.20191153376720505</x:v>
      </x:c>
      <x:c r="H525" s="11" t="n">
        <x:v>0.1782646839780091</x:v>
      </x:c>
      <x:c r="I525" s="11" t="n">
        <x:v>0</x:v>
      </x:c>
      <x:c r="J525" s="13" t="n">
        <x:v>20</x:v>
      </x:c>
      <x:c r="K525" s="22" t="b">
        <x:v>0</x:v>
      </x:c>
      <x:c r="L525" s="13" t="n">
        <x:v>110</x:v>
      </x:c>
      <x:c r="M525" s="13" t="n">
        <x:v>36</x:v>
      </x:c>
    </x:row>
    <x:row r="526" ht="22" customHeight="1">
      <x:c r="A526" s="17" t="str">
        <x:f>"06409000"</x:f>
        <x:v>06409000</x:v>
      </x:c>
      <x:c r="B526" s="13" t="n">
        <x:v>42</x:v>
      </x:c>
      <x:c r="C526" s="22" t="b">
        <x:v>1</x:v>
      </x:c>
      <x:c r="D526" s="11" t="n">
        <x:v>0.8398726112487893</x:v>
      </x:c>
      <x:c r="E526" s="11" t="n">
        <x:v>0.8357799635255361</x:v>
      </x:c>
      <x:c r="F526" s="11" t="n">
        <x:v>0.5820930469335182</x:v>
      </x:c>
      <x:c r="G526" s="11" t="n">
        <x:v>0.00409264772325324</x:v>
      </x:c>
      <x:c r="H526" s="11" t="n">
        <x:v>0.25777956431527116</x:v>
      </x:c>
      <x:c r="I526" s="11"/>
      <x:c r="J526" s="13" t="n">
        <x:v>0</x:v>
      </x:c>
      <x:c r="K526" s="22" t="b">
        <x:v>0</x:v>
      </x:c>
      <x:c r="L526" s="13" t="n">
        <x:v>70</x:v>
      </x:c>
      <x:c r="M526" s="13" t="n">
        <x:v>23</x:v>
      </x:c>
    </x:row>
    <x:row r="527" ht="22" customHeight="1">
      <x:c r="A527" s="17" t="str">
        <x:f>"06409000"</x:f>
        <x:v>06409000</x:v>
      </x:c>
      <x:c r="B527" s="13" t="n">
        <x:v>42</x:v>
      </x:c>
      <x:c r="C527" s="22" t="b">
        <x:v>0</x:v>
      </x:c>
      <x:c r="D527" s="11" t="n">
        <x:v>0.38837802219923545</x:v>
      </x:c>
      <x:c r="E527" s="11" t="n">
        <x:v>-0.2926070378250909</x:v>
      </x:c>
      <x:c r="F527" s="11" t="n">
        <x:v>0.24488996957113818</x:v>
      </x:c>
      <x:c r="G527" s="11" t="n">
        <x:v>0.6809850600243263</x:v>
      </x:c>
      <x:c r="H527" s="11" t="n">
        <x:v>0.14348805262809727</x:v>
      </x:c>
      <x:c r="I527" s="11" t="n">
        <x:v>0</x:v>
      </x:c>
      <x:c r="J527" s="13" t="n">
        <x:v>20</x:v>
      </x:c>
      <x:c r="K527" s="22" t="b">
        <x:v>0</x:v>
      </x:c>
      <x:c r="L527" s="13" t="n">
        <x:v>102</x:v>
      </x:c>
      <x:c r="M527" s="13" t="n">
        <x:v>33</x:v>
      </x:c>
    </x:row>
    <x:row r="528" ht="22" customHeight="1">
      <x:c r="A528" s="17" t="str">
        <x:f>"06431500"</x:f>
        <x:v>06431500</x:v>
      </x:c>
      <x:c r="B528" s="13" t="n">
        <x:v>42</x:v>
      </x:c>
      <x:c r="C528" s="22" t="b">
        <x:v>1</x:v>
      </x:c>
      <x:c r="D528" s="11" t="n">
        <x:v>0.732423462464663</x:v>
      </x:c>
      <x:c r="E528" s="11" t="n">
        <x:v>0.75933856204489</x:v>
      </x:c>
      <x:c r="F528" s="11" t="n">
        <x:v>-1.5427392993100084</x:v>
      </x:c>
      <x:c r="G528" s="11" t="n">
        <x:v>-0.026915099580226975</x:v>
      </x:c>
      <x:c r="H528" s="11" t="n">
        <x:v>2.2751627617746717</x:v>
      </x:c>
      <x:c r="I528" s="11" t="n">
        <x:v>1</x:v>
      </x:c>
      <x:c r="J528" s="13" t="n">
        <x:v>13</x:v>
      </x:c>
      <x:c r="K528" s="22" t="b">
        <x:v>1</x:v>
      </x:c>
      <x:c r="L528" s="13" t="n">
        <x:v>71</x:v>
      </x:c>
      <x:c r="M528" s="13" t="n">
        <x:v>23</x:v>
      </x:c>
    </x:row>
    <x:row r="529" ht="22" customHeight="1">
      <x:c r="A529" s="17" t="str">
        <x:f>"06431500"</x:f>
        <x:v>06431500</x:v>
      </x:c>
      <x:c r="B529" s="13" t="n">
        <x:v>42</x:v>
      </x:c>
      <x:c r="C529" s="22" t="b">
        <x:v>0</x:v>
      </x:c>
      <x:c r="D529" s="11" t="n">
        <x:v>0.002813829492946618</x:v>
      </x:c>
      <x:c r="E529" s="11" t="n">
        <x:v>-0.02812796982129906</x:v>
      </x:c>
      <x:c r="F529" s="11" t="n">
        <x:v>0.18910554462916795</x:v>
      </x:c>
      <x:c r="G529" s="11" t="n">
        <x:v>0.030941799314245677</x:v>
      </x:c>
      <x:c r="H529" s="11" t="n">
        <x:v>-0.18629171513622134</x:v>
      </x:c>
      <x:c r="I529" s="11" t="n">
        <x:v>0</x:v>
      </x:c>
      <x:c r="J529" s="13" t="n">
        <x:v>12</x:v>
      </x:c>
      <x:c r="K529" s="22" t="b">
        <x:v>0</x:v>
      </x:c>
      <x:c r="L529" s="13" t="n">
        <x:v>83</x:v>
      </x:c>
      <x:c r="M529" s="13" t="n">
        <x:v>30</x:v>
      </x:c>
    </x:row>
    <x:row r="530" ht="22" customHeight="1">
      <x:c r="A530" s="17" t="str">
        <x:f>"06447000"</x:f>
        <x:v>06447000</x:v>
      </x:c>
      <x:c r="B530" s="13" t="n">
        <x:v>42</x:v>
      </x:c>
      <x:c r="C530" s="22" t="b">
        <x:v>1</x:v>
      </x:c>
      <x:c r="D530" s="11" t="n">
        <x:v>0.6975495081521407</x:v>
      </x:c>
      <x:c r="E530" s="11" t="n">
        <x:v>0.725676237680216</x:v>
      </x:c>
      <x:c r="F530" s="11" t="n">
        <x:v>0.4854938733113182</x:v>
      </x:c>
      <x:c r="G530" s="11" t="n">
        <x:v>-0.028126729528075378</x:v>
      </x:c>
      <x:c r="H530" s="11" t="n">
        <x:v>0.21205563484082246</x:v>
      </x:c>
      <x:c r="I530" s="11" t="n">
        <x:v>0.8333333333333334</x:v>
      </x:c>
      <x:c r="J530" s="13" t="n">
        <x:v>18</x:v>
      </x:c>
      <x:c r="K530" s="22" t="b">
        <x:v>1</x:v>
      </x:c>
      <x:c r="L530" s="13" t="n">
        <x:v>101</x:v>
      </x:c>
      <x:c r="M530" s="13" t="n">
        <x:v>33</x:v>
      </x:c>
    </x:row>
    <x:row r="531" ht="22" customHeight="1">
      <x:c r="A531" s="17" t="str">
        <x:f>"06447000"</x:f>
        <x:v>06447000</x:v>
      </x:c>
      <x:c r="B531" s="13" t="n">
        <x:v>42</x:v>
      </x:c>
      <x:c r="C531" s="22" t="b">
        <x:v>0</x:v>
      </x:c>
      <x:c r="D531" s="11" t="n">
        <x:v>0.38446497190014917</x:v>
      </x:c>
      <x:c r="E531" s="11" t="n">
        <x:v>0.37415304658897697</x:v>
      </x:c>
      <x:c r="F531" s="11" t="n">
        <x:v>-0.5927212540305309</x:v>
      </x:c>
      <x:c r="G531" s="11" t="n">
        <x:v>0.010311925311172199</x:v>
      </x:c>
      <x:c r="H531" s="11" t="n">
        <x:v>0.97718622593068</x:v>
      </x:c>
      <x:c r="I531" s="11" t="n">
        <x:v>0</x:v>
      </x:c>
      <x:c r="J531" s="13" t="n">
        <x:v>10</x:v>
      </x:c>
      <x:c r="K531" s="22" t="b">
        <x:v>0</x:v>
      </x:c>
      <x:c r="L531" s="13" t="n">
        <x:v>112</x:v>
      </x:c>
      <x:c r="M531" s="13" t="n">
        <x:v>37</x:v>
      </x:c>
    </x:row>
    <x:row r="532" ht="22" customHeight="1">
      <x:c r="A532" s="17" t="str">
        <x:f>"06447500"</x:f>
        <x:v>06447500</x:v>
      </x:c>
      <x:c r="B532" s="13" t="n">
        <x:v>42</x:v>
      </x:c>
      <x:c r="C532" s="22" t="b">
        <x:v>1</x:v>
      </x:c>
      <x:c r="D532" s="11" t="n">
        <x:v>0.8959443578386285</x:v>
      </x:c>
      <x:c r="E532" s="11" t="n">
        <x:v>0.8905261319194728</x:v>
      </x:c>
      <x:c r="F532" s="11" t="n">
        <x:v>-0.0781070043296126</x:v>
      </x:c>
      <x:c r="G532" s="11" t="n">
        <x:v>0.005418225919155639</x:v>
      </x:c>
      <x:c r="H532" s="11" t="n">
        <x:v>0.9740513621682411</x:v>
      </x:c>
      <x:c r="I532" s="11" t="n">
        <x:v>0.6</x:v>
      </x:c>
      <x:c r="J532" s="13" t="n">
        <x:v>20</x:v>
      </x:c>
      <x:c r="K532" s="22" t="b">
        <x:v>0</x:v>
      </x:c>
      <x:c r="L532" s="13" t="n">
        <x:v>176</x:v>
      </x:c>
      <x:c r="M532" s="13" t="n">
        <x:v>80</x:v>
      </x:c>
    </x:row>
    <x:row r="533" ht="22" customHeight="1">
      <x:c r="A533" s="17" t="str">
        <x:f>"06447500"</x:f>
        <x:v>06447500</x:v>
      </x:c>
      <x:c r="B533" s="13" t="n">
        <x:v>42</x:v>
      </x:c>
      <x:c r="C533" s="22" t="b">
        <x:v>0</x:v>
      </x:c>
      <x:c r="D533" s="11" t="n">
        <x:v>0.4804266888836147</x:v>
      </x:c>
      <x:c r="E533" s="11" t="n">
        <x:v>0.48059052192045015</x:v>
      </x:c>
      <x:c r="F533" s="11" t="n">
        <x:v>-8.243555337831735</x:v>
      </x:c>
      <x:c r="G533" s="11" t="n">
        <x:v>-0.00016383303683542572</x:v>
      </x:c>
      <x:c r="H533" s="11" t="n">
        <x:v>8.72398202671535</x:v>
      </x:c>
      <x:c r="I533" s="11" t="n">
        <x:v>0</x:v>
      </x:c>
      <x:c r="J533" s="13" t="n">
        <x:v>20</x:v>
      </x:c>
      <x:c r="K533" s="22" t="b">
        <x:v>0</x:v>
      </x:c>
      <x:c r="L533" s="13" t="n">
        <x:v>94</x:v>
      </x:c>
      <x:c r="M533" s="13" t="n">
        <x:v>34</x:v>
      </x:c>
    </x:row>
    <x:row r="534" ht="22" customHeight="1">
      <x:c r="A534" s="17" t="str">
        <x:f>"06450500"</x:f>
        <x:v>06450500</x:v>
      </x:c>
      <x:c r="B534" s="13" t="n">
        <x:v>42</x:v>
      </x:c>
      <x:c r="C534" s="22" t="b">
        <x:v>1</x:v>
      </x:c>
      <x:c r="D534" s="11" t="n">
        <x:v>0.595687504358859</x:v>
      </x:c>
      <x:c r="E534" s="11" t="n">
        <x:v>0.604632083509597</x:v>
      </x:c>
      <x:c r="F534" s="11" t="n">
        <x:v>0.4988179688312384</x:v>
      </x:c>
      <x:c r="G534" s="11" t="n">
        <x:v>-0.008944579150737986</x:v>
      </x:c>
      <x:c r="H534" s="11" t="n">
        <x:v>0.09686953552762056</x:v>
      </x:c>
      <x:c r="I534" s="11" t="n">
        <x:v>0.5714285714285714</x:v>
      </x:c>
      <x:c r="J534" s="13" t="n">
        <x:v>14</x:v>
      </x:c>
      <x:c r="K534" s="22" t="b">
        <x:v>0</x:v>
      </x:c>
      <x:c r="L534" s="13" t="n">
        <x:v>72</x:v>
      </x:c>
      <x:c r="M534" s="13" t="n">
        <x:v>24</x:v>
      </x:c>
    </x:row>
    <x:row r="535" ht="22" customHeight="1">
      <x:c r="A535" s="17" t="str">
        <x:f>"06450500"</x:f>
        <x:v>06450500</x:v>
      </x:c>
      <x:c r="B535" s="13" t="n">
        <x:v>42</x:v>
      </x:c>
      <x:c r="C535" s="22" t="b">
        <x:v>0</x:v>
      </x:c>
      <x:c r="D535" s="11" t="n">
        <x:v>0.2689502183392727</x:v>
      </x:c>
      <x:c r="E535" s="11" t="n">
        <x:v>0.23603376625854733</x:v>
      </x:c>
      <x:c r="F535" s="11" t="n">
        <x:v>-0.023069746031976868</x:v>
      </x:c>
      <x:c r="G535" s="11" t="n">
        <x:v>0.032916452080725356</x:v>
      </x:c>
      <x:c r="H535" s="11" t="n">
        <x:v>0.29201996437124955</x:v>
      </x:c>
      <x:c r="I535" s="11" t="n">
        <x:v>0.4444444444444444</x:v>
      </x:c>
      <x:c r="J535" s="13" t="n">
        <x:v>18</x:v>
      </x:c>
      <x:c r="K535" s="22" t="b">
        <x:v>0</x:v>
      </x:c>
      <x:c r="L535" s="13" t="n">
        <x:v>122</x:v>
      </x:c>
      <x:c r="M535" s="13" t="n">
        <x:v>41</x:v>
      </x:c>
    </x:row>
    <x:row r="536" ht="22" customHeight="1">
      <x:c r="A536" s="17" t="str">
        <x:f>"06452000"</x:f>
        <x:v>06452000</x:v>
      </x:c>
      <x:c r="B536" s="13" t="n">
        <x:v>42</x:v>
      </x:c>
      <x:c r="C536" s="22" t="b">
        <x:v>1</x:v>
      </x:c>
      <x:c r="D536" s="11" t="n">
        <x:v>0.7602748099843011</x:v>
      </x:c>
      <x:c r="E536" s="11" t="n">
        <x:v>0.76000676407433</x:v>
      </x:c>
      <x:c r="F536" s="11" t="n">
        <x:v>0.5339775353351148</x:v>
      </x:c>
      <x:c r="G536" s="11" t="n">
        <x:v>0.000268045909971093</x:v>
      </x:c>
      <x:c r="H536" s="11" t="n">
        <x:v>0.22629727464918625</x:v>
      </x:c>
      <x:c r="I536" s="11" t="n">
        <x:v>0.9</x:v>
      </x:c>
      <x:c r="J536" s="13" t="n">
        <x:v>20</x:v>
      </x:c>
      <x:c r="K536" s="22" t="b">
        <x:v>1</x:v>
      </x:c>
      <x:c r="L536" s="13" t="n">
        <x:v>134</x:v>
      </x:c>
      <x:c r="M536" s="13" t="n">
        <x:v>48</x:v>
      </x:c>
    </x:row>
    <x:row r="537" ht="22" customHeight="1">
      <x:c r="A537" s="17" t="str">
        <x:f>"06452000"</x:f>
        <x:v>06452000</x:v>
      </x:c>
      <x:c r="B537" s="13" t="n">
        <x:v>42</x:v>
      </x:c>
      <x:c r="C537" s="22" t="b">
        <x:v>0</x:v>
      </x:c>
      <x:c r="D537" s="11" t="n">
        <x:v>0.3979426775802789</x:v>
      </x:c>
      <x:c r="E537" s="11" t="n">
        <x:v>0.36422383174457207</x:v>
      </x:c>
      <x:c r="F537" s="11" t="n">
        <x:v>-0.20906788504717988</x:v>
      </x:c>
      <x:c r="G537" s="11" t="n">
        <x:v>0.033718845835706834</x:v>
      </x:c>
      <x:c r="H537" s="11" t="n">
        <x:v>0.6070105626274588</x:v>
      </x:c>
      <x:c r="I537" s="11" t="n">
        <x:v>0.4</x:v>
      </x:c>
      <x:c r="J537" s="13" t="n">
        <x:v>20</x:v>
      </x:c>
      <x:c r="K537" s="22" t="b">
        <x:v>0</x:v>
      </x:c>
      <x:c r="L537" s="13" t="n">
        <x:v>125</x:v>
      </x:c>
      <x:c r="M537" s="13" t="n">
        <x:v>43</x:v>
      </x:c>
    </x:row>
    <x:row r="538" ht="22" customHeight="1">
      <x:c r="A538" s="17" t="str">
        <x:f>"06453600"</x:f>
        <x:v>06453600</x:v>
      </x:c>
      <x:c r="B538" s="13" t="n">
        <x:v>42</x:v>
      </x:c>
      <x:c r="C538" s="22" t="b">
        <x:v>1</x:v>
      </x:c>
      <x:c r="D538" s="11" t="n">
        <x:v>0.679616562874787</x:v>
      </x:c>
      <x:c r="E538" s="11" t="n">
        <x:v>0.6811360652296596</x:v>
      </x:c>
      <x:c r="F538" s="11" t="n">
        <x:v>0.6687900550846513</x:v>
      </x:c>
      <x:c r="G538" s="11" t="n">
        <x:v>-0.0015195023548726372</x:v>
      </x:c>
      <x:c r="H538" s="11" t="n">
        <x:v>0.01082650779013572</x:v>
      </x:c>
      <x:c r="I538" s="11" t="n">
        <x:v>1</x:v>
      </x:c>
      <x:c r="J538" s="13" t="n">
        <x:v>20</x:v>
      </x:c>
      <x:c r="K538" s="22" t="b">
        <x:v>0</x:v>
      </x:c>
      <x:c r="L538" s="13" t="n">
        <x:v>106</x:v>
      </x:c>
      <x:c r="M538" s="13" t="n">
        <x:v>34</x:v>
      </x:c>
    </x:row>
    <x:row r="539" ht="22" customHeight="1">
      <x:c r="A539" s="17" t="str">
        <x:f>"06453600"</x:f>
        <x:v>06453600</x:v>
      </x:c>
      <x:c r="B539" s="13" t="n">
        <x:v>42</x:v>
      </x:c>
      <x:c r="C539" s="22" t="b">
        <x:v>0</x:v>
      </x:c>
      <x:c r="D539" s="11" t="n">
        <x:v>0.2979435771421364</x:v>
      </x:c>
      <x:c r="E539" s="11" t="n">
        <x:v>0.28381453378260724</x:v>
      </x:c>
      <x:c r="F539" s="11" t="n">
        <x:v>-0.7321784153548792</x:v>
      </x:c>
      <x:c r="G539" s="11" t="n">
        <x:v>0.014129043359529136</x:v>
      </x:c>
      <x:c r="H539" s="11" t="n">
        <x:v>1.0301219924970155</x:v>
      </x:c>
      <x:c r="I539" s="11" t="n">
        <x:v>0.7647058823529411</x:v>
      </x:c>
      <x:c r="J539" s="13" t="n">
        <x:v>17</x:v>
      </x:c>
      <x:c r="K539" s="22" t="b">
        <x:v>0</x:v>
      </x:c>
      <x:c r="L539" s="13" t="n">
        <x:v>126</x:v>
      </x:c>
      <x:c r="M539" s="13" t="n">
        <x:v>44</x:v>
      </x:c>
    </x:row>
    <x:row r="540" ht="22" customHeight="1">
      <x:c r="A540" s="17" t="str">
        <x:f>"06464500"</x:f>
        <x:v>06464500</x:v>
      </x:c>
      <x:c r="B540" s="13" t="n">
        <x:v>42</x:v>
      </x:c>
      <x:c r="C540" s="22" t="b">
        <x:v>1</x:v>
      </x:c>
      <x:c r="D540" s="11" t="n">
        <x:v>0.9608721029764312</x:v>
      </x:c>
      <x:c r="E540" s="11" t="n">
        <x:v>0.8980468048885994</x:v>
      </x:c>
      <x:c r="F540" s="11" t="n">
        <x:v>0.7408058897358227</x:v>
      </x:c>
      <x:c r="G540" s="11" t="n">
        <x:v>0.06282529808783177</x:v>
      </x:c>
      <x:c r="H540" s="11" t="n">
        <x:v>0.2200662132406085</x:v>
      </x:c>
      <x:c r="I540" s="11" t="n">
        <x:v>1</x:v>
      </x:c>
      <x:c r="J540" s="13" t="n">
        <x:v>20</x:v>
      </x:c>
      <x:c r="K540" s="22" t="b">
        <x:v>0</x:v>
      </x:c>
      <x:c r="L540" s="13" t="n">
        <x:v>129</x:v>
      </x:c>
      <x:c r="M540" s="13" t="n">
        <x:v>45</x:v>
      </x:c>
    </x:row>
    <x:row r="541" ht="22" customHeight="1">
      <x:c r="A541" s="17" t="str">
        <x:f>"06464500"</x:f>
        <x:v>06464500</x:v>
      </x:c>
      <x:c r="B541" s="13" t="n">
        <x:v>42</x:v>
      </x:c>
      <x:c r="C541" s="22" t="b">
        <x:v>0</x:v>
      </x:c>
      <x:c r="D541" s="11" t="n">
        <x:v>0.32307290604739236</x:v>
      </x:c>
      <x:c r="E541" s="11" t="n">
        <x:v>0.3134043456148625</x:v>
      </x:c>
      <x:c r="F541" s="11" t="n">
        <x:v>-1.0587089737629856</x:v>
      </x:c>
      <x:c r="G541" s="11" t="n">
        <x:v>0.009668560432529838</x:v>
      </x:c>
      <x:c r="H541" s="11" t="n">
        <x:v>1.381781879810378</x:v>
      </x:c>
      <x:c r="I541" s="11" t="n">
        <x:v>1</x:v>
      </x:c>
      <x:c r="J541" s="13" t="n">
        <x:v>19</x:v>
      </x:c>
      <x:c r="K541" s="22" t="b">
        <x:v>1</x:v>
      </x:c>
      <x:c r="L541" s="13" t="n">
        <x:v>103</x:v>
      </x:c>
      <x:c r="M541" s="13" t="n">
        <x:v>36</x:v>
      </x:c>
    </x:row>
    <x:row r="542" ht="22" customHeight="1">
      <x:c r="A542" s="17" t="str">
        <x:f>"06468170"</x:f>
        <x:v>06468170</x:v>
      </x:c>
      <x:c r="B542" s="13" t="n">
        <x:v>42</x:v>
      </x:c>
      <x:c r="C542" s="22" t="b">
        <x:v>1</x:v>
      </x:c>
      <x:c r="D542" s="11" t="n">
        <x:v>0.8636842108350766</x:v>
      </x:c>
      <x:c r="E542" s="11" t="n">
        <x:v>0.8224474619606011</x:v>
      </x:c>
      <x:c r="F542" s="11" t="n">
        <x:v>0.7630188657107199</x:v>
      </x:c>
      <x:c r="G542" s="11" t="n">
        <x:v>0.04123674887447548</x:v>
      </x:c>
      <x:c r="H542" s="11" t="n">
        <x:v>0.10066534512435676</x:v>
      </x:c>
      <x:c r="I542" s="11" t="n">
        <x:v>1</x:v>
      </x:c>
      <x:c r="J542" s="13" t="n">
        <x:v>16</x:v>
      </x:c>
      <x:c r="K542" s="22" t="b">
        <x:v>1</x:v>
      </x:c>
      <x:c r="L542" s="13" t="n">
        <x:v>58</x:v>
      </x:c>
      <x:c r="M542" s="13" t="n">
        <x:v>19</x:v>
      </x:c>
    </x:row>
    <x:row r="543" ht="22" customHeight="1">
      <x:c r="A543" s="17" t="str">
        <x:f>"06468170"</x:f>
        <x:v>06468170</x:v>
      </x:c>
      <x:c r="B543" s="13" t="n">
        <x:v>42</x:v>
      </x:c>
      <x:c r="C543" s="22" t="b">
        <x:v>0</x:v>
      </x:c>
      <x:c r="D543" s="11" t="n">
        <x:v>0.23466215012586344</x:v>
      </x:c>
      <x:c r="E543" s="11" t="n">
        <x:v>0.3400740802890634</x:v>
      </x:c>
      <x:c r="F543" s="11" t="n">
        <x:v>-0.6774086476018681</x:v>
      </x:c>
      <x:c r="G543" s="11" t="n">
        <x:v>-0.10541193016319994</x:v>
      </x:c>
      <x:c r="H543" s="11" t="n">
        <x:v>0.9120707977277316</x:v>
      </x:c>
      <x:c r="I543" s="11" t="n">
        <x:v>0.7333333333333333</x:v>
      </x:c>
      <x:c r="J543" s="13" t="n">
        <x:v>15</x:v>
      </x:c>
      <x:c r="K543" s="22" t="b">
        <x:v>0</x:v>
      </x:c>
      <x:c r="L543" s="13" t="n">
        <x:v>131</x:v>
      </x:c>
      <x:c r="M543" s="13" t="n">
        <x:v>46</x:v>
      </x:c>
    </x:row>
    <x:row r="544" ht="22" customHeight="1">
      <x:c r="A544" s="17" t="str">
        <x:f>"06470800"</x:f>
        <x:v>06470800</x:v>
      </x:c>
      <x:c r="B544" s="13" t="n">
        <x:v>42</x:v>
      </x:c>
      <x:c r="C544" s="22" t="b">
        <x:v>1</x:v>
      </x:c>
      <x:c r="D544" s="11" t="n">
        <x:v>0.8628602695848396</x:v>
      </x:c>
      <x:c r="E544" s="11" t="n">
        <x:v>0.8289645658237523</x:v>
      </x:c>
      <x:c r="F544" s="11" t="n">
        <x:v>0.7599875373473001</x:v>
      </x:c>
      <x:c r="G544" s="11" t="n">
        <x:v>0.033895703761087304</x:v>
      </x:c>
      <x:c r="H544" s="11" t="n">
        <x:v>0.10287273223753957</x:v>
      </x:c>
      <x:c r="I544" s="11" t="n">
        <x:v>1</x:v>
      </x:c>
      <x:c r="J544" s="13" t="n">
        <x:v>20</x:v>
      </x:c>
      <x:c r="K544" s="22" t="b">
        <x:v>1</x:v>
      </x:c>
      <x:c r="L544" s="13" t="n">
        <x:v>73</x:v>
      </x:c>
      <x:c r="M544" s="13" t="n">
        <x:v>24</x:v>
      </x:c>
    </x:row>
    <x:row r="545" ht="22" customHeight="1">
      <x:c r="A545" s="17" t="str">
        <x:f>"06470800"</x:f>
        <x:v>06470800</x:v>
      </x:c>
      <x:c r="B545" s="13" t="n">
        <x:v>42</x:v>
      </x:c>
      <x:c r="C545" s="22" t="b">
        <x:v>0</x:v>
      </x:c>
      <x:c r="D545" s="11" t="n">
        <x:v>0.20443776216006004</x:v>
      </x:c>
      <x:c r="E545" s="11" t="n">
        <x:v>0.39900189984250833</x:v>
      </x:c>
      <x:c r="F545" s="11" t="n">
        <x:v>-0.5385577232536347</x:v>
      </x:c>
      <x:c r="G545" s="11" t="n">
        <x:v>-0.1945641376824483</x:v>
      </x:c>
      <x:c r="H545" s="11" t="n">
        <x:v>0.7429954854136948</x:v>
      </x:c>
      <x:c r="I545" s="11" t="n">
        <x:v>0.5555555555555556</x:v>
      </x:c>
      <x:c r="J545" s="13" t="n">
        <x:v>18</x:v>
      </x:c>
      <x:c r="K545" s="22" t="b">
        <x:v>0</x:v>
      </x:c>
      <x:c r="L545" s="13" t="n">
        <x:v>116</x:v>
      </x:c>
      <x:c r="M545" s="13" t="n">
        <x:v>39</x:v>
      </x:c>
    </x:row>
    <x:row r="546" ht="22" customHeight="1">
      <x:c r="A546" s="17" t="str">
        <x:f>"06477500"</x:f>
        <x:v>06477500</x:v>
      </x:c>
      <x:c r="B546" s="13" t="n">
        <x:v>42</x:v>
      </x:c>
      <x:c r="C546" s="22" t="b">
        <x:v>1</x:v>
      </x:c>
      <x:c r="D546" s="11" t="n">
        <x:v>0.8016566260646427</x:v>
      </x:c>
      <x:c r="E546" s="11" t="n">
        <x:v>0.8180713424241808</x:v>
      </x:c>
      <x:c r="F546" s="11" t="n">
        <x:v>0.6002039297582917</x:v>
      </x:c>
      <x:c r="G546" s="11" t="n">
        <x:v>-0.016414716359538062</x:v>
      </x:c>
      <x:c r="H546" s="11" t="n">
        <x:v>0.201452696306351</x:v>
      </x:c>
      <x:c r="I546" s="11"/>
      <x:c r="J546" s="13" t="n">
        <x:v>0</x:v>
      </x:c>
      <x:c r="K546" s="22" t="b">
        <x:v>0</x:v>
      </x:c>
      <x:c r="L546" s="13" t="n">
        <x:v>117</x:v>
      </x:c>
      <x:c r="M546" s="13" t="n">
        <x:v>39</x:v>
      </x:c>
    </x:row>
    <x:row r="547" ht="22" customHeight="1">
      <x:c r="A547" s="17" t="str">
        <x:f>"06477500"</x:f>
        <x:v>06477500</x:v>
      </x:c>
      <x:c r="B547" s="13" t="n">
        <x:v>42</x:v>
      </x:c>
      <x:c r="C547" s="22" t="b">
        <x:v>0</x:v>
      </x:c>
      <x:c r="D547" s="11" t="n">
        <x:v>0.3244746089944992</x:v>
      </x:c>
      <x:c r="E547" s="11" t="n">
        <x:v>0.13791365273190337</x:v>
      </x:c>
      <x:c r="F547" s="11" t="n">
        <x:v>0.11874840251440899</x:v>
      </x:c>
      <x:c r="G547" s="11" t="n">
        <x:v>0.18656095626259583</x:v>
      </x:c>
      <x:c r="H547" s="11" t="n">
        <x:v>0.2057262064800902</x:v>
      </x:c>
      <x:c r="I547" s="11" t="n">
        <x:v>1</x:v>
      </x:c>
      <x:c r="J547" s="13" t="n">
        <x:v>19</x:v>
      </x:c>
      <x:c r="K547" s="22" t="b">
        <x:v>0</x:v>
      </x:c>
      <x:c r="L547" s="13" t="n">
        <x:v>135</x:v>
      </x:c>
      <x:c r="M547" s="13" t="n">
        <x:v>49</x:v>
      </x:c>
    </x:row>
    <x:row r="548" ht="22" customHeight="1">
      <x:c r="A548" s="17" t="str">
        <x:f>"06479438"</x:f>
        <x:v>06479438</x:v>
      </x:c>
      <x:c r="B548" s="13" t="n">
        <x:v>42</x:v>
      </x:c>
      <x:c r="C548" s="22" t="b">
        <x:v>1</x:v>
      </x:c>
      <x:c r="D548" s="11" t="n">
        <x:v>0.8738483449073345</x:v>
      </x:c>
      <x:c r="E548" s="11" t="n">
        <x:v>0.8776918553137267</x:v>
      </x:c>
      <x:c r="F548" s="11" t="n">
        <x:v>0.45126250024427705</x:v>
      </x:c>
      <x:c r="G548" s="11" t="n">
        <x:v>-0.003843510406392192</x:v>
      </x:c>
      <x:c r="H548" s="11" t="n">
        <x:v>0.4225858446630575</x:v>
      </x:c>
      <x:c r="I548" s="11" t="n">
        <x:v>0.85</x:v>
      </x:c>
      <x:c r="J548" s="13" t="n">
        <x:v>20</x:v>
      </x:c>
      <x:c r="K548" s="22" t="b">
        <x:v>1</x:v>
      </x:c>
      <x:c r="L548" s="13" t="n">
        <x:v>118</x:v>
      </x:c>
      <x:c r="M548" s="13" t="n">
        <x:v>40</x:v>
      </x:c>
    </x:row>
    <x:row r="549" ht="22" customHeight="1">
      <x:c r="A549" s="17" t="str">
        <x:f>"06479438"</x:f>
        <x:v>06479438</x:v>
      </x:c>
      <x:c r="B549" s="13" t="n">
        <x:v>42</x:v>
      </x:c>
      <x:c r="C549" s="22" t="b">
        <x:v>0</x:v>
      </x:c>
      <x:c r="D549" s="11" t="n">
        <x:v>0.345848796531971</x:v>
      </x:c>
      <x:c r="E549" s="11" t="n">
        <x:v>0.3233588029208594</x:v>
      </x:c>
      <x:c r="F549" s="11" t="n">
        <x:v>-0.7135664585342179</x:v>
      </x:c>
      <x:c r="G549" s="11" t="n">
        <x:v>0.02248999361111159</x:v>
      </x:c>
      <x:c r="H549" s="11" t="n">
        <x:v>1.0594152550661888</x:v>
      </x:c>
      <x:c r="I549" s="11" t="n">
        <x:v>0.4</x:v>
      </x:c>
      <x:c r="J549" s="13" t="n">
        <x:v>20</x:v>
      </x:c>
      <x:c r="K549" s="22" t="b">
        <x:v>0</x:v>
      </x:c>
      <x:c r="L549" s="13" t="n">
        <x:v>123</x:v>
      </x:c>
      <x:c r="M549" s="13" t="n">
        <x:v>42</x:v>
      </x:c>
    </x:row>
    <x:row r="550" ht="22" customHeight="1">
      <x:c r="A550" s="17" t="str">
        <x:f>"06601000"</x:f>
        <x:v>06601000</x:v>
      </x:c>
      <x:c r="B550" s="13" t="n">
        <x:v>42</x:v>
      </x:c>
      <x:c r="C550" s="22" t="b">
        <x:v>1</x:v>
      </x:c>
      <x:c r="D550" s="11" t="n">
        <x:v>0.1793907839505341</x:v>
      </x:c>
      <x:c r="E550" s="11" t="n">
        <x:v>0.1531587526800191</x:v>
      </x:c>
      <x:c r="F550" s="11" t="n">
        <x:v>0.17805228522201988</x:v>
      </x:c>
      <x:c r="G550" s="11" t="n">
        <x:v>0.02623203127051499</x:v>
      </x:c>
      <x:c r="H550" s="11" t="n">
        <x:v>0.0013384987285142147</x:v>
      </x:c>
      <x:c r="I550" s="11" t="n">
        <x:v>1</x:v>
      </x:c>
      <x:c r="J550" s="13" t="n">
        <x:v>10</x:v>
      </x:c>
      <x:c r="K550" s="22" t="b">
        <x:v>0</x:v>
      </x:c>
      <x:c r="L550" s="13" t="n">
        <x:v>58</x:v>
      </x:c>
      <x:c r="M550" s="13" t="n">
        <x:v>19</x:v>
      </x:c>
    </x:row>
    <x:row r="551" ht="22" customHeight="1">
      <x:c r="A551" s="17" t="str">
        <x:f>"06601000"</x:f>
        <x:v>06601000</x:v>
      </x:c>
      <x:c r="B551" s="13" t="n">
        <x:v>42</x:v>
      </x:c>
      <x:c r="C551" s="22" t="b">
        <x:v>0</x:v>
      </x:c>
      <x:c r="D551" s="11" t="n">
        <x:v>0.08623075048067097</x:v>
      </x:c>
      <x:c r="E551" s="11" t="n">
        <x:v>0.0900182882245496</x:v>
      </x:c>
      <x:c r="F551" s="11" t="n">
        <x:v>-0.21210869808359156</x:v>
      </x:c>
      <x:c r="G551" s="11" t="n">
        <x:v>-0.003787537743878633</x:v>
      </x:c>
      <x:c r="H551" s="11" t="n">
        <x:v>0.29833944856426253</x:v>
      </x:c>
      <x:c r="I551" s="11" t="n">
        <x:v>0.5263157894736842</x:v>
      </x:c>
      <x:c r="J551" s="13" t="n">
        <x:v>19</x:v>
      </x:c>
      <x:c r="K551" s="22" t="b">
        <x:v>0</x:v>
      </x:c>
      <x:c r="L551" s="13" t="n">
        <x:v>98</x:v>
      </x:c>
      <x:c r="M551" s="13" t="n">
        <x:v>31</x:v>
      </x:c>
    </x:row>
    <x:row r="552" ht="22" customHeight="1">
      <x:c r="A552" s="17" t="str">
        <x:f>"06614800"</x:f>
        <x:v>06614800</x:v>
      </x:c>
      <x:c r="B552" s="13" t="n">
        <x:v>42</x:v>
      </x:c>
      <x:c r="C552" s="22" t="b">
        <x:v>1</x:v>
      </x:c>
      <x:c r="D552" s="11" t="n">
        <x:v>0.9590829113531674</x:v>
      </x:c>
      <x:c r="E552" s="11" t="n">
        <x:v>0.9535841670640908</x:v>
      </x:c>
      <x:c r="F552" s="11" t="n">
        <x:v>0.832153880388582</x:v>
      </x:c>
      <x:c r="G552" s="11" t="n">
        <x:v>0.005498744289076596</x:v>
      </x:c>
      <x:c r="H552" s="11" t="n">
        <x:v>0.1269290309645854</x:v>
      </x:c>
      <x:c r="I552" s="11"/>
      <x:c r="J552" s="13" t="n">
        <x:v>0</x:v>
      </x:c>
      <x:c r="K552" s="22" t="b">
        <x:v>0</x:v>
      </x:c>
      <x:c r="L552" s="13" t="n">
        <x:v>60</x:v>
      </x:c>
      <x:c r="M552" s="13" t="n">
        <x:v>20</x:v>
      </x:c>
    </x:row>
    <x:row r="553" ht="22" customHeight="1">
      <x:c r="A553" s="17" t="str">
        <x:f>"06614800"</x:f>
        <x:v>06614800</x:v>
      </x:c>
      <x:c r="B553" s="13" t="n">
        <x:v>42</x:v>
      </x:c>
      <x:c r="C553" s="22" t="b">
        <x:v>0</x:v>
      </x:c>
      <x:c r="D553" s="11" t="n">
        <x:v>0.5791333690464715</x:v>
      </x:c>
      <x:c r="E553" s="11" t="n">
        <x:v>0.6113579468912713</x:v>
      </x:c>
      <x:c r="F553" s="11" t="n">
        <x:v>0.19824824623531012</x:v>
      </x:c>
      <x:c r="G553" s="11" t="n">
        <x:v>-0.03222457784479982</x:v>
      </x:c>
      <x:c r="H553" s="11" t="n">
        <x:v>0.3808851228111614</x:v>
      </x:c>
      <x:c r="I553" s="11" t="n">
        <x:v>0.5</x:v>
      </x:c>
      <x:c r="J553" s="13" t="n">
        <x:v>20</x:v>
      </x:c>
      <x:c r="K553" s="22" t="b">
        <x:v>0</x:v>
      </x:c>
      <x:c r="L553" s="13" t="n">
        <x:v>155</x:v>
      </x:c>
      <x:c r="M553" s="13" t="n">
        <x:v>62</x:v>
      </x:c>
    </x:row>
    <x:row r="554" ht="22" customHeight="1">
      <x:c r="A554" s="17" t="str">
        <x:f>"06622700"</x:f>
        <x:v>06622700</x:v>
      </x:c>
      <x:c r="B554" s="13" t="n">
        <x:v>42</x:v>
      </x:c>
      <x:c r="C554" s="22" t="b">
        <x:v>1</x:v>
      </x:c>
      <x:c r="D554" s="11" t="n">
        <x:v>0.972856985330961</x:v>
      </x:c>
      <x:c r="E554" s="11" t="n">
        <x:v>0.9653201088907267</x:v>
      </x:c>
      <x:c r="F554" s="11" t="n">
        <x:v>0.8915338987951015</x:v>
      </x:c>
      <x:c r="G554" s="11" t="n">
        <x:v>0.007536876440234264</x:v>
      </x:c>
      <x:c r="H554" s="11" t="n">
        <x:v>0.08132308653585951</x:v>
      </x:c>
      <x:c r="I554" s="11"/>
      <x:c r="J554" s="13" t="n">
        <x:v>0</x:v>
      </x:c>
      <x:c r="K554" s="22" t="b">
        <x:v>0</x:v>
      </x:c>
      <x:c r="L554" s="13" t="n">
        <x:v>60</x:v>
      </x:c>
      <x:c r="M554" s="13" t="n">
        <x:v>20</x:v>
      </x:c>
    </x:row>
    <x:row r="555" ht="22" customHeight="1">
      <x:c r="A555" s="17" t="str">
        <x:f>"06622700"</x:f>
        <x:v>06622700</x:v>
      </x:c>
      <x:c r="B555" s="13" t="n">
        <x:v>42</x:v>
      </x:c>
      <x:c r="C555" s="22" t="b">
        <x:v>0</x:v>
      </x:c>
      <x:c r="D555" s="11" t="n">
        <x:v>0.6302230581494577</x:v>
      </x:c>
      <x:c r="E555" s="11" t="n">
        <x:v>0.658295624217093</x:v>
      </x:c>
      <x:c r="F555" s="11" t="n">
        <x:v>0.565333409388801</x:v>
      </x:c>
      <x:c r="G555" s="11" t="n">
        <x:v>-0.028072566067635307</x:v>
      </x:c>
      <x:c r="H555" s="11" t="n">
        <x:v>0.06488964876065673</x:v>
      </x:c>
      <x:c r="I555" s="11" t="n">
        <x:v>0.45</x:v>
      </x:c>
      <x:c r="J555" s="13" t="n">
        <x:v>20</x:v>
      </x:c>
      <x:c r="K555" s="22" t="b">
        <x:v>0</x:v>
      </x:c>
      <x:c r="L555" s="13" t="n">
        <x:v>135</x:v>
      </x:c>
      <x:c r="M555" s="13" t="n">
        <x:v>51</x:v>
      </x:c>
    </x:row>
    <x:row r="556" ht="22" customHeight="1">
      <x:c r="A556" s="17" t="str">
        <x:f>"06623800"</x:f>
        <x:v>06623800</x:v>
      </x:c>
      <x:c r="B556" s="13" t="n">
        <x:v>42</x:v>
      </x:c>
      <x:c r="C556" s="22" t="b">
        <x:v>1</x:v>
      </x:c>
      <x:c r="D556" s="11" t="n">
        <x:v>0.9736183599337622</x:v>
      </x:c>
      <x:c r="E556" s="11" t="n">
        <x:v>0.9591323858885645</x:v>
      </x:c>
      <x:c r="F556" s="11" t="n">
        <x:v>0.9443774732452328</x:v>
      </x:c>
      <x:c r="G556" s="11" t="n">
        <x:v>0.014485974045197691</x:v>
      </x:c>
      <x:c r="H556" s="11" t="n">
        <x:v>0.02924088668852942</x:v>
      </x:c>
      <x:c r="I556" s="11"/>
      <x:c r="J556" s="13" t="n">
        <x:v>0</x:v>
      </x:c>
      <x:c r="K556" s="22" t="b">
        <x:v>0</x:v>
      </x:c>
      <x:c r="L556" s="13" t="n">
        <x:v>36</x:v>
      </x:c>
      <x:c r="M556" s="13" t="n">
        <x:v>14</x:v>
      </x:c>
    </x:row>
    <x:row r="557" ht="22" customHeight="1">
      <x:c r="A557" s="17" t="str">
        <x:f>"06623800"</x:f>
        <x:v>06623800</x:v>
      </x:c>
      <x:c r="B557" s="13" t="n">
        <x:v>42</x:v>
      </x:c>
      <x:c r="C557" s="22" t="b">
        <x:v>0</x:v>
      </x:c>
      <x:c r="D557" s="11" t="n">
        <x:v>0.7644400959186455</x:v>
      </x:c>
      <x:c r="E557" s="11" t="n">
        <x:v>0.7979671124212424</x:v>
      </x:c>
      <x:c r="F557" s="11" t="n">
        <x:v>0.37762266490048146</x:v>
      </x:c>
      <x:c r="G557" s="11" t="n">
        <x:v>-0.03352701650259693</x:v>
      </x:c>
      <x:c r="H557" s="11" t="n">
        <x:v>0.386817431018164</x:v>
      </x:c>
      <x:c r="I557" s="11" t="n">
        <x:v>0.8823529411764706</x:v>
      </x:c>
      <x:c r="J557" s="13" t="n">
        <x:v>17</x:v>
      </x:c>
      <x:c r="K557" s="22" t="b">
        <x:v>1</x:v>
      </x:c>
      <x:c r="L557" s="13" t="n">
        <x:v>105</x:v>
      </x:c>
      <x:c r="M557" s="13" t="n">
        <x:v>34</x:v>
      </x:c>
    </x:row>
    <x:row r="558" ht="22" customHeight="1">
      <x:c r="A558" s="17" t="str">
        <x:f>"06632400"</x:f>
        <x:v>06632400</x:v>
      </x:c>
      <x:c r="B558" s="13" t="n">
        <x:v>42</x:v>
      </x:c>
      <x:c r="C558" s="22" t="b">
        <x:v>1</x:v>
      </x:c>
      <x:c r="D558" s="11" t="n">
        <x:v>0.9735320609582279</x:v>
      </x:c>
      <x:c r="E558" s="11" t="n">
        <x:v>0.9685056964407934</x:v>
      </x:c>
      <x:c r="F558" s="11" t="n">
        <x:v>0.9104710368797713</x:v>
      </x:c>
      <x:c r="G558" s="11" t="n">
        <x:v>0.005026364517434434</x:v>
      </x:c>
      <x:c r="H558" s="11" t="n">
        <x:v>0.0630610240784566</x:v>
      </x:c>
      <x:c r="I558" s="11" t="n">
        <x:v>1</x:v>
      </x:c>
      <x:c r="J558" s="13" t="n">
        <x:v>12</x:v>
      </x:c>
      <x:c r="K558" s="22" t="b">
        <x:v>1</x:v>
      </x:c>
      <x:c r="L558" s="13" t="n">
        <x:v>48</x:v>
      </x:c>
      <x:c r="M558" s="13" t="n">
        <x:v>17</x:v>
      </x:c>
    </x:row>
    <x:row r="559" ht="22" customHeight="1">
      <x:c r="A559" s="17" t="str">
        <x:f>"06632400"</x:f>
        <x:v>06632400</x:v>
      </x:c>
      <x:c r="B559" s="13" t="n">
        <x:v>42</x:v>
      </x:c>
      <x:c r="C559" s="22" t="b">
        <x:v>0</x:v>
      </x:c>
      <x:c r="D559" s="11" t="n">
        <x:v>0.7535888868210567</x:v>
      </x:c>
      <x:c r="E559" s="11" t="n">
        <x:v>0.6861386355207739</x:v>
      </x:c>
      <x:c r="F559" s="11" t="n">
        <x:v>0.06035402837123516</x:v>
      </x:c>
      <x:c r="G559" s="11" t="n">
        <x:v>0.06745025130028282</x:v>
      </x:c>
      <x:c r="H559" s="11" t="n">
        <x:v>0.6932348584498216</x:v>
      </x:c>
      <x:c r="I559" s="11" t="n">
        <x:v>0.55</x:v>
      </x:c>
      <x:c r="J559" s="13" t="n">
        <x:v>20</x:v>
      </x:c>
      <x:c r="K559" s="22" t="b">
        <x:v>0</x:v>
      </x:c>
      <x:c r="L559" s="13" t="n">
        <x:v>156</x:v>
      </x:c>
      <x:c r="M559" s="13" t="n">
        <x:v>63</x:v>
      </x:c>
    </x:row>
    <x:row r="560" ht="22" customHeight="1">
      <x:c r="A560" s="17" t="str">
        <x:f>"06746095"</x:f>
        <x:v>06746095</x:v>
      </x:c>
      <x:c r="B560" s="13" t="n">
        <x:v>42</x:v>
      </x:c>
      <x:c r="C560" s="22" t="b">
        <x:v>1</x:v>
      </x:c>
      <x:c r="D560" s="11" t="n">
        <x:v>0.9861871063163103</x:v>
      </x:c>
      <x:c r="E560" s="11" t="n">
        <x:v>0.9772753628981424</x:v>
      </x:c>
      <x:c r="F560" s="11" t="n">
        <x:v>0.8704544359850906</x:v>
      </x:c>
      <x:c r="G560" s="11" t="n">
        <x:v>0.008911743418167917</x:v>
      </x:c>
      <x:c r="H560" s="11" t="n">
        <x:v>0.1157326703312197</x:v>
      </x:c>
      <x:c r="I560" s="11" t="n">
        <x:v>1</x:v>
      </x:c>
      <x:c r="J560" s="13" t="n">
        <x:v>12</x:v>
      </x:c>
      <x:c r="K560" s="22" t="b">
        <x:v>1</x:v>
      </x:c>
      <x:c r="L560" s="13" t="n">
        <x:v>57</x:v>
      </x:c>
      <x:c r="M560" s="13" t="n">
        <x:v>19</x:v>
      </x:c>
    </x:row>
    <x:row r="561" ht="22" customHeight="1">
      <x:c r="A561" s="17" t="str">
        <x:f>"06746095"</x:f>
        <x:v>06746095</x:v>
      </x:c>
      <x:c r="B561" s="13" t="n">
        <x:v>42</x:v>
      </x:c>
      <x:c r="C561" s="22" t="b">
        <x:v>0</x:v>
      </x:c>
      <x:c r="D561" s="11" t="n">
        <x:v>0.6144770925406329</x:v>
      </x:c>
      <x:c r="E561" s="11" t="n">
        <x:v>0.7032830691624683</x:v>
      </x:c>
      <x:c r="F561" s="11" t="n">
        <x:v>-0.07561787797012731</x:v>
      </x:c>
      <x:c r="G561" s="11" t="n">
        <x:v>-0.08880597662183543</x:v>
      </x:c>
      <x:c r="H561" s="11" t="n">
        <x:v>0.6900949705107602</x:v>
      </x:c>
      <x:c r="I561" s="11" t="n">
        <x:v>0.7894736842105263</x:v>
      </x:c>
      <x:c r="J561" s="13" t="n">
        <x:v>19</x:v>
      </x:c>
      <x:c r="K561" s="22" t="b">
        <x:v>0</x:v>
      </x:c>
      <x:c r="L561" s="13" t="n">
        <x:v>109</x:v>
      </x:c>
      <x:c r="M561" s="13" t="n">
        <x:v>36</x:v>
      </x:c>
    </x:row>
    <x:row r="562" ht="22" customHeight="1">
      <x:c r="A562" s="17" t="str">
        <x:f>"06784000"</x:f>
        <x:v>06784000</x:v>
      </x:c>
      <x:c r="B562" s="13" t="n">
        <x:v>42</x:v>
      </x:c>
      <x:c r="C562" s="22" t="b">
        <x:v>1</x:v>
      </x:c>
      <x:c r="D562" s="11" t="n">
        <x:v>0.7856140747968955</x:v>
      </x:c>
      <x:c r="E562" s="11" t="n">
        <x:v>0.7781453202366317</x:v>
      </x:c>
      <x:c r="F562" s="11" t="n">
        <x:v>-5.688713158420527</x:v>
      </x:c>
      <x:c r="G562" s="11" t="n">
        <x:v>0.007468754560263746</x:v>
      </x:c>
      <x:c r="H562" s="11" t="n">
        <x:v>6.474327233217423</x:v>
      </x:c>
      <x:c r="I562" s="11" t="n">
        <x:v>1</x:v>
      </x:c>
      <x:c r="J562" s="13" t="n">
        <x:v>14</x:v>
      </x:c>
      <x:c r="K562" s="22" t="b">
        <x:v>1</x:v>
      </x:c>
      <x:c r="L562" s="13" t="n">
        <x:v>89</x:v>
      </x:c>
      <x:c r="M562" s="13" t="n">
        <x:v>28</x:v>
      </x:c>
    </x:row>
    <x:row r="563" ht="22" customHeight="1">
      <x:c r="A563" s="17" t="str">
        <x:f>"06784000"</x:f>
        <x:v>06784000</x:v>
      </x:c>
      <x:c r="B563" s="13" t="n">
        <x:v>42</x:v>
      </x:c>
      <x:c r="C563" s="22" t="b">
        <x:v>0</x:v>
      </x:c>
      <x:c r="D563" s="11" t="n">
        <x:v>0.3947259808955702</x:v>
      </x:c>
      <x:c r="E563" s="11" t="n">
        <x:v>0.4046356166354589</x:v>
      </x:c>
      <x:c r="F563" s="11" t="n">
        <x:v>-4.190107755931615</x:v>
      </x:c>
      <x:c r="G563" s="11" t="n">
        <x:v>-0.009909635739888678</x:v>
      </x:c>
      <x:c r="H563" s="11" t="n">
        <x:v>4.584833736827186</x:v>
      </x:c>
      <x:c r="I563" s="11"/>
      <x:c r="J563" s="13" t="n">
        <x:v>0</x:v>
      </x:c>
      <x:c r="K563" s="22" t="b">
        <x:v>0</x:v>
      </x:c>
      <x:c r="L563" s="13" t="n">
        <x:v>87</x:v>
      </x:c>
      <x:c r="M563" s="13" t="n">
        <x:v>28</x:v>
      </x:c>
    </x:row>
    <x:row r="564" ht="22" customHeight="1">
      <x:c r="A564" s="17" t="str">
        <x:f>"06803510"</x:f>
        <x:v>06803510</x:v>
      </x:c>
      <x:c r="B564" s="13" t="n">
        <x:v>42</x:v>
      </x:c>
      <x:c r="C564" s="22" t="b">
        <x:v>1</x:v>
      </x:c>
      <x:c r="D564" s="11" t="n">
        <x:v>0.0755525038078727</x:v>
      </x:c>
      <x:c r="E564" s="11" t="n">
        <x:v>0.0656521742210937</x:v>
      </x:c>
      <x:c r="F564" s="11" t="n">
        <x:v>-0.20161841507304223</x:v>
      </x:c>
      <x:c r="G564" s="11" t="n">
        <x:v>0.009900329586779</x:v>
      </x:c>
      <x:c r="H564" s="11" t="n">
        <x:v>0.27717091888091494</x:v>
      </x:c>
      <x:c r="I564" s="11" t="n">
        <x:v>1</x:v>
      </x:c>
      <x:c r="J564" s="13" t="n">
        <x:v>14</x:v>
      </x:c>
      <x:c r="K564" s="22" t="b">
        <x:v>1</x:v>
      </x:c>
      <x:c r="L564" s="13" t="n">
        <x:v>93</x:v>
      </x:c>
      <x:c r="M564" s="13" t="n">
        <x:v>30</x:v>
      </x:c>
    </x:row>
    <x:row r="565" ht="22" customHeight="1">
      <x:c r="A565" s="17" t="str">
        <x:f>"06803510"</x:f>
        <x:v>06803510</x:v>
      </x:c>
      <x:c r="B565" s="13" t="n">
        <x:v>42</x:v>
      </x:c>
      <x:c r="C565" s="22" t="b">
        <x:v>0</x:v>
      </x:c>
      <x:c r="D565" s="11" t="n">
        <x:v>0.045218977585928744</x:v>
      </x:c>
      <x:c r="E565" s="11" t="n">
        <x:v>0.03931928347388547</x:v>
      </x:c>
      <x:c r="F565" s="11" t="n">
        <x:v>-0.10090807832285886</x:v>
      </x:c>
      <x:c r="G565" s="11" t="n">
        <x:v>0.005899694112043274</x:v>
      </x:c>
      <x:c r="H565" s="11" t="n">
        <x:v>0.1461270559087876</x:v>
      </x:c>
      <x:c r="I565" s="11"/>
      <x:c r="J565" s="13" t="n">
        <x:v>0</x:v>
      </x:c>
      <x:c r="K565" s="22" t="b">
        <x:v>0</x:v>
      </x:c>
      <x:c r="L565" s="13" t="n">
        <x:v>34</x:v>
      </x:c>
      <x:c r="M565" s="13" t="n">
        <x:v>13</x:v>
      </x:c>
    </x:row>
    <x:row r="566" ht="22" customHeight="1">
      <x:c r="A566" s="17" t="str">
        <x:f>"06803530"</x:f>
        <x:v>06803530</x:v>
      </x:c>
      <x:c r="B566" s="13" t="n">
        <x:v>42</x:v>
      </x:c>
      <x:c r="C566" s="22" t="b">
        <x:v>1</x:v>
      </x:c>
      <x:c r="D566" s="11" t="n">
        <x:v>0.1864975321366652</x:v>
      </x:c>
      <x:c r="E566" s="11" t="n">
        <x:v>0.15733371505400529</x:v>
      </x:c>
      <x:c r="F566" s="11" t="n">
        <x:v>0.12440753882814248</x:v>
      </x:c>
      <x:c r="G566" s="11" t="n">
        <x:v>0.029163817082659915</x:v>
      </x:c>
      <x:c r="H566" s="11" t="n">
        <x:v>0.06208999330852272</x:v>
      </x:c>
      <x:c r="I566" s="11"/>
      <x:c r="J566" s="13" t="n">
        <x:v>0</x:v>
      </x:c>
      <x:c r="K566" s="22" t="b">
        <x:v>0</x:v>
      </x:c>
      <x:c r="L566" s="13" t="n">
        <x:v>60</x:v>
      </x:c>
      <x:c r="M566" s="13" t="n">
        <x:v>20</x:v>
      </x:c>
    </x:row>
    <x:row r="567" ht="22" customHeight="1">
      <x:c r="A567" s="17" t="str">
        <x:f>"06803530"</x:f>
        <x:v>06803530</x:v>
      </x:c>
      <x:c r="B567" s="13" t="n">
        <x:v>42</x:v>
      </x:c>
      <x:c r="C567" s="22" t="b">
        <x:v>0</x:v>
      </x:c>
      <x:c r="D567" s="11" t="n">
        <x:v>0.06132554798706058</x:v>
      </x:c>
      <x:c r="E567" s="11" t="n">
        <x:v>0.05989501840012823</x:v>
      </x:c>
      <x:c r="F567" s="11" t="n">
        <x:v>-0.1925043351647675</x:v>
      </x:c>
      <x:c r="G567" s="11" t="n">
        <x:v>0.0014305295869323498</x:v>
      </x:c>
      <x:c r="H567" s="11" t="n">
        <x:v>0.2538298831518281</x:v>
      </x:c>
      <x:c r="I567" s="11"/>
      <x:c r="J567" s="13" t="n">
        <x:v>0</x:v>
      </x:c>
      <x:c r="K567" s="22" t="b">
        <x:v>0</x:v>
      </x:c>
      <x:c r="L567" s="13" t="n">
        <x:v>62</x:v>
      </x:c>
      <x:c r="M567" s="13" t="n">
        <x:v>21</x:v>
      </x:c>
    </x:row>
    <x:row r="568" ht="22" customHeight="1">
      <x:c r="A568" s="17" t="str">
        <x:f>"06814000"</x:f>
        <x:v>06814000</x:v>
      </x:c>
      <x:c r="B568" s="13" t="n">
        <x:v>42</x:v>
      </x:c>
      <x:c r="C568" s="22" t="b">
        <x:v>1</x:v>
      </x:c>
      <x:c r="D568" s="11" t="n">
        <x:v>0.2689002721154653</x:v>
      </x:c>
      <x:c r="E568" s="11" t="n">
        <x:v>0.24906016590223223</x:v>
      </x:c>
      <x:c r="F568" s="11" t="n">
        <x:v>0.19660519007321986</x:v>
      </x:c>
      <x:c r="G568" s="11" t="n">
        <x:v>0.019840106213233066</x:v>
      </x:c>
      <x:c r="H568" s="11" t="n">
        <x:v>0.07229508204224544</x:v>
      </x:c>
      <x:c r="I568" s="11" t="n">
        <x:v>1</x:v>
      </x:c>
      <x:c r="J568" s="13" t="n">
        <x:v>14</x:v>
      </x:c>
      <x:c r="K568" s="22" t="b">
        <x:v>1</x:v>
      </x:c>
      <x:c r="L568" s="13" t="n">
        <x:v>100</x:v>
      </x:c>
      <x:c r="M568" s="13" t="n">
        <x:v>33</x:v>
      </x:c>
    </x:row>
    <x:row r="569" ht="22" customHeight="1">
      <x:c r="A569" s="17" t="str">
        <x:f>"06814000"</x:f>
        <x:v>06814000</x:v>
      </x:c>
      <x:c r="B569" s="13" t="n">
        <x:v>42</x:v>
      </x:c>
      <x:c r="C569" s="22" t="b">
        <x:v>0</x:v>
      </x:c>
      <x:c r="D569" s="11" t="n">
        <x:v>0.11625156316733509</x:v>
      </x:c>
      <x:c r="E569" s="11" t="n">
        <x:v>0.08566559299366938</x:v>
      </x:c>
      <x:c r="F569" s="11" t="n">
        <x:v>-0.4522477853173159</x:v>
      </x:c>
      <x:c r="G569" s="11" t="n">
        <x:v>0.03058597017366571</x:v>
      </x:c>
      <x:c r="H569" s="11" t="n">
        <x:v>0.568499348484651</x:v>
      </x:c>
      <x:c r="I569" s="11"/>
      <x:c r="J569" s="13" t="n">
        <x:v>0</x:v>
      </x:c>
      <x:c r="K569" s="22" t="b">
        <x:v>0</x:v>
      </x:c>
      <x:c r="L569" s="13" t="n">
        <x:v>70</x:v>
      </x:c>
      <x:c r="M569" s="13" t="n">
        <x:v>23</x:v>
      </x:c>
    </x:row>
    <x:row r="570" ht="22" customHeight="1">
      <x:c r="A570" s="17" t="str">
        <x:f>"06847900"</x:f>
        <x:v>06847900</x:v>
      </x:c>
      <x:c r="B570" s="13" t="n">
        <x:v>42</x:v>
      </x:c>
      <x:c r="C570" s="22" t="b">
        <x:v>1</x:v>
      </x:c>
      <x:c r="D570" s="11" t="n">
        <x:v>0.21437967465310626</x:v>
      </x:c>
      <x:c r="E570" s="11" t="n">
        <x:v>0.21088932000564364</x:v>
      </x:c>
      <x:c r="F570" s="11" t="n">
        <x:v>-0.012081841724995268</x:v>
      </x:c>
      <x:c r="G570" s="11" t="n">
        <x:v>0.0034903546474626124</x:v>
      </x:c>
      <x:c r="H570" s="11" t="n">
        <x:v>0.22646151637810152</x:v>
      </x:c>
      <x:c r="I570" s="11" t="n">
        <x:v>1</x:v>
      </x:c>
      <x:c r="J570" s="13" t="n">
        <x:v>15</x:v>
      </x:c>
      <x:c r="K570" s="22" t="b">
        <x:v>1</x:v>
      </x:c>
      <x:c r="L570" s="13" t="n">
        <x:v>68</x:v>
      </x:c>
      <x:c r="M570" s="13" t="n">
        <x:v>24</x:v>
      </x:c>
    </x:row>
    <x:row r="571" ht="22" customHeight="1">
      <x:c r="A571" s="17" t="str">
        <x:f>"06847900"</x:f>
        <x:v>06847900</x:v>
      </x:c>
      <x:c r="B571" s="13" t="n">
        <x:v>42</x:v>
      </x:c>
      <x:c r="C571" s="22" t="b">
        <x:v>0</x:v>
      </x:c>
      <x:c r="D571" s="11" t="n">
        <x:v>0.03413321955483262</x:v>
      </x:c>
      <x:c r="E571" s="11" t="n">
        <x:v>0.018065920802835422</x:v>
      </x:c>
      <x:c r="F571" s="11" t="n">
        <x:v>-19.862171166594155</x:v>
      </x:c>
      <x:c r="G571" s="11" t="n">
        <x:v>0.016067298751997194</x:v>
      </x:c>
      <x:c r="H571" s="11" t="n">
        <x:v>19.896304386148987</x:v>
      </x:c>
      <x:c r="I571" s="11" t="n">
        <x:v>1</x:v>
      </x:c>
      <x:c r="J571" s="13" t="n">
        <x:v>7</x:v>
      </x:c>
      <x:c r="K571" s="22" t="b">
        <x:v>1</x:v>
      </x:c>
      <x:c r="L571" s="13" t="n">
        <x:v>60</x:v>
      </x:c>
      <x:c r="M571" s="13" t="n">
        <x:v>20</x:v>
      </x:c>
    </x:row>
    <x:row r="572" ht="22" customHeight="1">
      <x:c r="A572" s="17" t="str">
        <x:f>"06853800"</x:f>
        <x:v>06853800</x:v>
      </x:c>
      <x:c r="B572" s="13" t="n">
        <x:v>42</x:v>
      </x:c>
      <x:c r="C572" s="22" t="b">
        <x:v>1</x:v>
      </x:c>
      <x:c r="D572" s="11" t="n">
        <x:v>0.30194596598514445</x:v>
      </x:c>
      <x:c r="E572" s="11" t="n">
        <x:v>0.29125461744289993</x:v>
      </x:c>
      <x:c r="F572" s="11" t="n">
        <x:v>0.13126793565925576</x:v>
      </x:c>
      <x:c r="G572" s="11" t="n">
        <x:v>0.010691348542244516</x:v>
      </x:c>
      <x:c r="H572" s="11" t="n">
        <x:v>0.17067803032588869</x:v>
      </x:c>
      <x:c r="I572" s="11" t="n">
        <x:v>1</x:v>
      </x:c>
      <x:c r="J572" s="13" t="n">
        <x:v>12</x:v>
      </x:c>
      <x:c r="K572" s="22" t="b">
        <x:v>1</x:v>
      </x:c>
      <x:c r="L572" s="13" t="n">
        <x:v>90</x:v>
      </x:c>
      <x:c r="M572" s="13" t="n">
        <x:v>28</x:v>
      </x:c>
    </x:row>
    <x:row r="573" ht="22" customHeight="1">
      <x:c r="A573" s="17" t="str">
        <x:f>"06853800"</x:f>
        <x:v>06853800</x:v>
      </x:c>
      <x:c r="B573" s="13" t="n">
        <x:v>42</x:v>
      </x:c>
      <x:c r="C573" s="22" t="b">
        <x:v>0</x:v>
      </x:c>
      <x:c r="D573" s="11" t="n">
        <x:v>0.3024271075975572</x:v>
      </x:c>
      <x:c r="E573" s="11" t="n">
        <x:v>0.26750936384643764</x:v>
      </x:c>
      <x:c r="F573" s="11" t="n">
        <x:v>-0.5209422479035808</x:v>
      </x:c>
      <x:c r="G573" s="11" t="n">
        <x:v>0.034917743751119557</x:v>
      </x:c>
      <x:c r="H573" s="11" t="n">
        <x:v>0.823369355501138</x:v>
      </x:c>
      <x:c r="I573" s="11" t="n">
        <x:v>0</x:v>
      </x:c>
      <x:c r="J573" s="13" t="n">
        <x:v>10</x:v>
      </x:c>
      <x:c r="K573" s="22" t="b">
        <x:v>0</x:v>
      </x:c>
      <x:c r="L573" s="13" t="n">
        <x:v>102</x:v>
      </x:c>
      <x:c r="M573" s="13" t="n">
        <x:v>34</x:v>
      </x:c>
    </x:row>
    <x:row r="574" ht="22" customHeight="1">
      <x:c r="A574" s="17" t="str">
        <x:f>"06876700"</x:f>
        <x:v>06876700</x:v>
      </x:c>
      <x:c r="B574" s="13" t="n">
        <x:v>42</x:v>
      </x:c>
      <x:c r="C574" s="22" t="b">
        <x:v>1</x:v>
      </x:c>
      <x:c r="D574" s="11" t="n">
        <x:v>0.8405301721080513</x:v>
      </x:c>
      <x:c r="E574" s="11" t="n">
        <x:v>0.8158017772872481</x:v>
      </x:c>
      <x:c r="F574" s="11" t="n">
        <x:v>-0.5256421380634022</x:v>
      </x:c>
      <x:c r="G574" s="11" t="n">
        <x:v>0.024728394820803135</x:v>
      </x:c>
      <x:c r="H574" s="11" t="n">
        <x:v>1.3661723101714536</x:v>
      </x:c>
      <x:c r="I574" s="11" t="n">
        <x:v>1</x:v>
      </x:c>
      <x:c r="J574" s="13" t="n">
        <x:v>19</x:v>
      </x:c>
      <x:c r="K574" s="22" t="b">
        <x:v>1</x:v>
      </x:c>
      <x:c r="L574" s="13" t="n">
        <x:v>112</x:v>
      </x:c>
      <x:c r="M574" s="13" t="n">
        <x:v>37</x:v>
      </x:c>
    </x:row>
    <x:row r="575" ht="22" customHeight="1">
      <x:c r="A575" s="17" t="str">
        <x:f>"06876700"</x:f>
        <x:v>06876700</x:v>
      </x:c>
      <x:c r="B575" s="13" t="n">
        <x:v>42</x:v>
      </x:c>
      <x:c r="C575" s="22" t="b">
        <x:v>0</x:v>
      </x:c>
      <x:c r="D575" s="11" t="n">
        <x:v>0.6187405339989331</x:v>
      </x:c>
      <x:c r="E575" s="11" t="n">
        <x:v>0.42080239725649815</x:v>
      </x:c>
      <x:c r="F575" s="11" t="n">
        <x:v>-3.5571283318361333</x:v>
      </x:c>
      <x:c r="G575" s="11" t="n">
        <x:v>0.197938136742435</x:v>
      </x:c>
      <x:c r="H575" s="11" t="n">
        <x:v>4.175868865835066</x:v>
      </x:c>
      <x:c r="I575" s="11" t="n">
        <x:v>0.23076923076923078</x:v>
      </x:c>
      <x:c r="J575" s="13" t="n">
        <x:v>13</x:v>
      </x:c>
      <x:c r="K575" s="22" t="b">
        <x:v>0</x:v>
      </x:c>
      <x:c r="L575" s="13" t="n">
        <x:v>77</x:v>
      </x:c>
      <x:c r="M575" s="13" t="n">
        <x:v>27</x:v>
      </x:c>
    </x:row>
    <x:row r="576" ht="22" customHeight="1">
      <x:c r="A576" s="17" t="str">
        <x:f>"06878000"</x:f>
        <x:v>06878000</x:v>
      </x:c>
      <x:c r="B576" s="13" t="n">
        <x:v>42</x:v>
      </x:c>
      <x:c r="C576" s="22" t="b">
        <x:v>1</x:v>
      </x:c>
      <x:c r="D576" s="11" t="n">
        <x:v>0.4697608605948813</x:v>
      </x:c>
      <x:c r="E576" s="11" t="n">
        <x:v>0.41024619542313956</x:v>
      </x:c>
      <x:c r="F576" s="11" t="n">
        <x:v>0.15785323512078542</x:v>
      </x:c>
      <x:c r="G576" s="11" t="n">
        <x:v>0.059514665171741754</x:v>
      </x:c>
      <x:c r="H576" s="11" t="n">
        <x:v>0.3119076254740959</x:v>
      </x:c>
      <x:c r="I576" s="11"/>
      <x:c r="J576" s="13" t="n">
        <x:v>0</x:v>
      </x:c>
      <x:c r="K576" s="22" t="b">
        <x:v>0</x:v>
      </x:c>
      <x:c r="L576" s="13" t="n">
        <x:v>90</x:v>
      </x:c>
      <x:c r="M576" s="13" t="n">
        <x:v>28</x:v>
      </x:c>
    </x:row>
    <x:row r="577" ht="22" customHeight="1">
      <x:c r="A577" s="17" t="str">
        <x:f>"06878000"</x:f>
        <x:v>06878000</x:v>
      </x:c>
      <x:c r="B577" s="13" t="n">
        <x:v>42</x:v>
      </x:c>
      <x:c r="C577" s="22" t="b">
        <x:v>0</x:v>
      </x:c>
      <x:c r="D577" s="11" t="n">
        <x:v>0.3713422746986349</x:v>
      </x:c>
      <x:c r="E577" s="11" t="n">
        <x:v>0.34895623374435425</x:v>
      </x:c>
      <x:c r="F577" s="11" t="n">
        <x:v>0.1285477559459911</x:v>
      </x:c>
      <x:c r="G577" s="11" t="n">
        <x:v>0.02238604095428065</x:v>
      </x:c>
      <x:c r="H577" s="11" t="n">
        <x:v>0.2427945187526438</x:v>
      </x:c>
      <x:c r="I577" s="11"/>
      <x:c r="J577" s="13" t="n">
        <x:v>0</x:v>
      </x:c>
      <x:c r="K577" s="22" t="b">
        <x:v>0</x:v>
      </x:c>
      <x:c r="L577" s="13" t="n">
        <x:v>83</x:v>
      </x:c>
      <x:c r="M577" s="13" t="n">
        <x:v>28</x:v>
      </x:c>
    </x:row>
    <x:row r="578" ht="22" customHeight="1">
      <x:c r="A578" s="17" t="str">
        <x:f>"06879650"</x:f>
        <x:v>06879650</x:v>
      </x:c>
      <x:c r="B578" s="13" t="n">
        <x:v>42</x:v>
      </x:c>
      <x:c r="C578" s="22" t="b">
        <x:v>1</x:v>
      </x:c>
      <x:c r="D578" s="11" t="n">
        <x:v>0.21325734790679707</x:v>
      </x:c>
      <x:c r="E578" s="11" t="n">
        <x:v>0.14845038537167765</x:v>
      </x:c>
      <x:c r="F578" s="11" t="n">
        <x:v>0.18246248271673837</x:v>
      </x:c>
      <x:c r="G578" s="11" t="n">
        <x:v>0.06480696253511942</x:v>
      </x:c>
      <x:c r="H578" s="11" t="n">
        <x:v>0.030794865190058696</x:v>
      </x:c>
      <x:c r="I578" s="11" t="n">
        <x:v>1</x:v>
      </x:c>
      <x:c r="J578" s="13" t="n">
        <x:v>16</x:v>
      </x:c>
      <x:c r="K578" s="22" t="b">
        <x:v>0</x:v>
      </x:c>
      <x:c r="L578" s="13" t="n">
        <x:v>86</x:v>
      </x:c>
      <x:c r="M578" s="13" t="n">
        <x:v>27</x:v>
      </x:c>
    </x:row>
    <x:row r="579" ht="22" customHeight="1">
      <x:c r="A579" s="17" t="str">
        <x:f>"06879650"</x:f>
        <x:v>06879650</x:v>
      </x:c>
      <x:c r="B579" s="13" t="n">
        <x:v>42</x:v>
      </x:c>
      <x:c r="C579" s="22" t="b">
        <x:v>0</x:v>
      </x:c>
      <x:c r="D579" s="11" t="n">
        <x:v>-0.017673917597903488</x:v>
      </x:c>
      <x:c r="E579" s="11" t="n">
        <x:v>-0.14284216529345217</x:v>
      </x:c>
      <x:c r="F579" s="11" t="n">
        <x:v>-0.08286303579553</x:v>
      </x:c>
      <x:c r="G579" s="11" t="n">
        <x:v>0.12516824769554868</x:v>
      </x:c>
      <x:c r="H579" s="11" t="n">
        <x:v>0.06518911819762652</x:v>
      </x:c>
      <x:c r="I579" s="11" t="n">
        <x:v>0.8</x:v>
      </x:c>
      <x:c r="J579" s="13" t="n">
        <x:v>20</x:v>
      </x:c>
      <x:c r="K579" s="22" t="b">
        <x:v>0</x:v>
      </x:c>
      <x:c r="L579" s="13" t="n">
        <x:v>104</x:v>
      </x:c>
      <x:c r="M579" s="13" t="n">
        <x:v>34</x:v>
      </x:c>
    </x:row>
    <x:row r="580" ht="22" customHeight="1">
      <x:c r="A580" s="17" t="str">
        <x:f>"06885500"</x:f>
        <x:v>06885500</x:v>
      </x:c>
      <x:c r="B580" s="13" t="n">
        <x:v>42</x:v>
      </x:c>
      <x:c r="C580" s="22" t="b">
        <x:v>1</x:v>
      </x:c>
      <x:c r="D580" s="11" t="n">
        <x:v>0.31052440515981306</x:v>
      </x:c>
      <x:c r="E580" s="11" t="n">
        <x:v>-0.049345632468691836</x:v>
      </x:c>
      <x:c r="F580" s="11" t="n">
        <x:v>0.30163161233561775</x:v>
      </x:c>
      <x:c r="G580" s="11" t="n">
        <x:v>0.3598700376285049</x:v>
      </x:c>
      <x:c r="H580" s="11" t="n">
        <x:v>0.008892792824195306</x:v>
      </x:c>
      <x:c r="I580" s="11" t="n">
        <x:v>0.8947368421052632</x:v>
      </x:c>
      <x:c r="J580" s="13" t="n">
        <x:v>19</x:v>
      </x:c>
      <x:c r="K580" s="22" t="b">
        <x:v>0</x:v>
      </x:c>
      <x:c r="L580" s="13" t="n">
        <x:v>96</x:v>
      </x:c>
      <x:c r="M580" s="13" t="n">
        <x:v>31</x:v>
      </x:c>
    </x:row>
    <x:row r="581" ht="22" customHeight="1">
      <x:c r="A581" s="17" t="str">
        <x:f>"06885500"</x:f>
        <x:v>06885500</x:v>
      </x:c>
      <x:c r="B581" s="13" t="n">
        <x:v>42</x:v>
      </x:c>
      <x:c r="C581" s="22" t="b">
        <x:v>0</x:v>
      </x:c>
      <x:c r="D581" s="11" t="n">
        <x:v>0.20699813403243295</x:v>
      </x:c>
      <x:c r="E581" s="11" t="n">
        <x:v>-0.001634420406310344</x:v>
      </x:c>
      <x:c r="F581" s="11" t="n">
        <x:v>-0.3317622226012309</x:v>
      </x:c>
      <x:c r="G581" s="11" t="n">
        <x:v>0.2086325544387433</x:v>
      </x:c>
      <x:c r="H581" s="11" t="n">
        <x:v>0.5387603566336638</x:v>
      </x:c>
      <x:c r="I581" s="11" t="n">
        <x:v>1</x:v>
      </x:c>
      <x:c r="J581" s="13" t="n">
        <x:v>18</x:v>
      </x:c>
      <x:c r="K581" s="22" t="b">
        <x:v>0</x:v>
      </x:c>
      <x:c r="L581" s="13" t="n">
        <x:v>91</x:v>
      </x:c>
      <x:c r="M581" s="13" t="n">
        <x:v>42</x:v>
      </x:c>
    </x:row>
    <x:row r="582" ht="22" customHeight="1">
      <x:c r="A582" s="17" t="str">
        <x:f>"06888500"</x:f>
        <x:v>06888500</x:v>
      </x:c>
      <x:c r="B582" s="13" t="n">
        <x:v>42</x:v>
      </x:c>
      <x:c r="C582" s="22" t="b">
        <x:v>1</x:v>
      </x:c>
      <x:c r="D582" s="11" t="n">
        <x:v>0.2977936305832043</x:v>
      </x:c>
      <x:c r="E582" s="11" t="n">
        <x:v>0.3060272447033051</x:v>
      </x:c>
      <x:c r="F582" s="11" t="n">
        <x:v>0.2969528412976118</x:v>
      </x:c>
      <x:c r="G582" s="11" t="n">
        <x:v>-0.008233614120100818</x:v>
      </x:c>
      <x:c r="H582" s="11" t="n">
        <x:v>0.0008407892855925025</x:v>
      </x:c>
      <x:c r="I582" s="11" t="n">
        <x:v>1</x:v>
      </x:c>
      <x:c r="J582" s="13" t="n">
        <x:v>20</x:v>
      </x:c>
      <x:c r="K582" s="22" t="b">
        <x:v>0</x:v>
      </x:c>
      <x:c r="L582" s="13" t="n">
        <x:v>92</x:v>
      </x:c>
      <x:c r="M582" s="13" t="n">
        <x:v>30</x:v>
      </x:c>
    </x:row>
    <x:row r="583" ht="22" customHeight="1">
      <x:c r="A583" s="17" t="str">
        <x:f>"06888500"</x:f>
        <x:v>06888500</x:v>
      </x:c>
      <x:c r="B583" s="13" t="n">
        <x:v>42</x:v>
      </x:c>
      <x:c r="C583" s="22" t="b">
        <x:v>0</x:v>
      </x:c>
      <x:c r="D583" s="11" t="n">
        <x:v>0.09423225354311693</x:v>
      </x:c>
      <x:c r="E583" s="11" t="n">
        <x:v>-0.02545995731427242</x:v>
      </x:c>
      <x:c r="F583" s="11" t="n">
        <x:v>0.06735022882997399</x:v>
      </x:c>
      <x:c r="G583" s="11" t="n">
        <x:v>0.11969221085738935</x:v>
      </x:c>
      <x:c r="H583" s="11" t="n">
        <x:v>0.026882024713142938</x:v>
      </x:c>
      <x:c r="I583" s="11" t="n">
        <x:v>0.3157894736842105</x:v>
      </x:c>
      <x:c r="J583" s="13" t="n">
        <x:v>19</x:v>
      </x:c>
      <x:c r="K583" s="22" t="b">
        <x:v>0</x:v>
      </x:c>
      <x:c r="L583" s="13" t="n">
        <x:v>78</x:v>
      </x:c>
      <x:c r="M583" s="13" t="n">
        <x:v>25</x:v>
      </x:c>
    </x:row>
    <x:row r="584" ht="22" customHeight="1">
      <x:c r="A584" s="17" t="str">
        <x:f>"06889200"</x:f>
        <x:v>06889200</x:v>
      </x:c>
      <x:c r="B584" s="13" t="n">
        <x:v>42</x:v>
      </x:c>
      <x:c r="C584" s="22" t="b">
        <x:v>1</x:v>
      </x:c>
      <x:c r="D584" s="11" t="n">
        <x:v>0.1844312731452067</x:v>
      </x:c>
      <x:c r="E584" s="11" t="n">
        <x:v>0.12073861460115898</x:v>
      </x:c>
      <x:c r="F584" s="11" t="n">
        <x:v>0.21096835148607018</x:v>
      </x:c>
      <x:c r="G584" s="11" t="n">
        <x:v>0.06369265854404771</x:v>
      </x:c>
      <x:c r="H584" s="11" t="n">
        <x:v>-0.026537078340863496</x:v>
      </x:c>
      <x:c r="I584" s="11" t="n">
        <x:v>1</x:v>
      </x:c>
      <x:c r="J584" s="13" t="n">
        <x:v>16</x:v>
      </x:c>
      <x:c r="K584" s="22" t="b">
        <x:v>0</x:v>
      </x:c>
      <x:c r="L584" s="13" t="n">
        <x:v>69</x:v>
      </x:c>
      <x:c r="M584" s="13" t="n">
        <x:v>23</x:v>
      </x:c>
    </x:row>
    <x:row r="585" ht="22" customHeight="1">
      <x:c r="A585" s="17" t="str">
        <x:f>"06889200"</x:f>
        <x:v>06889200</x:v>
      </x:c>
      <x:c r="B585" s="13" t="n">
        <x:v>42</x:v>
      </x:c>
      <x:c r="C585" s="22" t="b">
        <x:v>0</x:v>
      </x:c>
      <x:c r="D585" s="11" t="n">
        <x:v>0.06417274979776699</x:v>
      </x:c>
      <x:c r="E585" s="11" t="n">
        <x:v>-0.0498529703749675</x:v>
      </x:c>
      <x:c r="F585" s="11" t="n">
        <x:v>0.014811262309608275</x:v>
      </x:c>
      <x:c r="G585" s="11" t="n">
        <x:v>0.11402572017273449</x:v>
      </x:c>
      <x:c r="H585" s="11" t="n">
        <x:v>0.04936148748815872</x:v>
      </x:c>
      <x:c r="I585" s="11" t="n">
        <x:v>0.8888888888888888</x:v>
      </x:c>
      <x:c r="J585" s="13" t="n">
        <x:v>18</x:v>
      </x:c>
      <x:c r="K585" s="22" t="b">
        <x:v>0</x:v>
      </x:c>
      <x:c r="L585" s="13" t="n">
        <x:v>85</x:v>
      </x:c>
      <x:c r="M585" s="13" t="n">
        <x:v>27</x:v>
      </x:c>
    </x:row>
    <x:row r="586" ht="22" customHeight="1">
      <x:c r="A586" s="17" t="str">
        <x:f>"06889500"</x:f>
        <x:v>06889500</x:v>
      </x:c>
      <x:c r="B586" s="13" t="n">
        <x:v>42</x:v>
      </x:c>
      <x:c r="C586" s="22" t="b">
        <x:v>1</x:v>
      </x:c>
      <x:c r="D586" s="11" t="n">
        <x:v>0.12260990689681717</x:v>
      </x:c>
      <x:c r="E586" s="11" t="n">
        <x:v>-0.046601971237327344</x:v>
      </x:c>
      <x:c r="F586" s="11" t="n">
        <x:v>0.09151522586212446</x:v>
      </x:c>
      <x:c r="G586" s="11" t="n">
        <x:v>0.1692118781341445</x:v>
      </x:c>
      <x:c r="H586" s="11" t="n">
        <x:v>0.031094681034692706</x:v>
      </x:c>
      <x:c r="I586" s="11" t="n">
        <x:v>0.75</x:v>
      </x:c>
      <x:c r="J586" s="13" t="n">
        <x:v>20</x:v>
      </x:c>
      <x:c r="K586" s="22" t="b">
        <x:v>0</x:v>
      </x:c>
      <x:c r="L586" s="13" t="n">
        <x:v>114</x:v>
      </x:c>
      <x:c r="M586" s="13" t="n">
        <x:v>37</x:v>
      </x:c>
    </x:row>
    <x:row r="587" ht="22" customHeight="1">
      <x:c r="A587" s="17" t="str">
        <x:f>"06889500"</x:f>
        <x:v>06889500</x:v>
      </x:c>
      <x:c r="B587" s="13" t="n">
        <x:v>42</x:v>
      </x:c>
      <x:c r="C587" s="22" t="b">
        <x:v>0</x:v>
      </x:c>
      <x:c r="D587" s="11" t="n">
        <x:v>-0.06808341242475202</x:v>
      </x:c>
      <x:c r="E587" s="11" t="n">
        <x:v>-0.35013664458101035</x:v>
      </x:c>
      <x:c r="F587" s="11" t="n">
        <x:v>-0.36542804642973525</x:v>
      </x:c>
      <x:c r="G587" s="11" t="n">
        <x:v>0.2820532321562583</x:v>
      </x:c>
      <x:c r="H587" s="11" t="n">
        <x:v>0.29734463400498323</x:v>
      </x:c>
      <x:c r="I587" s="11" t="n">
        <x:v>1</x:v>
      </x:c>
      <x:c r="J587" s="13" t="n">
        <x:v>19</x:v>
      </x:c>
      <x:c r="K587" s="22" t="b">
        <x:v>0</x:v>
      </x:c>
      <x:c r="L587" s="13" t="n">
        <x:v>86</x:v>
      </x:c>
      <x:c r="M587" s="13" t="n">
        <x:v>27</x:v>
      </x:c>
    </x:row>
    <x:row r="588" ht="22" customHeight="1">
      <x:c r="A588" s="17" t="str">
        <x:f>"06892000"</x:f>
        <x:v>06892000</x:v>
      </x:c>
      <x:c r="B588" s="13" t="n">
        <x:v>42</x:v>
      </x:c>
      <x:c r="C588" s="22" t="b">
        <x:v>1</x:v>
      </x:c>
      <x:c r="D588" s="11" t="n">
        <x:v>0.6383900006056287</x:v>
      </x:c>
      <x:c r="E588" s="11" t="n">
        <x:v>0.591426457197554</x:v>
      </x:c>
      <x:c r="F588" s="11" t="n">
        <x:v>0.4921448488926753</x:v>
      </x:c>
      <x:c r="G588" s="11" t="n">
        <x:v>0.046963543408074626</x:v>
      </x:c>
      <x:c r="H588" s="11" t="n">
        <x:v>0.14624515171295338</x:v>
      </x:c>
      <x:c r="I588" s="11" t="n">
        <x:v>0</x:v>
      </x:c>
      <x:c r="J588" s="13" t="n">
        <x:v>15</x:v>
      </x:c>
      <x:c r="K588" s="22" t="b">
        <x:v>0</x:v>
      </x:c>
      <x:c r="L588" s="13" t="n">
        <x:v>90</x:v>
      </x:c>
      <x:c r="M588" s="13" t="n">
        <x:v>28</x:v>
      </x:c>
    </x:row>
    <x:row r="589" ht="22" customHeight="1">
      <x:c r="A589" s="17" t="str">
        <x:f>"06892000"</x:f>
        <x:v>06892000</x:v>
      </x:c>
      <x:c r="B589" s="13" t="n">
        <x:v>42</x:v>
      </x:c>
      <x:c r="C589" s="22" t="b">
        <x:v>0</x:v>
      </x:c>
      <x:c r="D589" s="11" t="n">
        <x:v>0.3129238052436988</x:v>
      </x:c>
      <x:c r="E589" s="11" t="n">
        <x:v>-0.0035590421310982556</x:v>
      </x:c>
      <x:c r="F589" s="11" t="n">
        <x:v>-0.6828307208282804</x:v>
      </x:c>
      <x:c r="G589" s="11" t="n">
        <x:v>0.31648284737479704</x:v>
      </x:c>
      <x:c r="H589" s="11" t="n">
        <x:v>0.9957545260719792</x:v>
      </x:c>
      <x:c r="I589" s="11" t="n">
        <x:v>1</x:v>
      </x:c>
      <x:c r="J589" s="13" t="n">
        <x:v>12</x:v>
      </x:c>
      <x:c r="K589" s="22" t="b">
        <x:v>0</x:v>
      </x:c>
      <x:c r="L589" s="13" t="n">
        <x:v>115</x:v>
      </x:c>
      <x:c r="M589" s="13" t="n">
        <x:v>38</x:v>
      </x:c>
    </x:row>
    <x:row r="590" ht="22" customHeight="1">
      <x:c r="A590" s="17" t="str">
        <x:f>"06903400"</x:f>
        <x:v>06903400</x:v>
      </x:c>
      <x:c r="B590" s="13" t="n">
        <x:v>42</x:v>
      </x:c>
      <x:c r="C590" s="22" t="b">
        <x:v>1</x:v>
      </x:c>
      <x:c r="D590" s="11" t="n">
        <x:v>0.6182347520562279</x:v>
      </x:c>
      <x:c r="E590" s="11" t="n">
        <x:v>0.5498966844552267</x:v>
      </x:c>
      <x:c r="F590" s="11" t="n">
        <x:v>0.5361516227831387</x:v>
      </x:c>
      <x:c r="G590" s="11" t="n">
        <x:v>0.06833806760100125</x:v>
      </x:c>
      <x:c r="H590" s="11" t="n">
        <x:v>0.08208312927308925</x:v>
      </x:c>
      <x:c r="I590" s="11" t="n">
        <x:v>0.55</x:v>
      </x:c>
      <x:c r="J590" s="13" t="n">
        <x:v>20</x:v>
      </x:c>
      <x:c r="K590" s="22" t="b">
        <x:v>0</x:v>
      </x:c>
      <x:c r="L590" s="13" t="n">
        <x:v>145</x:v>
      </x:c>
      <x:c r="M590" s="13" t="n">
        <x:v>54</x:v>
      </x:c>
    </x:row>
    <x:row r="591" ht="22" customHeight="1">
      <x:c r="A591" s="17" t="str">
        <x:f>"06903400"</x:f>
        <x:v>06903400</x:v>
      </x:c>
      <x:c r="B591" s="13" t="n">
        <x:v>42</x:v>
      </x:c>
      <x:c r="C591" s="22" t="b">
        <x:v>0</x:v>
      </x:c>
      <x:c r="D591" s="11" t="n">
        <x:v>0.4308850543645607</x:v>
      </x:c>
      <x:c r="E591" s="11" t="n">
        <x:v>0.3676879186563915</x:v>
      </x:c>
      <x:c r="F591" s="11" t="n">
        <x:v>0.32429168729304203</x:v>
      </x:c>
      <x:c r="G591" s="11" t="n">
        <x:v>0.0631971357081692</x:v>
      </x:c>
      <x:c r="H591" s="11" t="n">
        <x:v>0.10659336707151867</x:v>
      </x:c>
      <x:c r="I591" s="11" t="n">
        <x:v>0</x:v>
      </x:c>
      <x:c r="J591" s="13" t="n">
        <x:v>6</x:v>
      </x:c>
      <x:c r="K591" s="22" t="b">
        <x:v>0</x:v>
      </x:c>
      <x:c r="L591" s="13" t="n">
        <x:v>87</x:v>
      </x:c>
      <x:c r="M591" s="13" t="n">
        <x:v>28</x:v>
      </x:c>
    </x:row>
    <x:row r="592" ht="22" customHeight="1">
      <x:c r="A592" s="17" t="str">
        <x:f>"06910800"</x:f>
        <x:v>06910800</x:v>
      </x:c>
      <x:c r="B592" s="13" t="n">
        <x:v>42</x:v>
      </x:c>
      <x:c r="C592" s="22" t="b">
        <x:v>1</x:v>
      </x:c>
      <x:c r="D592" s="11" t="n">
        <x:v>0.16266311780299014</x:v>
      </x:c>
      <x:c r="E592" s="11" t="n">
        <x:v>0.1080559500673719</x:v>
      </x:c>
      <x:c r="F592" s="11" t="n">
        <x:v>0.1467148885756433</x:v>
      </x:c>
      <x:c r="G592" s="11" t="n">
        <x:v>0.054607167735618245</x:v>
      </x:c>
      <x:c r="H592" s="11" t="n">
        <x:v>0.015948229227346844</x:v>
      </x:c>
      <x:c r="I592" s="11" t="n">
        <x:v>0.875</x:v>
      </x:c>
      <x:c r="J592" s="13" t="n">
        <x:v>16</x:v>
      </x:c>
      <x:c r="K592" s="22" t="b">
        <x:v>0</x:v>
      </x:c>
      <x:c r="L592" s="13" t="n">
        <x:v>84</x:v>
      </x:c>
      <x:c r="M592" s="13" t="n">
        <x:v>27</x:v>
      </x:c>
    </x:row>
    <x:row r="593" ht="22" customHeight="1">
      <x:c r="A593" s="17" t="str">
        <x:f>"06910800"</x:f>
        <x:v>06910800</x:v>
      </x:c>
      <x:c r="B593" s="13" t="n">
        <x:v>42</x:v>
      </x:c>
      <x:c r="C593" s="22" t="b">
        <x:v>0</x:v>
      </x:c>
      <x:c r="D593" s="11" t="n">
        <x:v>0.006063144430542677</x:v>
      </x:c>
      <x:c r="E593" s="11" t="n">
        <x:v>-0.2516819714873859</x:v>
      </x:c>
      <x:c r="F593" s="11" t="n">
        <x:v>-0.01844148849796312</x:v>
      </x:c>
      <x:c r="G593" s="11" t="n">
        <x:v>0.2577451159179286</x:v>
      </x:c>
      <x:c r="H593" s="11" t="n">
        <x:v>0.0245046329285058</x:v>
      </x:c>
      <x:c r="I593" s="11" t="n">
        <x:v>0.6</x:v>
      </x:c>
      <x:c r="J593" s="13" t="n">
        <x:v>15</x:v>
      </x:c>
      <x:c r="K593" s="22" t="b">
        <x:v>0</x:v>
      </x:c>
      <x:c r="L593" s="13" t="n">
        <x:v>91</x:v>
      </x:c>
      <x:c r="M593" s="13" t="n">
        <x:v>29</x:v>
      </x:c>
    </x:row>
    <x:row r="594" ht="22" customHeight="1">
      <x:c r="A594" s="17" t="str">
        <x:f>"06911900"</x:f>
        <x:v>06911900</x:v>
      </x:c>
      <x:c r="B594" s="13" t="n">
        <x:v>42</x:v>
      </x:c>
      <x:c r="C594" s="22" t="b">
        <x:v>1</x:v>
      </x:c>
      <x:c r="D594" s="11" t="n">
        <x:v>0.14371637395262782</x:v>
      </x:c>
      <x:c r="E594" s="11" t="n">
        <x:v>0.12156397815820119</x:v>
      </x:c>
      <x:c r="F594" s="11" t="n">
        <x:v>0.12799566013671038</x:v>
      </x:c>
      <x:c r="G594" s="11" t="n">
        <x:v>0.022152395794426627</x:v>
      </x:c>
      <x:c r="H594" s="11" t="n">
        <x:v>0.015720713815917442</x:v>
      </x:c>
      <x:c r="I594" s="11" t="n">
        <x:v>1</x:v>
      </x:c>
      <x:c r="J594" s="13" t="n">
        <x:v>17</x:v>
      </x:c>
      <x:c r="K594" s="22" t="b">
        <x:v>0</x:v>
      </x:c>
      <x:c r="L594" s="13" t="n">
        <x:v>82</x:v>
      </x:c>
      <x:c r="M594" s="13" t="n">
        <x:v>26</x:v>
      </x:c>
    </x:row>
    <x:row r="595" ht="22" customHeight="1">
      <x:c r="A595" s="17" t="str">
        <x:f>"06911900"</x:f>
        <x:v>06911900</x:v>
      </x:c>
      <x:c r="B595" s="13" t="n">
        <x:v>42</x:v>
      </x:c>
      <x:c r="C595" s="22" t="b">
        <x:v>0</x:v>
      </x:c>
      <x:c r="D595" s="11" t="n">
        <x:v>-0.1036800233975641</x:v>
      </x:c>
      <x:c r="E595" s="11" t="n">
        <x:v>-0.5037131088600342</x:v>
      </x:c>
      <x:c r="F595" s="11" t="n">
        <x:v>-0.09984125497966145</x:v>
      </x:c>
      <x:c r="G595" s="11" t="n">
        <x:v>0.4000330854624701</x:v>
      </x:c>
      <x:c r="H595" s="11" t="n">
        <x:v>-0.0038387684179026493</x:v>
      </x:c>
      <x:c r="I595" s="11" t="n">
        <x:v>0</x:v>
      </x:c>
      <x:c r="J595" s="13" t="n">
        <x:v>14</x:v>
      </x:c>
      <x:c r="K595" s="22" t="b">
        <x:v>0</x:v>
      </x:c>
      <x:c r="L595" s="13" t="n">
        <x:v>68</x:v>
      </x:c>
      <x:c r="M595" s="13" t="n">
        <x:v>23</x:v>
      </x:c>
    </x:row>
    <x:row r="596" ht="22" customHeight="1">
      <x:c r="A596" s="17" t="str">
        <x:f>"06917000"</x:f>
        <x:v>06917000</x:v>
      </x:c>
      <x:c r="B596" s="13" t="n">
        <x:v>42</x:v>
      </x:c>
      <x:c r="C596" s="22" t="b">
        <x:v>1</x:v>
      </x:c>
      <x:c r="D596" s="11" t="n">
        <x:v>0.4598836483211477</x:v>
      </x:c>
      <x:c r="E596" s="11" t="n">
        <x:v>0.2718484670202366</x:v>
      </x:c>
      <x:c r="F596" s="11" t="n">
        <x:v>0.20999963632759922</x:v>
      </x:c>
      <x:c r="G596" s="11" t="n">
        <x:v>0.18803518130091113</x:v>
      </x:c>
      <x:c r="H596" s="11" t="n">
        <x:v>0.24988401199354848</x:v>
      </x:c>
      <x:c r="I596" s="11" t="n">
        <x:v>0.631578947368421</x:v>
      </x:c>
      <x:c r="J596" s="13" t="n">
        <x:v>19</x:v>
      </x:c>
      <x:c r="K596" s="22" t="b">
        <x:v>0</x:v>
      </x:c>
      <x:c r="L596" s="13" t="n">
        <x:v>96</x:v>
      </x:c>
      <x:c r="M596" s="13" t="n">
        <x:v>31</x:v>
      </x:c>
    </x:row>
    <x:row r="597" ht="22" customHeight="1">
      <x:c r="A597" s="17" t="str">
        <x:f>"06917000"</x:f>
        <x:v>06917000</x:v>
      </x:c>
      <x:c r="B597" s="13" t="n">
        <x:v>42</x:v>
      </x:c>
      <x:c r="C597" s="22" t="b">
        <x:v>0</x:v>
      </x:c>
      <x:c r="D597" s="11" t="n">
        <x:v>0.28222254604437214</x:v>
      </x:c>
      <x:c r="E597" s="11" t="n">
        <x:v>-0.16572634246788032</x:v>
      </x:c>
      <x:c r="F597" s="11" t="n">
        <x:v>0.20603208379252647</x:v>
      </x:c>
      <x:c r="G597" s="11" t="n">
        <x:v>0.44794888851225245</x:v>
      </x:c>
      <x:c r="H597" s="11" t="n">
        <x:v>0.07619046225184567</x:v>
      </x:c>
      <x:c r="I597" s="11" t="n">
        <x:v>0.9</x:v>
      </x:c>
      <x:c r="J597" s="13" t="n">
        <x:v>20</x:v>
      </x:c>
      <x:c r="K597" s="22" t="b">
        <x:v>0</x:v>
      </x:c>
      <x:c r="L597" s="13" t="n">
        <x:v>84</x:v>
      </x:c>
      <x:c r="M597" s="13" t="n">
        <x:v>27</x:v>
      </x:c>
    </x:row>
    <x:row r="598" ht="22" customHeight="1">
      <x:c r="A598" s="17" t="str">
        <x:f>"06918460"</x:f>
        <x:v>06918460</x:v>
      </x:c>
      <x:c r="B598" s="13" t="n">
        <x:v>42</x:v>
      </x:c>
      <x:c r="C598" s="22" t="b">
        <x:v>1</x:v>
      </x:c>
      <x:c r="D598" s="11" t="n">
        <x:v>0.4593647389576523</x:v>
      </x:c>
      <x:c r="E598" s="11" t="n">
        <x:v>0.4675164224604602</x:v>
      </x:c>
      <x:c r="F598" s="11" t="n">
        <x:v>0.35895803040648633</x:v>
      </x:c>
      <x:c r="G598" s="11" t="n">
        <x:v>-0.008151683502807927</x:v>
      </x:c>
      <x:c r="H598" s="11" t="n">
        <x:v>0.10040670855116596</x:v>
      </x:c>
      <x:c r="I598" s="11" t="n">
        <x:v>1</x:v>
      </x:c>
      <x:c r="J598" s="13" t="n">
        <x:v>16</x:v>
      </x:c>
      <x:c r="K598" s="22" t="b">
        <x:v>1</x:v>
      </x:c>
      <x:c r="L598" s="13" t="n">
        <x:v>107</x:v>
      </x:c>
      <x:c r="M598" s="13" t="n">
        <x:v>35</x:v>
      </x:c>
    </x:row>
    <x:row r="599" ht="22" customHeight="1">
      <x:c r="A599" s="17" t="str">
        <x:f>"06918460"</x:f>
        <x:v>06918460</x:v>
      </x:c>
      <x:c r="B599" s="13" t="n">
        <x:v>42</x:v>
      </x:c>
      <x:c r="C599" s="22" t="b">
        <x:v>0</x:v>
      </x:c>
      <x:c r="D599" s="11" t="n">
        <x:v>0.40945693574421904</x:v>
      </x:c>
      <x:c r="E599" s="11" t="n">
        <x:v>0.36778955425014903</x:v>
      </x:c>
      <x:c r="F599" s="11" t="n">
        <x:v>-1.3855987498218556</x:v>
      </x:c>
      <x:c r="G599" s="11" t="n">
        <x:v>0.04166738149407001</x:v>
      </x:c>
      <x:c r="H599" s="11" t="n">
        <x:v>1.7950556855660746</x:v>
      </x:c>
      <x:c r="I599" s="11" t="n">
        <x:v>1</x:v>
      </x:c>
      <x:c r="J599" s="13" t="n">
        <x:v>11</x:v>
      </x:c>
      <x:c r="K599" s="22" t="b">
        <x:v>1</x:v>
      </x:c>
      <x:c r="L599" s="13" t="n">
        <x:v>83</x:v>
      </x:c>
      <x:c r="M599" s="13" t="n">
        <x:v>27</x:v>
      </x:c>
    </x:row>
    <x:row r="600" ht="22" customHeight="1">
      <x:c r="A600" s="17" t="str">
        <x:f>"06919500"</x:f>
        <x:v>06919500</x:v>
      </x:c>
      <x:c r="B600" s="13" t="n">
        <x:v>42</x:v>
      </x:c>
      <x:c r="C600" s="22" t="b">
        <x:v>1</x:v>
      </x:c>
      <x:c r="D600" s="11" t="n">
        <x:v>0.6450525458710912</x:v>
      </x:c>
      <x:c r="E600" s="11" t="n">
        <x:v>0.6391395463157961</x:v>
      </x:c>
      <x:c r="F600" s="11" t="n">
        <x:v>-0.0149894992135291</x:v>
      </x:c>
      <x:c r="G600" s="11" t="n">
        <x:v>0.0059129995552951176</x:v>
      </x:c>
      <x:c r="H600" s="11" t="n">
        <x:v>0.6600420450846203</x:v>
      </x:c>
      <x:c r="I600" s="11" t="n">
        <x:v>0.3</x:v>
      </x:c>
      <x:c r="J600" s="13" t="n">
        <x:v>20</x:v>
      </x:c>
      <x:c r="K600" s="22" t="b">
        <x:v>0</x:v>
      </x:c>
      <x:c r="L600" s="13" t="n">
        <x:v>128</x:v>
      </x:c>
      <x:c r="M600" s="13" t="n">
        <x:v>45</x:v>
      </x:c>
    </x:row>
    <x:row r="601" ht="22" customHeight="1">
      <x:c r="A601" s="17" t="str">
        <x:f>"06919500"</x:f>
        <x:v>06919500</x:v>
      </x:c>
      <x:c r="B601" s="13" t="n">
        <x:v>42</x:v>
      </x:c>
      <x:c r="C601" s="22" t="b">
        <x:v>0</x:v>
      </x:c>
      <x:c r="D601" s="11" t="n">
        <x:v>0.5275234284832604</x:v>
      </x:c>
      <x:c r="E601" s="11" t="n">
        <x:v>0.3953330507541608</x:v>
      </x:c>
      <x:c r="F601" s="11" t="n">
        <x:v>0.2577461541642222</x:v>
      </x:c>
      <x:c r="G601" s="11" t="n">
        <x:v>0.13219037772909958</x:v>
      </x:c>
      <x:c r="H601" s="11" t="n">
        <x:v>0.2697772743190382</x:v>
      </x:c>
      <x:c r="I601" s="11" t="n">
        <x:v>0.85</x:v>
      </x:c>
      <x:c r="J601" s="13" t="n">
        <x:v>20</x:v>
      </x:c>
      <x:c r="K601" s="22" t="b">
        <x:v>0</x:v>
      </x:c>
      <x:c r="L601" s="13" t="n">
        <x:v>138</x:v>
      </x:c>
      <x:c r="M601" s="13" t="n">
        <x:v>54</x:v>
      </x:c>
    </x:row>
    <x:row r="602" ht="22" customHeight="1">
      <x:c r="A602" s="17" t="str">
        <x:f>"06921070"</x:f>
        <x:v>06921070</x:v>
      </x:c>
      <x:c r="B602" s="13" t="n">
        <x:v>42</x:v>
      </x:c>
      <x:c r="C602" s="22" t="b">
        <x:v>1</x:v>
      </x:c>
      <x:c r="D602" s="11" t="n">
        <x:v>0.32170776340144025</x:v>
      </x:c>
      <x:c r="E602" s="11" t="n">
        <x:v>0.296112574433293</x:v>
      </x:c>
      <x:c r="F602" s="11" t="n">
        <x:v>0.23572856658050123</x:v>
      </x:c>
      <x:c r="G602" s="11" t="n">
        <x:v>0.025595188968147276</x:v>
      </x:c>
      <x:c r="H602" s="11" t="n">
        <x:v>0.08597919682093902</x:v>
      </x:c>
      <x:c r="I602" s="11" t="n">
        <x:v>0.55</x:v>
      </x:c>
      <x:c r="J602" s="13" t="n">
        <x:v>20</x:v>
      </x:c>
      <x:c r="K602" s="22" t="b">
        <x:v>0</x:v>
      </x:c>
      <x:c r="L602" s="13" t="n">
        <x:v>138</x:v>
      </x:c>
      <x:c r="M602" s="13" t="n">
        <x:v>50</x:v>
      </x:c>
    </x:row>
    <x:row r="603" ht="22" customHeight="1">
      <x:c r="A603" s="17" t="str">
        <x:f>"06921070"</x:f>
        <x:v>06921070</x:v>
      </x:c>
      <x:c r="B603" s="13" t="n">
        <x:v>42</x:v>
      </x:c>
      <x:c r="C603" s="22" t="b">
        <x:v>0</x:v>
      </x:c>
      <x:c r="D603" s="11" t="n">
        <x:v>0.2402575312272468</x:v>
      </x:c>
      <x:c r="E603" s="11" t="n">
        <x:v>0.24353065061185852</x:v>
      </x:c>
      <x:c r="F603" s="11" t="n">
        <x:v>0.07350193098464353</x:v>
      </x:c>
      <x:c r="G603" s="11" t="n">
        <x:v>-0.0032731193846117224</x:v>
      </x:c>
      <x:c r="H603" s="11" t="n">
        <x:v>0.16675560024260327</x:v>
      </x:c>
      <x:c r="I603" s="11" t="n">
        <x:v>0.42105263157894735</x:v>
      </x:c>
      <x:c r="J603" s="13" t="n">
        <x:v>19</x:v>
      </x:c>
      <x:c r="K603" s="22" t="b">
        <x:v>0</x:v>
      </x:c>
      <x:c r="L603" s="13" t="n">
        <x:v>132</x:v>
      </x:c>
      <x:c r="M603" s="13" t="n">
        <x:v>47</x:v>
      </x:c>
    </x:row>
    <x:row r="604" ht="22" customHeight="1">
      <x:c r="A604" s="17" t="str">
        <x:f>"06921200"</x:f>
        <x:v>06921200</x:v>
      </x:c>
      <x:c r="B604" s="13" t="n">
        <x:v>42</x:v>
      </x:c>
      <x:c r="C604" s="22" t="b">
        <x:v>1</x:v>
      </x:c>
      <x:c r="D604" s="11" t="n">
        <x:v>0.20938282477894354</x:v>
      </x:c>
      <x:c r="E604" s="11" t="n">
        <x:v>0.18621659200229423</x:v>
      </x:c>
      <x:c r="F604" s="11" t="n">
        <x:v>0.11818829852995005</x:v>
      </x:c>
      <x:c r="G604" s="11" t="n">
        <x:v>0.02316623277664931</x:v>
      </x:c>
      <x:c r="H604" s="11" t="n">
        <x:v>0.09119452624899349</x:v>
      </x:c>
      <x:c r="I604" s="11" t="n">
        <x:v>0.7</x:v>
      </x:c>
      <x:c r="J604" s="13" t="n">
        <x:v>20</x:v>
      </x:c>
      <x:c r="K604" s="22" t="b">
        <x:v>0</x:v>
      </x:c>
      <x:c r="L604" s="13" t="n">
        <x:v>122</x:v>
      </x:c>
      <x:c r="M604" s="13" t="n">
        <x:v>41</x:v>
      </x:c>
    </x:row>
    <x:row r="605" ht="22" customHeight="1">
      <x:c r="A605" s="17" t="str">
        <x:f>"06921200"</x:f>
        <x:v>06921200</x:v>
      </x:c>
      <x:c r="B605" s="13" t="n">
        <x:v>42</x:v>
      </x:c>
      <x:c r="C605" s="22" t="b">
        <x:v>0</x:v>
      </x:c>
      <x:c r="D605" s="11" t="n">
        <x:v>0.12941367488676503</x:v>
      </x:c>
      <x:c r="E605" s="11" t="n">
        <x:v>0.10774429851027445</x:v>
      </x:c>
      <x:c r="F605" s="11" t="n">
        <x:v>0.11356617488929444</x:v>
      </x:c>
      <x:c r="G605" s="11" t="n">
        <x:v>0.02166937637649058</x:v>
      </x:c>
      <x:c r="H605" s="11" t="n">
        <x:v>0.015847499997470593</x:v>
      </x:c>
      <x:c r="I605" s="11" t="n">
        <x:v>0.7</x:v>
      </x:c>
      <x:c r="J605" s="13" t="n">
        <x:v>20</x:v>
      </x:c>
      <x:c r="K605" s="22" t="b">
        <x:v>0</x:v>
      </x:c>
      <x:c r="L605" s="13" t="n">
        <x:v>121</x:v>
      </x:c>
      <x:c r="M605" s="13" t="n">
        <x:v>41</x:v>
      </x:c>
    </x:row>
    <x:row r="606" ht="22" customHeight="1">
      <x:c r="A606" s="17" t="str">
        <x:f>"07014500"</x:f>
        <x:v>07014500</x:v>
      </x:c>
      <x:c r="B606" s="13" t="n">
        <x:v>42</x:v>
      </x:c>
      <x:c r="C606" s="22" t="b">
        <x:v>1</x:v>
      </x:c>
      <x:c r="D606" s="11" t="n">
        <x:v>0.7714128708681381</x:v>
      </x:c>
      <x:c r="E606" s="11" t="n">
        <x:v>0.6785502330073911</x:v>
      </x:c>
      <x:c r="F606" s="11" t="n">
        <x:v>0.4778987093296123</x:v>
      </x:c>
      <x:c r="G606" s="11" t="n">
        <x:v>0.092862637860747</x:v>
      </x:c>
      <x:c r="H606" s="11" t="n">
        <x:v>0.29351416153852583</x:v>
      </x:c>
      <x:c r="I606" s="11" t="n">
        <x:v>0.7368421052631579</x:v>
      </x:c>
      <x:c r="J606" s="13" t="n">
        <x:v>19</x:v>
      </x:c>
      <x:c r="K606" s="22" t="b">
        <x:v>0</x:v>
      </x:c>
      <x:c r="L606" s="13" t="n">
        <x:v>92</x:v>
      </x:c>
      <x:c r="M606" s="13" t="n">
        <x:v>30</x:v>
      </x:c>
    </x:row>
    <x:row r="607" ht="22" customHeight="1">
      <x:c r="A607" s="17" t="str">
        <x:f>"07014500"</x:f>
        <x:v>07014500</x:v>
      </x:c>
      <x:c r="B607" s="13" t="n">
        <x:v>42</x:v>
      </x:c>
      <x:c r="C607" s="22" t="b">
        <x:v>0</x:v>
      </x:c>
      <x:c r="D607" s="11" t="n">
        <x:v>0.6670923682527864</x:v>
      </x:c>
      <x:c r="E607" s="11" t="n">
        <x:v>0.47153890294427125</x:v>
      </x:c>
      <x:c r="F607" s="11" t="n">
        <x:v>-0.31468065900187137</x:v>
      </x:c>
      <x:c r="G607" s="11" t="n">
        <x:v>0.19555346530851514</x:v>
      </x:c>
      <x:c r="H607" s="11" t="n">
        <x:v>0.9817730272546578</x:v>
      </x:c>
      <x:c r="I607" s="11" t="n">
        <x:v>1</x:v>
      </x:c>
      <x:c r="J607" s="13" t="n">
        <x:v>20</x:v>
      </x:c>
      <x:c r="K607" s="22" t="b">
        <x:v>0</x:v>
      </x:c>
      <x:c r="L607" s="13" t="n">
        <x:v>112</x:v>
      </x:c>
      <x:c r="M607" s="13" t="n">
        <x:v>37</x:v>
      </x:c>
    </x:row>
    <x:row r="608" ht="22" customHeight="1">
      <x:c r="A608" s="17" t="str">
        <x:f>"07056000"</x:f>
        <x:v>07056000</x:v>
      </x:c>
      <x:c r="B608" s="13" t="n">
        <x:v>42</x:v>
      </x:c>
      <x:c r="C608" s="22" t="b">
        <x:v>1</x:v>
      </x:c>
      <x:c r="D608" s="11" t="n">
        <x:v>0.5628613996371568</x:v>
      </x:c>
      <x:c r="E608" s="11" t="n">
        <x:v>0.44412699013085843</x:v>
      </x:c>
      <x:c r="F608" s="11" t="n">
        <x:v>0.476997225614491</x:v>
      </x:c>
      <x:c r="G608" s="11" t="n">
        <x:v>0.11873440950629832</x:v>
      </x:c>
      <x:c r="H608" s="11" t="n">
        <x:v>0.08586417402266577</x:v>
      </x:c>
      <x:c r="I608" s="11" t="n">
        <x:v>0.8235294117647058</x:v>
      </x:c>
      <x:c r="J608" s="13" t="n">
        <x:v>17</x:v>
      </x:c>
      <x:c r="K608" s="22" t="b">
        <x:v>0</x:v>
      </x:c>
      <x:c r="L608" s="13" t="n">
        <x:v>89</x:v>
      </x:c>
      <x:c r="M608" s="13" t="n">
        <x:v>28</x:v>
      </x:c>
    </x:row>
    <x:row r="609" ht="22" customHeight="1">
      <x:c r="A609" s="17" t="str">
        <x:f>"07056000"</x:f>
        <x:v>07056000</x:v>
      </x:c>
      <x:c r="B609" s="13" t="n">
        <x:v>42</x:v>
      </x:c>
      <x:c r="C609" s="22" t="b">
        <x:v>0</x:v>
      </x:c>
      <x:c r="D609" s="11" t="n">
        <x:v>0.5948918226945445</x:v>
      </x:c>
      <x:c r="E609" s="11" t="n">
        <x:v>0.48441613613640344</x:v>
      </x:c>
      <x:c r="F609" s="11" t="n">
        <x:v>0.43370670798789757</x:v>
      </x:c>
      <x:c r="G609" s="11" t="n">
        <x:v>0.1104756865581411</x:v>
      </x:c>
      <x:c r="H609" s="11" t="n">
        <x:v>0.16118511470664698</x:v>
      </x:c>
      <x:c r="I609" s="11" t="n">
        <x:v>0.1</x:v>
      </x:c>
      <x:c r="J609" s="13" t="n">
        <x:v>20</x:v>
      </x:c>
      <x:c r="K609" s="22" t="b">
        <x:v>0</x:v>
      </x:c>
      <x:c r="L609" s="13" t="n">
        <x:v>110</x:v>
      </x:c>
      <x:c r="M609" s="13" t="n">
        <x:v>39</x:v>
      </x:c>
    </x:row>
    <x:row r="610" ht="22" customHeight="1">
      <x:c r="A610" s="17" t="str">
        <x:f>"07057500"</x:f>
        <x:v>07057500</x:v>
      </x:c>
      <x:c r="B610" s="13" t="n">
        <x:v>42</x:v>
      </x:c>
      <x:c r="C610" s="22" t="b">
        <x:v>1</x:v>
      </x:c>
      <x:c r="D610" s="11" t="n">
        <x:v>0.49282443495416683</x:v>
      </x:c>
      <x:c r="E610" s="11" t="n">
        <x:v>0.46493111502287987</x:v>
      </x:c>
      <x:c r="F610" s="11" t="n">
        <x:v>0.44433738439289594</x:v>
      </x:c>
      <x:c r="G610" s="11" t="n">
        <x:v>0.027893319931286964</x:v>
      </x:c>
      <x:c r="H610" s="11" t="n">
        <x:v>0.048487050561270895</x:v>
      </x:c>
      <x:c r="I610" s="11" t="n">
        <x:v>0.7</x:v>
      </x:c>
      <x:c r="J610" s="13" t="n">
        <x:v>20</x:v>
      </x:c>
      <x:c r="K610" s="22" t="b">
        <x:v>0</x:v>
      </x:c>
      <x:c r="L610" s="13" t="n">
        <x:v>102</x:v>
      </x:c>
      <x:c r="M610" s="13" t="n">
        <x:v>33</x:v>
      </x:c>
    </x:row>
    <x:row r="611" ht="22" customHeight="1">
      <x:c r="A611" s="17" t="str">
        <x:f>"07057500"</x:f>
        <x:v>07057500</x:v>
      </x:c>
      <x:c r="B611" s="13" t="n">
        <x:v>42</x:v>
      </x:c>
      <x:c r="C611" s="22" t="b">
        <x:v>0</x:v>
      </x:c>
      <x:c r="D611" s="11" t="n">
        <x:v>0.37936473033826323</x:v>
      </x:c>
      <x:c r="E611" s="11" t="n">
        <x:v>0.3146036922808332</x:v>
      </x:c>
      <x:c r="F611" s="11" t="n">
        <x:v>0.2664176718032658</x:v>
      </x:c>
      <x:c r="G611" s="11" t="n">
        <x:v>0.06476103805743005</x:v>
      </x:c>
      <x:c r="H611" s="11" t="n">
        <x:v>0.11294705853499742</x:v>
      </x:c>
      <x:c r="I611" s="11" t="n">
        <x:v>0.4</x:v>
      </x:c>
      <x:c r="J611" s="13" t="n">
        <x:v>20</x:v>
      </x:c>
      <x:c r="K611" s="22" t="b">
        <x:v>0</x:v>
      </x:c>
      <x:c r="L611" s="13" t="n">
        <x:v>124</x:v>
      </x:c>
      <x:c r="M611" s="13" t="n">
        <x:v>43</x:v>
      </x:c>
    </x:row>
    <x:row r="612" ht="22" customHeight="1">
      <x:c r="A612" s="17" t="str">
        <x:f>"07060710"</x:f>
        <x:v>07060710</x:v>
      </x:c>
      <x:c r="B612" s="13" t="n">
        <x:v>42</x:v>
      </x:c>
      <x:c r="C612" s="22" t="b">
        <x:v>1</x:v>
      </x:c>
      <x:c r="D612" s="11" t="n">
        <x:v>0.14618358306491985</x:v>
      </x:c>
      <x:c r="E612" s="11" t="n">
        <x:v>0.07958189215175648</x:v>
      </x:c>
      <x:c r="F612" s="11" t="n">
        <x:v>0.15465516946198887</x:v>
      </x:c>
      <x:c r="G612" s="11" t="n">
        <x:v>0.06660169091316337</x:v>
      </x:c>
      <x:c r="H612" s="11" t="n">
        <x:v>-0.00847158639706902</x:v>
      </x:c>
      <x:c r="I612" s="11" t="n">
        <x:v>0</x:v>
      </x:c>
      <x:c r="J612" s="13" t="n">
        <x:v>17</x:v>
      </x:c>
      <x:c r="K612" s="22" t="b">
        <x:v>0</x:v>
      </x:c>
      <x:c r="L612" s="13" t="n">
        <x:v>75</x:v>
      </x:c>
      <x:c r="M612" s="13" t="n">
        <x:v>25</x:v>
      </x:c>
    </x:row>
    <x:row r="613" ht="22" customHeight="1">
      <x:c r="A613" s="17" t="str">
        <x:f>"07060710"</x:f>
        <x:v>07060710</x:v>
      </x:c>
      <x:c r="B613" s="13" t="n">
        <x:v>42</x:v>
      </x:c>
      <x:c r="C613" s="22" t="b">
        <x:v>0</x:v>
      </x:c>
      <x:c r="D613" s="11" t="n">
        <x:v>0.11301326363533071</x:v>
      </x:c>
      <x:c r="E613" s="11" t="n">
        <x:v>0.10954672501810159</x:v>
      </x:c>
      <x:c r="F613" s="11" t="n">
        <x:v>0.07515559131536942</x:v>
      </x:c>
      <x:c r="G613" s="11" t="n">
        <x:v>0.00346653861722912</x:v>
      </x:c>
      <x:c r="H613" s="11" t="n">
        <x:v>0.03785767231996129</x:v>
      </x:c>
      <x:c r="I613" s="11" t="n">
        <x:v>0.9444444444444444</x:v>
      </x:c>
      <x:c r="J613" s="13" t="n">
        <x:v>18</x:v>
      </x:c>
      <x:c r="K613" s="22" t="b">
        <x:v>1</x:v>
      </x:c>
      <x:c r="L613" s="13" t="n">
        <x:v>111</x:v>
      </x:c>
      <x:c r="M613" s="13" t="n">
        <x:v>37</x:v>
      </x:c>
    </x:row>
    <x:row r="614" ht="22" customHeight="1">
      <x:c r="A614" s="17" t="str">
        <x:f>"07066000"</x:f>
        <x:v>07066000</x:v>
      </x:c>
      <x:c r="B614" s="13" t="n">
        <x:v>42</x:v>
      </x:c>
      <x:c r="C614" s="22" t="b">
        <x:v>1</x:v>
      </x:c>
      <x:c r="D614" s="11" t="n">
        <x:v>0.5313325265082081</x:v>
      </x:c>
      <x:c r="E614" s="11" t="n">
        <x:v>0.5454298050471591</x:v>
      </x:c>
      <x:c r="F614" s="11" t="n">
        <x:v>0.48352931966614676</x:v>
      </x:c>
      <x:c r="G614" s="11" t="n">
        <x:v>-0.014097278538951041</x:v>
      </x:c>
      <x:c r="H614" s="11" t="n">
        <x:v>0.0478032068420613</x:v>
      </x:c>
      <x:c r="I614" s="11" t="n">
        <x:v>0</x:v>
      </x:c>
      <x:c r="J614" s="13" t="n">
        <x:v>12</x:v>
      </x:c>
      <x:c r="K614" s="22" t="b">
        <x:v>0</x:v>
      </x:c>
      <x:c r="L614" s="13" t="n">
        <x:v>89</x:v>
      </x:c>
      <x:c r="M614" s="13" t="n">
        <x:v>28</x:v>
      </x:c>
    </x:row>
    <x:row r="615" ht="22" customHeight="1">
      <x:c r="A615" s="17" t="str">
        <x:f>"07066000"</x:f>
        <x:v>07066000</x:v>
      </x:c>
      <x:c r="B615" s="13" t="n">
        <x:v>42</x:v>
      </x:c>
      <x:c r="C615" s="22" t="b">
        <x:v>0</x:v>
      </x:c>
      <x:c r="D615" s="11" t="n">
        <x:v>0.4513570000226317</x:v>
      </x:c>
      <x:c r="E615" s="11" t="n">
        <x:v>0.46125202395496834</x:v>
      </x:c>
      <x:c r="F615" s="11" t="n">
        <x:v>-0.43530033290449843</x:v>
      </x:c>
      <x:c r="G615" s="11" t="n">
        <x:v>-0.009895023932336655</x:v>
      </x:c>
      <x:c r="H615" s="11" t="n">
        <x:v>0.8866573329271301</x:v>
      </x:c>
      <x:c r="I615" s="11" t="n">
        <x:v>0.15</x:v>
      </x:c>
      <x:c r="J615" s="13" t="n">
        <x:v>20</x:v>
      </x:c>
      <x:c r="K615" s="22" t="b">
        <x:v>0</x:v>
      </x:c>
      <x:c r="L615" s="13" t="n">
        <x:v>114</x:v>
      </x:c>
      <x:c r="M615" s="13" t="n">
        <x:v>37</x:v>
      </x:c>
    </x:row>
    <x:row r="616" ht="22" customHeight="1">
      <x:c r="A616" s="17" t="str">
        <x:f>"07067000"</x:f>
        <x:v>07067000</x:v>
      </x:c>
      <x:c r="B616" s="13" t="n">
        <x:v>42</x:v>
      </x:c>
      <x:c r="C616" s="22" t="b">
        <x:v>1</x:v>
      </x:c>
      <x:c r="D616" s="11" t="n">
        <x:v>0.7719055074416225</x:v>
      </x:c>
      <x:c r="E616" s="11" t="n">
        <x:v>0.7719689996289272</x:v>
      </x:c>
      <x:c r="F616" s="11" t="n">
        <x:v>0.6476267877253874</x:v>
      </x:c>
      <x:c r="G616" s="11" t="n">
        <x:v>-0.00006349218730472561</x:v>
      </x:c>
      <x:c r="H616" s="11" t="n">
        <x:v>0.12427871971623505</x:v>
      </x:c>
      <x:c r="I616" s="11" t="n">
        <x:v>0.6842105263157895</x:v>
      </x:c>
      <x:c r="J616" s="13" t="n">
        <x:v>19</x:v>
      </x:c>
      <x:c r="K616" s="22" t="b">
        <x:v>0</x:v>
      </x:c>
      <x:c r="L616" s="13" t="n">
        <x:v>88</x:v>
      </x:c>
      <x:c r="M616" s="13" t="n">
        <x:v>28</x:v>
      </x:c>
    </x:row>
    <x:row r="617" ht="22" customHeight="1">
      <x:c r="A617" s="17" t="str">
        <x:f>"07067000"</x:f>
        <x:v>07067000</x:v>
      </x:c>
      <x:c r="B617" s="13" t="n">
        <x:v>42</x:v>
      </x:c>
      <x:c r="C617" s="22" t="b">
        <x:v>0</x:v>
      </x:c>
      <x:c r="D617" s="11" t="n">
        <x:v>0.5725688177025132</x:v>
      </x:c>
      <x:c r="E617" s="11" t="n">
        <x:v>0.5406124312335987</x:v>
      </x:c>
      <x:c r="F617" s="11" t="n">
        <x:v>0.029135592936360144</x:v>
      </x:c>
      <x:c r="G617" s="11" t="n">
        <x:v>0.03195638646891452</x:v>
      </x:c>
      <x:c r="H617" s="11" t="n">
        <x:v>0.5434332247661531</x:v>
      </x:c>
      <x:c r="I617" s="11" t="n">
        <x:v>1</x:v>
      </x:c>
      <x:c r="J617" s="13" t="n">
        <x:v>19</x:v>
      </x:c>
      <x:c r="K617" s="22" t="b">
        <x:v>1</x:v>
      </x:c>
      <x:c r="L617" s="13" t="n">
        <x:v>112</x:v>
      </x:c>
      <x:c r="M617" s="13" t="n">
        <x:v>37</x:v>
      </x:c>
    </x:row>
    <x:row r="618" ht="22" customHeight="1">
      <x:c r="A618" s="17" t="str">
        <x:f>"07068000"</x:f>
        <x:v>07068000</x:v>
      </x:c>
      <x:c r="B618" s="13" t="n">
        <x:v>42</x:v>
      </x:c>
      <x:c r="C618" s="22" t="b">
        <x:v>1</x:v>
      </x:c>
      <x:c r="D618" s="11" t="n">
        <x:v>0.8430958750088774</x:v>
      </x:c>
      <x:c r="E618" s="11" t="n">
        <x:v>0.8358626739856833</x:v>
      </x:c>
      <x:c r="F618" s="11" t="n">
        <x:v>0.36486370646529676</x:v>
      </x:c>
      <x:c r="G618" s="11" t="n">
        <x:v>0.007233201023194136</x:v>
      </x:c>
      <x:c r="H618" s="11" t="n">
        <x:v>0.47823216854358064</x:v>
      </x:c>
      <x:c r="I618" s="11" t="n">
        <x:v>1</x:v>
      </x:c>
      <x:c r="J618" s="13" t="n">
        <x:v>7</x:v>
      </x:c>
      <x:c r="K618" s="22" t="b">
        <x:v>1</x:v>
      </x:c>
      <x:c r="L618" s="13" t="n">
        <x:v>73</x:v>
      </x:c>
      <x:c r="M618" s="13" t="n">
        <x:v>24</x:v>
      </x:c>
    </x:row>
    <x:row r="619" ht="22" customHeight="1">
      <x:c r="A619" s="17" t="str">
        <x:f>"07068000"</x:f>
        <x:v>07068000</x:v>
      </x:c>
      <x:c r="B619" s="13" t="n">
        <x:v>42</x:v>
      </x:c>
      <x:c r="C619" s="22" t="b">
        <x:v>0</x:v>
      </x:c>
      <x:c r="D619" s="11" t="n">
        <x:v>0.7788188244355546</x:v>
      </x:c>
      <x:c r="E619" s="11" t="n">
        <x:v>0.7491821821155891</x:v>
      </x:c>
      <x:c r="F619" s="11" t="n">
        <x:v>-1.6844863476124101</x:v>
      </x:c>
      <x:c r="G619" s="11" t="n">
        <x:v>0.029636642319965545</x:v>
      </x:c>
      <x:c r="H619" s="11" t="n">
        <x:v>2.463305172047965</x:v>
      </x:c>
      <x:c r="I619" s="11" t="n">
        <x:v>1</x:v>
      </x:c>
      <x:c r="J619" s="13" t="n">
        <x:v>11</x:v>
      </x:c>
      <x:c r="K619" s="22" t="b">
        <x:v>1</x:v>
      </x:c>
      <x:c r="L619" s="13" t="n">
        <x:v>101</x:v>
      </x:c>
      <x:c r="M619" s="13" t="n">
        <x:v>34</x:v>
      </x:c>
    </x:row>
    <x:row r="620" ht="22" customHeight="1">
      <x:c r="A620" s="17" t="str">
        <x:f>"07071500"</x:f>
        <x:v>07071500</x:v>
      </x:c>
      <x:c r="B620" s="13" t="n">
        <x:v>42</x:v>
      </x:c>
      <x:c r="C620" s="22" t="b">
        <x:v>1</x:v>
      </x:c>
      <x:c r="D620" s="11" t="n">
        <x:v>0.5122387105649036</x:v>
      </x:c>
      <x:c r="E620" s="11" t="n">
        <x:v>0.5253376936535081</x:v>
      </x:c>
      <x:c r="F620" s="11" t="n">
        <x:v>0.45065302318687894</x:v>
      </x:c>
      <x:c r="G620" s="11" t="n">
        <x:v>-0.013098983088604577</x:v>
      </x:c>
      <x:c r="H620" s="11" t="n">
        <x:v>0.06158568737802461</x:v>
      </x:c>
      <x:c r="I620" s="11"/>
      <x:c r="J620" s="13" t="n">
        <x:v>0</x:v>
      </x:c>
      <x:c r="K620" s="22" t="b">
        <x:v>0</x:v>
      </x:c>
      <x:c r="L620" s="13" t="n">
        <x:v>61</x:v>
      </x:c>
      <x:c r="M620" s="13" t="n">
        <x:v>20</x:v>
      </x:c>
    </x:row>
    <x:row r="621" ht="22" customHeight="1">
      <x:c r="A621" s="17" t="str">
        <x:f>"07071500"</x:f>
        <x:v>07071500</x:v>
      </x:c>
      <x:c r="B621" s="13" t="n">
        <x:v>42</x:v>
      </x:c>
      <x:c r="C621" s="22" t="b">
        <x:v>0</x:v>
      </x:c>
      <x:c r="D621" s="11" t="n">
        <x:v>0.4419602061499389</x:v>
      </x:c>
      <x:c r="E621" s="11" t="n">
        <x:v>0.45527377133735314</x:v>
      </x:c>
      <x:c r="F621" s="11" t="n">
        <x:v>-0.1385390080309854</x:v>
      </x:c>
      <x:c r="G621" s="11" t="n">
        <x:v>-0.013313565187414222</x:v>
      </x:c>
      <x:c r="H621" s="11" t="n">
        <x:v>0.5804992141809243</x:v>
      </x:c>
      <x:c r="I621" s="11" t="n">
        <x:v>0</x:v>
      </x:c>
      <x:c r="J621" s="13" t="n">
        <x:v>20</x:v>
      </x:c>
      <x:c r="K621" s="22" t="b">
        <x:v>0</x:v>
      </x:c>
      <x:c r="L621" s="13" t="n">
        <x:v>128</x:v>
      </x:c>
      <x:c r="M621" s="13" t="n">
        <x:v>45</x:v>
      </x:c>
    </x:row>
    <x:row r="622" ht="22" customHeight="1">
      <x:c r="A622" s="17" t="str">
        <x:f>"07083000"</x:f>
        <x:v>07083000</x:v>
      </x:c>
      <x:c r="B622" s="13" t="n">
        <x:v>42</x:v>
      </x:c>
      <x:c r="C622" s="22" t="b">
        <x:v>1</x:v>
      </x:c>
      <x:c r="D622" s="11" t="n">
        <x:v>0.9848214994617803</x:v>
      </x:c>
      <x:c r="E622" s="11" t="n">
        <x:v>0.9752438024179514</x:v>
      </x:c>
      <x:c r="F622" s="11" t="n">
        <x:v>0.8808359902848981</x:v>
      </x:c>
      <x:c r="G622" s="11" t="n">
        <x:v>0.009577697043828937</x:v>
      </x:c>
      <x:c r="H622" s="11" t="n">
        <x:v>0.10398550917688221</x:v>
      </x:c>
      <x:c r="I622" s="11"/>
      <x:c r="J622" s="13" t="n">
        <x:v>0</x:v>
      </x:c>
      <x:c r="K622" s="22" t="b">
        <x:v>0</x:v>
      </x:c>
      <x:c r="L622" s="13" t="n">
        <x:v>54</x:v>
      </x:c>
      <x:c r="M622" s="13" t="n">
        <x:v>18</x:v>
      </x:c>
    </x:row>
    <x:row r="623" ht="22" customHeight="1">
      <x:c r="A623" s="17" t="str">
        <x:f>"07083000"</x:f>
        <x:v>07083000</x:v>
      </x:c>
      <x:c r="B623" s="13" t="n">
        <x:v>42</x:v>
      </x:c>
      <x:c r="C623" s="22" t="b">
        <x:v>0</x:v>
      </x:c>
      <x:c r="D623" s="11" t="n">
        <x:v>0.7881838373203669</x:v>
      </x:c>
      <x:c r="E623" s="11" t="n">
        <x:v>0.6999621725270359</x:v>
      </x:c>
      <x:c r="F623" s="11" t="n">
        <x:v>-0.01775220177100989</x:v>
      </x:c>
      <x:c r="G623" s="11" t="n">
        <x:v>0.08822166479333104</x:v>
      </x:c>
      <x:c r="H623" s="11" t="n">
        <x:v>0.8059360390913768</x:v>
      </x:c>
      <x:c r="I623" s="11" t="n">
        <x:v>1</x:v>
      </x:c>
      <x:c r="J623" s="13" t="n">
        <x:v>20</x:v>
      </x:c>
      <x:c r="K623" s="22" t="b">
        <x:v>0</x:v>
      </x:c>
      <x:c r="L623" s="13" t="n">
        <x:v>113</x:v>
      </x:c>
      <x:c r="M623" s="13" t="n">
        <x:v>37</x:v>
      </x:c>
    </x:row>
    <x:row r="624" ht="22" customHeight="1">
      <x:c r="A624" s="17" t="str">
        <x:f>"07142300"</x:f>
        <x:v>07142300</x:v>
      </x:c>
      <x:c r="B624" s="13" t="n">
        <x:v>42</x:v>
      </x:c>
      <x:c r="C624" s="22" t="b">
        <x:v>1</x:v>
      </x:c>
      <x:c r="D624" s="11" t="n">
        <x:v>0.5978813896384003</x:v>
      </x:c>
      <x:c r="E624" s="11" t="n">
        <x:v>0.5848186912790729</x:v>
      </x:c>
      <x:c r="F624" s="11" t="n">
        <x:v>-0.10913627687168792</x:v>
      </x:c>
      <x:c r="G624" s="11" t="n">
        <x:v>0.013062698359327385</x:v>
      </x:c>
      <x:c r="H624" s="11" t="n">
        <x:v>0.7070176665100882</x:v>
      </x:c>
      <x:c r="I624" s="11" t="n">
        <x:v>0</x:v>
      </x:c>
      <x:c r="J624" s="13" t="n">
        <x:v>12</x:v>
      </x:c>
      <x:c r="K624" s="22" t="b">
        <x:v>0</x:v>
      </x:c>
      <x:c r="L624" s="13" t="n">
        <x:v>69</x:v>
      </x:c>
      <x:c r="M624" s="13" t="n">
        <x:v>23</x:v>
      </x:c>
    </x:row>
    <x:row r="625" ht="22" customHeight="1">
      <x:c r="A625" s="17" t="str">
        <x:f>"07142300"</x:f>
        <x:v>07142300</x:v>
      </x:c>
      <x:c r="B625" s="13" t="n">
        <x:v>42</x:v>
      </x:c>
      <x:c r="C625" s="22" t="b">
        <x:v>0</x:v>
      </x:c>
      <x:c r="D625" s="11" t="n">
        <x:v>-0.43088415770991295</x:v>
      </x:c>
      <x:c r="E625" s="11" t="n">
        <x:v>-0.46827790913927525</x:v>
      </x:c>
      <x:c r="F625" s="11" t="n">
        <x:v>-4.350089993405983</x:v>
      </x:c>
      <x:c r="G625" s="11" t="n">
        <x:v>0.0373937514293623</x:v>
      </x:c>
      <x:c r="H625" s="11" t="n">
        <x:v>3.91920583569607</x:v>
      </x:c>
      <x:c r="I625" s="11" t="n">
        <x:v>0.9444444444444444</x:v>
      </x:c>
      <x:c r="J625" s="13" t="n">
        <x:v>18</x:v>
      </x:c>
      <x:c r="K625" s="22" t="b">
        <x:v>1</x:v>
      </x:c>
      <x:c r="L625" s="13" t="n">
        <x:v>70</x:v>
      </x:c>
      <x:c r="M625" s="13" t="n">
        <x:v>24</x:v>
      </x:c>
    </x:row>
    <x:row r="626" ht="22" customHeight="1">
      <x:c r="A626" s="17" t="str">
        <x:f>"07145700"</x:f>
        <x:v>07145700</x:v>
      </x:c>
      <x:c r="B626" s="13" t="n">
        <x:v>42</x:v>
      </x:c>
      <x:c r="C626" s="22" t="b">
        <x:v>1</x:v>
      </x:c>
      <x:c r="D626" s="11" t="n">
        <x:v>0.3969178691853047</x:v>
      </x:c>
      <x:c r="E626" s="11" t="n">
        <x:v>0.06761785114995733</x:v>
      </x:c>
      <x:c r="F626" s="11" t="n">
        <x:v>-0.35361492814100304</x:v>
      </x:c>
      <x:c r="G626" s="11" t="n">
        <x:v>0.32930001803534736</x:v>
      </x:c>
      <x:c r="H626" s="11" t="n">
        <x:v>0.7505327973263077</x:v>
      </x:c>
      <x:c r="I626" s="11" t="n">
        <x:v>0.8823529411764706</x:v>
      </x:c>
      <x:c r="J626" s="13" t="n">
        <x:v>17</x:v>
      </x:c>
      <x:c r="K626" s="22" t="b">
        <x:v>0</x:v>
      </x:c>
      <x:c r="L626" s="13" t="n">
        <x:v>108</x:v>
      </x:c>
      <x:c r="M626" s="13" t="n">
        <x:v>37</x:v>
      </x:c>
    </x:row>
    <x:row r="627" ht="22" customHeight="1">
      <x:c r="A627" s="17" t="str">
        <x:f>"07145700"</x:f>
        <x:v>07145700</x:v>
      </x:c>
      <x:c r="B627" s="13" t="n">
        <x:v>42</x:v>
      </x:c>
      <x:c r="C627" s="22" t="b">
        <x:v>0</x:v>
      </x:c>
      <x:c r="D627" s="11" t="n">
        <x:v>-0.2236664350885753</x:v>
      </x:c>
      <x:c r="E627" s="11" t="n">
        <x:v>-0.9711136902781257</x:v>
      </x:c>
      <x:c r="F627" s="11" t="n">
        <x:v>-3.8660923903451474</x:v>
      </x:c>
      <x:c r="G627" s="11" t="n">
        <x:v>0.7474472551895504</x:v>
      </x:c>
      <x:c r="H627" s="11" t="n">
        <x:v>3.642425955256572</x:v>
      </x:c>
      <x:c r="I627" s="11" t="n">
        <x:v>1</x:v>
      </x:c>
      <x:c r="J627" s="13" t="n">
        <x:v>20</x:v>
      </x:c>
      <x:c r="K627" s="22" t="b">
        <x:v>0</x:v>
      </x:c>
      <x:c r="L627" s="13" t="n">
        <x:v>72</x:v>
      </x:c>
      <x:c r="M627" s="13" t="n">
        <x:v>25</x:v>
      </x:c>
    </x:row>
    <x:row r="628" ht="22" customHeight="1">
      <x:c r="A628" s="17" t="str">
        <x:f>"07148400"</x:f>
        <x:v>07148400</x:v>
      </x:c>
      <x:c r="B628" s="13" t="n">
        <x:v>42</x:v>
      </x:c>
      <x:c r="C628" s="22" t="b">
        <x:v>1</x:v>
      </x:c>
      <x:c r="D628" s="11" t="n">
        <x:v>0.29520978031110146</x:v>
      </x:c>
      <x:c r="E628" s="11" t="n">
        <x:v>0.11993987496634406</x:v>
      </x:c>
      <x:c r="F628" s="11" t="n">
        <x:v>-0.31633224904442736</x:v>
      </x:c>
      <x:c r="G628" s="11" t="n">
        <x:v>0.1752699053447574</x:v>
      </x:c>
      <x:c r="H628" s="11" t="n">
        <x:v>0.6115420293555288</x:v>
      </x:c>
      <x:c r="I628" s="11" t="n">
        <x:v>0</x:v>
      </x:c>
      <x:c r="J628" s="13" t="n">
        <x:v>8</x:v>
      </x:c>
      <x:c r="K628" s="22" t="b">
        <x:v>0</x:v>
      </x:c>
      <x:c r="L628" s="13" t="n">
        <x:v>83</x:v>
      </x:c>
      <x:c r="M628" s="13" t="n">
        <x:v>27</x:v>
      </x:c>
    </x:row>
    <x:row r="629" ht="22" customHeight="1">
      <x:c r="A629" s="17" t="str">
        <x:f>"07148400"</x:f>
        <x:v>07148400</x:v>
      </x:c>
      <x:c r="B629" s="13" t="n">
        <x:v>42</x:v>
      </x:c>
      <x:c r="C629" s="22" t="b">
        <x:v>0</x:v>
      </x:c>
      <x:c r="D629" s="11" t="n">
        <x:v>-0.4544069189347981</x:v>
      </x:c>
      <x:c r="E629" s="11" t="n">
        <x:v>-0.3621928438733677</x:v>
      </x:c>
      <x:c r="F629" s="11" t="n">
        <x:v>-5.944271237991761</x:v>
      </x:c>
      <x:c r="G629" s="11" t="n">
        <x:v>-0.09221407506143042</x:v>
      </x:c>
      <x:c r="H629" s="11" t="n">
        <x:v>5.489864319056963</x:v>
      </x:c>
      <x:c r="I629" s="11" t="n">
        <x:v>1</x:v>
      </x:c>
      <x:c r="J629" s="13" t="n">
        <x:v>20</x:v>
      </x:c>
      <x:c r="K629" s="22" t="b">
        <x:v>1</x:v>
      </x:c>
      <x:c r="L629" s="13" t="n">
        <x:v>143</x:v>
      </x:c>
      <x:c r="M629" s="13" t="n">
        <x:v>54</x:v>
      </x:c>
    </x:row>
    <x:row r="630" ht="22" customHeight="1">
      <x:c r="A630" s="17" t="str">
        <x:f>"07149000"</x:f>
        <x:v>07149000</x:v>
      </x:c>
      <x:c r="B630" s="13" t="n">
        <x:v>42</x:v>
      </x:c>
      <x:c r="C630" s="22" t="b">
        <x:v>1</x:v>
      </x:c>
      <x:c r="D630" s="11" t="n">
        <x:v>0.7403940657225156</x:v>
      </x:c>
      <x:c r="E630" s="11" t="n">
        <x:v>0.3332911592556531</x:v>
      </x:c>
      <x:c r="F630" s="11" t="n">
        <x:v>-0.183835356820381</x:v>
      </x:c>
      <x:c r="G630" s="11" t="n">
        <x:v>0.40710290646686254</x:v>
      </x:c>
      <x:c r="H630" s="11" t="n">
        <x:v>0.9242294225428966</x:v>
      </x:c>
      <x:c r="I630" s="11" t="n">
        <x:v>1</x:v>
      </x:c>
      <x:c r="J630" s="13" t="n">
        <x:v>10</x:v>
      </x:c>
      <x:c r="K630" s="22" t="b">
        <x:v>0</x:v>
      </x:c>
      <x:c r="L630" s="13" t="n">
        <x:v>85</x:v>
      </x:c>
      <x:c r="M630" s="13" t="n">
        <x:v>31</x:v>
      </x:c>
    </x:row>
    <x:row r="631" ht="22" customHeight="1">
      <x:c r="A631" s="17" t="str">
        <x:f>"07149000"</x:f>
        <x:v>07149000</x:v>
      </x:c>
      <x:c r="B631" s="13" t="n">
        <x:v>42</x:v>
      </x:c>
      <x:c r="C631" s="22" t="b">
        <x:v>0</x:v>
      </x:c>
      <x:c r="D631" s="11" t="n">
        <x:v>-1.3326076506471431</x:v>
      </x:c>
      <x:c r="E631" s="11" t="n">
        <x:v>-1.1253152631454668</x:v>
      </x:c>
      <x:c r="F631" s="11" t="n">
        <x:v>-4.553199482161668</x:v>
      </x:c>
      <x:c r="G631" s="11" t="n">
        <x:v>-0.20729238750167633</x:v>
      </x:c>
      <x:c r="H631" s="11" t="n">
        <x:v>3.220591831514525</x:v>
      </x:c>
      <x:c r="I631" s="11" t="n">
        <x:v>0.3888888888888889</x:v>
      </x:c>
      <x:c r="J631" s="13" t="n">
        <x:v>18</x:v>
      </x:c>
      <x:c r="K631" s="22" t="b">
        <x:v>0</x:v>
      </x:c>
      <x:c r="L631" s="13" t="n">
        <x:v>130</x:v>
      </x:c>
      <x:c r="M631" s="13" t="n">
        <x:v>45</x:v>
      </x:c>
    </x:row>
    <x:row r="632" ht="22" customHeight="1">
      <x:c r="A632" s="17" t="str">
        <x:f>"07151500"</x:f>
        <x:v>07151500</x:v>
      </x:c>
      <x:c r="B632" s="13" t="n">
        <x:v>42</x:v>
      </x:c>
      <x:c r="C632" s="22" t="b">
        <x:v>1</x:v>
      </x:c>
      <x:c r="D632" s="11" t="n">
        <x:v>0.32576844084107714</x:v>
      </x:c>
      <x:c r="E632" s="11" t="n">
        <x:v>0.042968966521164664</x:v>
      </x:c>
      <x:c r="F632" s="11" t="n">
        <x:v>-0.14123636264638373</x:v>
      </x:c>
      <x:c r="G632" s="11" t="n">
        <x:v>0.2827994743199125</x:v>
      </x:c>
      <x:c r="H632" s="11" t="n">
        <x:v>0.4670048034874609</x:v>
      </x:c>
      <x:c r="I632" s="11" t="n">
        <x:v>0.65</x:v>
      </x:c>
      <x:c r="J632" s="13" t="n">
        <x:v>20</x:v>
      </x:c>
      <x:c r="K632" s="22" t="b">
        <x:v>0</x:v>
      </x:c>
      <x:c r="L632" s="13" t="n">
        <x:v>151</x:v>
      </x:c>
      <x:c r="M632" s="13" t="n">
        <x:v>59</x:v>
      </x:c>
    </x:row>
    <x:row r="633" ht="22" customHeight="1">
      <x:c r="A633" s="17" t="str">
        <x:f>"07151500"</x:f>
        <x:v>07151500</x:v>
      </x:c>
      <x:c r="B633" s="13" t="n">
        <x:v>42</x:v>
      </x:c>
      <x:c r="C633" s="22" t="b">
        <x:v>0</x:v>
      </x:c>
      <x:c r="D633" s="11" t="n">
        <x:v>-0.8960144686752298</x:v>
      </x:c>
      <x:c r="E633" s="11" t="n">
        <x:v>-1.4341557525094304</x:v>
      </x:c>
      <x:c r="F633" s="11" t="n">
        <x:v>-7.832567767381462</x:v>
      </x:c>
      <x:c r="G633" s="11" t="n">
        <x:v>0.5381412838342006</x:v>
      </x:c>
      <x:c r="H633" s="11" t="n">
        <x:v>6.936553298706233</x:v>
      </x:c>
      <x:c r="I633" s="11" t="n">
        <x:v>0</x:v>
      </x:c>
      <x:c r="J633" s="13" t="n">
        <x:v>8</x:v>
      </x:c>
      <x:c r="K633" s="22" t="b">
        <x:v>0</x:v>
      </x:c>
      <x:c r="L633" s="13" t="n">
        <x:v>78</x:v>
      </x:c>
      <x:c r="M633" s="13" t="n">
        <x:v>25</x:v>
      </x:c>
    </x:row>
    <x:row r="634" ht="22" customHeight="1">
      <x:c r="A634" s="17" t="str">
        <x:f>"07167500"</x:f>
        <x:v>07167500</x:v>
      </x:c>
      <x:c r="B634" s="13" t="n">
        <x:v>42</x:v>
      </x:c>
      <x:c r="C634" s="22" t="b">
        <x:v>1</x:v>
      </x:c>
      <x:c r="D634" s="11" t="n">
        <x:v>0.0604673063189517</x:v>
      </x:c>
      <x:c r="E634" s="11" t="n">
        <x:v>-0.9532692630635373</x:v>
      </x:c>
      <x:c r="F634" s="11" t="n">
        <x:v>0.03613007355871767</x:v>
      </x:c>
      <x:c r="G634" s="11" t="n">
        <x:v>1.013736569382489</x:v>
      </x:c>
      <x:c r="H634" s="11" t="n">
        <x:v>0.02433723276023403</x:v>
      </x:c>
      <x:c r="I634" s="11"/>
      <x:c r="J634" s="13" t="n">
        <x:v>0</x:v>
      </x:c>
      <x:c r="K634" s="22" t="b">
        <x:v>0</x:v>
      </x:c>
      <x:c r="L634" s="13" t="n">
        <x:v>73</x:v>
      </x:c>
      <x:c r="M634" s="13" t="n">
        <x:v>24</x:v>
      </x:c>
    </x:row>
    <x:row r="635" ht="22" customHeight="1">
      <x:c r="A635" s="17" t="str">
        <x:f>"07167500"</x:f>
        <x:v>07167500</x:v>
      </x:c>
      <x:c r="B635" s="13" t="n">
        <x:v>42</x:v>
      </x:c>
      <x:c r="C635" s="22" t="b">
        <x:v>0</x:v>
      </x:c>
      <x:c r="D635" s="11" t="n">
        <x:v>-1.4321716888164615</x:v>
      </x:c>
      <x:c r="E635" s="11" t="n">
        <x:v>-2.631241077407635</x:v>
      </x:c>
      <x:c r="F635" s="11" t="n">
        <x:v>-1.0276020134416135</x:v>
      </x:c>
      <x:c r="G635" s="11" t="n">
        <x:v>1.1990693885911736</x:v>
      </x:c>
      <x:c r="H635" s="11" t="n">
        <x:v>-0.404569675374848</x:v>
      </x:c>
      <x:c r="I635" s="11" t="n">
        <x:v>0.55</x:v>
      </x:c>
      <x:c r="J635" s="13" t="n">
        <x:v>20</x:v>
      </x:c>
      <x:c r="K635" s="22" t="b">
        <x:v>0</x:v>
      </x:c>
      <x:c r="L635" s="13" t="n">
        <x:v>57</x:v>
      </x:c>
      <x:c r="M635" s="13" t="n">
        <x:v>19</x:v>
      </x:c>
    </x:row>
    <x:row r="636" ht="22" customHeight="1">
      <x:c r="A636" s="17" t="str">
        <x:f>"07180500"</x:f>
        <x:v>07180500</x:v>
      </x:c>
      <x:c r="B636" s="13" t="n">
        <x:v>42</x:v>
      </x:c>
      <x:c r="C636" s="22" t="b">
        <x:v>1</x:v>
      </x:c>
      <x:c r="D636" s="11" t="n">
        <x:v>0.18672594382058172</x:v>
      </x:c>
      <x:c r="E636" s="11" t="n">
        <x:v>0.24004212143105785</x:v>
      </x:c>
      <x:c r="F636" s="11" t="n">
        <x:v>0.14433788634834044</x:v>
      </x:c>
      <x:c r="G636" s="11" t="n">
        <x:v>-0.053316177610476134</x:v>
      </x:c>
      <x:c r="H636" s="11" t="n">
        <x:v>0.04238805747224128</x:v>
      </x:c>
      <x:c r="I636" s="11" t="n">
        <x:v>0.6875</x:v>
      </x:c>
      <x:c r="J636" s="13" t="n">
        <x:v>16</x:v>
      </x:c>
      <x:c r="K636" s="22" t="b">
        <x:v>0</x:v>
      </x:c>
      <x:c r="L636" s="13" t="n">
        <x:v>70</x:v>
      </x:c>
      <x:c r="M636" s="13" t="n">
        <x:v>23</x:v>
      </x:c>
    </x:row>
    <x:row r="637" ht="22" customHeight="1">
      <x:c r="A637" s="17" t="str">
        <x:f>"07180500"</x:f>
        <x:v>07180500</x:v>
      </x:c>
      <x:c r="B637" s="13" t="n">
        <x:v>42</x:v>
      </x:c>
      <x:c r="C637" s="22" t="b">
        <x:v>0</x:v>
      </x:c>
      <x:c r="D637" s="11" t="n">
        <x:v>0.04078690732407908</x:v>
      </x:c>
      <x:c r="E637" s="11" t="n">
        <x:v>-0.10891706799561596</x:v>
      </x:c>
      <x:c r="F637" s="11" t="n">
        <x:v>-0.03165836457699389</x:v>
      </x:c>
      <x:c r="G637" s="11" t="n">
        <x:v>0.14970397531969504</x:v>
      </x:c>
      <x:c r="H637" s="11" t="n">
        <x:v>0.07244527190107297</x:v>
      </x:c>
      <x:c r="I637" s="11" t="n">
        <x:v>1</x:v>
      </x:c>
      <x:c r="J637" s="13" t="n">
        <x:v>8</x:v>
      </x:c>
      <x:c r="K637" s="22" t="b">
        <x:v>0</x:v>
      </x:c>
      <x:c r="L637" s="13" t="n">
        <x:v>51</x:v>
      </x:c>
      <x:c r="M637" s="13" t="n">
        <x:v>18</x:v>
      </x:c>
    </x:row>
    <x:row r="638" ht="22" customHeight="1">
      <x:c r="A638" s="17" t="str">
        <x:f>"07184000"</x:f>
        <x:v>07184000</x:v>
      </x:c>
      <x:c r="B638" s="13" t="n">
        <x:v>42</x:v>
      </x:c>
      <x:c r="C638" s="22" t="b">
        <x:v>1</x:v>
      </x:c>
      <x:c r="D638" s="11" t="n">
        <x:v>0.5742478135617382</x:v>
      </x:c>
      <x:c r="E638" s="11" t="n">
        <x:v>0.41382686110400857</x:v>
      </x:c>
      <x:c r="F638" s="11" t="n">
        <x:v>0.5283939722997602</x:v>
      </x:c>
      <x:c r="G638" s="11" t="n">
        <x:v>0.16042095245772958</x:v>
      </x:c>
      <x:c r="H638" s="11" t="n">
        <x:v>0.045853841261978</x:v>
      </x:c>
      <x:c r="I638" s="11" t="n">
        <x:v>0.3888888888888889</x:v>
      </x:c>
      <x:c r="J638" s="13" t="n">
        <x:v>18</x:v>
      </x:c>
      <x:c r="K638" s="22" t="b">
        <x:v>0</x:v>
      </x:c>
      <x:c r="L638" s="13" t="n">
        <x:v>107</x:v>
      </x:c>
      <x:c r="M638" s="13" t="n">
        <x:v>35</x:v>
      </x:c>
    </x:row>
    <x:row r="639" ht="22" customHeight="1">
      <x:c r="A639" s="17" t="str">
        <x:f>"07184000"</x:f>
        <x:v>07184000</x:v>
      </x:c>
      <x:c r="B639" s="13" t="n">
        <x:v>42</x:v>
      </x:c>
      <x:c r="C639" s="22" t="b">
        <x:v>0</x:v>
      </x:c>
      <x:c r="D639" s="11" t="n">
        <x:v>0.4478763154370309</x:v>
      </x:c>
      <x:c r="E639" s="11" t="n">
        <x:v>0.37117116283632035</x:v>
      </x:c>
      <x:c r="F639" s="11" t="n">
        <x:v>0.26438366634361044</x:v>
      </x:c>
      <x:c r="G639" s="11" t="n">
        <x:v>0.07670515260071054</x:v>
      </x:c>
      <x:c r="H639" s="11" t="n">
        <x:v>0.18349264909342045</x:v>
      </x:c>
      <x:c r="I639" s="11" t="n">
        <x:v>0.3</x:v>
      </x:c>
      <x:c r="J639" s="13" t="n">
        <x:v>20</x:v>
      </x:c>
      <x:c r="K639" s="22" t="b">
        <x:v>0</x:v>
      </x:c>
      <x:c r="L639" s="13" t="n">
        <x:v>135</x:v>
      </x:c>
      <x:c r="M639" s="13" t="n">
        <x:v>52</x:v>
      </x:c>
    </x:row>
    <x:row r="640" ht="22" customHeight="1">
      <x:c r="A640" s="17" t="str">
        <x:f>"07195800"</x:f>
        <x:v>07195800</x:v>
      </x:c>
      <x:c r="B640" s="13" t="n">
        <x:v>42</x:v>
      </x:c>
      <x:c r="C640" s="22" t="b">
        <x:v>1</x:v>
      </x:c>
      <x:c r="D640" s="11" t="n">
        <x:v>0.38151586254729797</x:v>
      </x:c>
      <x:c r="E640" s="11" t="n">
        <x:v>0.3480072196592804</x:v>
      </x:c>
      <x:c r="F640" s="11" t="n">
        <x:v>0.3885530662418294</x:v>
      </x:c>
      <x:c r="G640" s="11" t="n">
        <x:v>0.03350864288801758</x:v>
      </x:c>
      <x:c r="H640" s="11" t="n">
        <x:v>-0.007037203694531424</x:v>
      </x:c>
      <x:c r="I640" s="11" t="n">
        <x:v>0.6842105263157895</x:v>
      </x:c>
      <x:c r="J640" s="13" t="n">
        <x:v>19</x:v>
      </x:c>
      <x:c r="K640" s="22" t="b">
        <x:v>0</x:v>
      </x:c>
      <x:c r="L640" s="13" t="n">
        <x:v>83</x:v>
      </x:c>
      <x:c r="M640" s="13" t="n">
        <x:v>27</x:v>
      </x:c>
    </x:row>
    <x:row r="641" ht="22" customHeight="1">
      <x:c r="A641" s="17" t="str">
        <x:f>"07195800"</x:f>
        <x:v>07195800</x:v>
      </x:c>
      <x:c r="B641" s="13" t="n">
        <x:v>42</x:v>
      </x:c>
      <x:c r="C641" s="22" t="b">
        <x:v>0</x:v>
      </x:c>
      <x:c r="D641" s="11" t="n">
        <x:v>0.18267534874819824</x:v>
      </x:c>
      <x:c r="E641" s="11" t="n">
        <x:v>0.19172414575039898</x:v>
      </x:c>
      <x:c r="F641" s="11" t="n">
        <x:v>-0.49035568391666384</x:v>
      </x:c>
      <x:c r="G641" s="11" t="n">
        <x:v>-0.009048797002200737</x:v>
      </x:c>
      <x:c r="H641" s="11" t="n">
        <x:v>0.6730310326648621</x:v>
      </x:c>
      <x:c r="I641" s="11" t="n">
        <x:v>0.6</x:v>
      </x:c>
      <x:c r="J641" s="13" t="n">
        <x:v>15</x:v>
      </x:c>
      <x:c r="K641" s="22" t="b">
        <x:v>0</x:v>
      </x:c>
      <x:c r="L641" s="13" t="n">
        <x:v>86</x:v>
      </x:c>
      <x:c r="M641" s="13" t="n">
        <x:v>27</x:v>
      </x:c>
    </x:row>
    <x:row r="642" ht="22" customHeight="1">
      <x:c r="A642" s="17" t="str">
        <x:f>"07196900"</x:f>
        <x:v>07196900</x:v>
      </x:c>
      <x:c r="B642" s="13" t="n">
        <x:v>42</x:v>
      </x:c>
      <x:c r="C642" s="22" t="b">
        <x:v>1</x:v>
      </x:c>
      <x:c r="D642" s="11" t="n">
        <x:v>0.21250500546735374</x:v>
      </x:c>
      <x:c r="E642" s="11" t="n">
        <x:v>0.21602078857474794</x:v>
      </x:c>
      <x:c r="F642" s="11" t="n">
        <x:v>0.21247551229611727</x:v>
      </x:c>
      <x:c r="G642" s="11" t="n">
        <x:v>-0.003515783107394199</x:v>
      </x:c>
      <x:c r="H642" s="11" t="n">
        <x:v>0.000029493171236461002</x:v>
      </x:c>
      <x:c r="I642" s="11" t="n">
        <x:v>0.17647058823529413</x:v>
      </x:c>
      <x:c r="J642" s="13" t="n">
        <x:v>17</x:v>
      </x:c>
      <x:c r="K642" s="22" t="b">
        <x:v>0</x:v>
      </x:c>
      <x:c r="L642" s="13" t="n">
        <x:v>98</x:v>
      </x:c>
      <x:c r="M642" s="13" t="n">
        <x:v>31</x:v>
      </x:c>
    </x:row>
    <x:row r="643" ht="22" customHeight="1">
      <x:c r="A643" s="17" t="str">
        <x:f>"07196900"</x:f>
        <x:v>07196900</x:v>
      </x:c>
      <x:c r="B643" s="13" t="n">
        <x:v>42</x:v>
      </x:c>
      <x:c r="C643" s="22" t="b">
        <x:v>0</x:v>
      </x:c>
      <x:c r="D643" s="11" t="n">
        <x:v>0.10059289168194452</x:v>
      </x:c>
      <x:c r="E643" s="11" t="n">
        <x:v>0.08347327432272766</x:v>
      </x:c>
      <x:c r="F643" s="11" t="n">
        <x:v>-0.15995319275845477</x:v>
      </x:c>
      <x:c r="G643" s="11" t="n">
        <x:v>0.017119617359216854</x:v>
      </x:c>
      <x:c r="H643" s="11" t="n">
        <x:v>0.2605460844403993</x:v>
      </x:c>
      <x:c r="I643" s="11" t="n">
        <x:v>0.5</x:v>
      </x:c>
      <x:c r="J643" s="13" t="n">
        <x:v>16</x:v>
      </x:c>
      <x:c r="K643" s="22" t="b">
        <x:v>0</x:v>
      </x:c>
      <x:c r="L643" s="13" t="n">
        <x:v>98</x:v>
      </x:c>
      <x:c r="M643" s="13" t="n">
        <x:v>31</x:v>
      </x:c>
    </x:row>
    <x:row r="644" ht="22" customHeight="1">
      <x:c r="A644" s="17" t="str">
        <x:f>"07197000"</x:f>
        <x:v>07197000</x:v>
      </x:c>
      <x:c r="B644" s="13" t="n">
        <x:v>42</x:v>
      </x:c>
      <x:c r="C644" s="22" t="b">
        <x:v>1</x:v>
      </x:c>
      <x:c r="D644" s="11" t="n">
        <x:v>0.31115226690361564</x:v>
      </x:c>
      <x:c r="E644" s="11" t="n">
        <x:v>0.29624047396760766</x:v>
      </x:c>
      <x:c r="F644" s="11" t="n">
        <x:v>0.20938036099107926</x:v>
      </x:c>
      <x:c r="G644" s="11" t="n">
        <x:v>0.014911792936007973</x:v>
      </x:c>
      <x:c r="H644" s="11" t="n">
        <x:v>0.10177190591253638</x:v>
      </x:c>
      <x:c r="I644" s="11" t="n">
        <x:v>0.5882352941176471</x:v>
      </x:c>
      <x:c r="J644" s="13" t="n">
        <x:v>17</x:v>
      </x:c>
      <x:c r="K644" s="22" t="b">
        <x:v>0</x:v>
      </x:c>
      <x:c r="L644" s="13" t="n">
        <x:v>62</x:v>
      </x:c>
      <x:c r="M644" s="13" t="n">
        <x:v>21</x:v>
      </x:c>
    </x:row>
    <x:row r="645" ht="22" customHeight="1">
      <x:c r="A645" s="17" t="str">
        <x:f>"07197000"</x:f>
        <x:v>07197000</x:v>
      </x:c>
      <x:c r="B645" s="13" t="n">
        <x:v>42</x:v>
      </x:c>
      <x:c r="C645" s="22" t="b">
        <x:v>0</x:v>
      </x:c>
      <x:c r="D645" s="11" t="n">
        <x:v>0.25093673438684916</x:v>
      </x:c>
      <x:c r="E645" s="11" t="n">
        <x:v>0.24702433676900992</x:v>
      </x:c>
      <x:c r="F645" s="11" t="n">
        <x:v>-0.37374714495784445</x:v>
      </x:c>
      <x:c r="G645" s="11" t="n">
        <x:v>0.003912397617839236</x:v>
      </x:c>
      <x:c r="H645" s="11" t="n">
        <x:v>0.6246838793446936</x:v>
      </x:c>
      <x:c r="I645" s="11" t="n">
        <x:v>0</x:v>
      </x:c>
      <x:c r="J645" s="13" t="n">
        <x:v>15</x:v>
      </x:c>
      <x:c r="K645" s="22" t="b">
        <x:v>0</x:v>
      </x:c>
      <x:c r="L645" s="13" t="n">
        <x:v>109</x:v>
      </x:c>
      <x:c r="M645" s="13" t="n">
        <x:v>36</x:v>
      </x:c>
    </x:row>
    <x:row r="646" ht="22" customHeight="1">
      <x:c r="A646" s="17" t="str">
        <x:f>"07208500"</x:f>
        <x:v>07208500</x:v>
      </x:c>
      <x:c r="B646" s="13" t="n">
        <x:v>42</x:v>
      </x:c>
      <x:c r="C646" s="22" t="b">
        <x:v>1</x:v>
      </x:c>
      <x:c r="D646" s="11" t="n">
        <x:v>0.8358136526434528</x:v>
      </x:c>
      <x:c r="E646" s="11" t="n">
        <x:v>0.7940246441340683</x:v>
      </x:c>
      <x:c r="F646" s="11" t="n">
        <x:v>0.6583557631122983</x:v>
      </x:c>
      <x:c r="G646" s="11" t="n">
        <x:v>0.041789008509384495</x:v>
      </x:c>
      <x:c r="H646" s="11" t="n">
        <x:v>0.1774578895311545</x:v>
      </x:c>
      <x:c r="I646" s="11" t="n">
        <x:v>1</x:v>
      </x:c>
      <x:c r="J646" s="13" t="n">
        <x:v>20</x:v>
      </x:c>
      <x:c r="K646" s="22" t="b">
        <x:v>1</x:v>
      </x:c>
      <x:c r="L646" s="13" t="n">
        <x:v>111</x:v>
      </x:c>
      <x:c r="M646" s="13" t="n">
        <x:v>43</x:v>
      </x:c>
    </x:row>
    <x:row r="647" ht="22" customHeight="1">
      <x:c r="A647" s="17" t="str">
        <x:f>"07208500"</x:f>
        <x:v>07208500</x:v>
      </x:c>
      <x:c r="B647" s="13" t="n">
        <x:v>42</x:v>
      </x:c>
      <x:c r="C647" s="22" t="b">
        <x:v>0</x:v>
      </x:c>
      <x:c r="D647" s="11" t="n">
        <x:v>0.4503686014304862</x:v>
      </x:c>
      <x:c r="E647" s="11" t="n">
        <x:v>0.4459153683485021</x:v>
      </x:c>
      <x:c r="F647" s="11" t="n">
        <x:v>-3.0441249411875306</x:v>
      </x:c>
      <x:c r="G647" s="11" t="n">
        <x:v>0.004453233081984087</x:v>
      </x:c>
      <x:c r="H647" s="11" t="n">
        <x:v>3.4944935426180166</x:v>
      </x:c>
      <x:c r="I647" s="11" t="n">
        <x:v>0.9</x:v>
      </x:c>
      <x:c r="J647" s="13" t="n">
        <x:v>20</x:v>
      </x:c>
      <x:c r="K647" s="22" t="b">
        <x:v>1</x:v>
      </x:c>
      <x:c r="L647" s="13" t="n">
        <x:v>113</x:v>
      </x:c>
      <x:c r="M647" s="13" t="n">
        <x:v>37</x:v>
      </x:c>
    </x:row>
    <x:row r="648" ht="22" customHeight="1">
      <x:c r="A648" s="17" t="str">
        <x:f>"07261000"</x:f>
        <x:v>07261000</x:v>
      </x:c>
      <x:c r="B648" s="13" t="n">
        <x:v>42</x:v>
      </x:c>
      <x:c r="C648" s="22" t="b">
        <x:v>1</x:v>
      </x:c>
      <x:c r="D648" s="11" t="n">
        <x:v>0.40093561988003634</x:v>
      </x:c>
      <x:c r="E648" s="11" t="n">
        <x:v>0.4007904280110878</x:v>
      </x:c>
      <x:c r="F648" s="11" t="n">
        <x:v>0.30154332580197163</x:v>
      </x:c>
      <x:c r="G648" s="11" t="n">
        <x:v>0.00014519186894856873</x:v>
      </x:c>
      <x:c r="H648" s="11" t="n">
        <x:v>0.09939229407806471</x:v>
      </x:c>
      <x:c r="I648" s="11" t="n">
        <x:v>0</x:v>
      </x:c>
      <x:c r="J648" s="13" t="n">
        <x:v>18</x:v>
      </x:c>
      <x:c r="K648" s="22" t="b">
        <x:v>0</x:v>
      </x:c>
      <x:c r="L648" s="13" t="n">
        <x:v>109</x:v>
      </x:c>
      <x:c r="M648" s="13" t="n">
        <x:v>36</x:v>
      </x:c>
    </x:row>
    <x:row r="649" ht="22" customHeight="1">
      <x:c r="A649" s="17" t="str">
        <x:f>"07261000"</x:f>
        <x:v>07261000</x:v>
      </x:c>
      <x:c r="B649" s="13" t="n">
        <x:v>42</x:v>
      </x:c>
      <x:c r="C649" s="22" t="b">
        <x:v>0</x:v>
      </x:c>
      <x:c r="D649" s="11" t="n">
        <x:v>0.30878848805151304</x:v>
      </x:c>
      <x:c r="E649" s="11" t="n">
        <x:v>0.31713774212742607</x:v>
      </x:c>
      <x:c r="F649" s="11" t="n">
        <x:v>-0.4291697778085142</x:v>
      </x:c>
      <x:c r="G649" s="11" t="n">
        <x:v>-0.008349254075913026</x:v>
      </x:c>
      <x:c r="H649" s="11" t="n">
        <x:v>0.7379582658600272</x:v>
      </x:c>
      <x:c r="I649" s="11" t="n">
        <x:v>0.9</x:v>
      </x:c>
      <x:c r="J649" s="13" t="n">
        <x:v>20</x:v>
      </x:c>
      <x:c r="K649" s="22" t="b">
        <x:v>1</x:v>
      </x:c>
      <x:c r="L649" s="13" t="n">
        <x:v>139</x:v>
      </x:c>
      <x:c r="M649" s="13" t="n">
        <x:v>51</x:v>
      </x:c>
    </x:row>
    <x:row r="650" ht="22" customHeight="1">
      <x:c r="A650" s="17" t="str">
        <x:f>"07291000"</x:f>
        <x:v>07291000</x:v>
      </x:c>
      <x:c r="B650" s="13" t="n">
        <x:v>42</x:v>
      </x:c>
      <x:c r="C650" s="22" t="b">
        <x:v>1</x:v>
      </x:c>
      <x:c r="D650" s="11" t="n">
        <x:v>0.12651100800555315</x:v>
      </x:c>
      <x:c r="E650" s="11" t="n">
        <x:v>0.15325763161808537</x:v>
      </x:c>
      <x:c r="F650" s="11" t="n">
        <x:v>-0.2306247043433156</x:v>
      </x:c>
      <x:c r="G650" s="11" t="n">
        <x:v>-0.026746623612532217</x:v>
      </x:c>
      <x:c r="H650" s="11" t="n">
        <x:v>0.35713571234886876</x:v>
      </x:c>
      <x:c r="I650" s="11" t="n">
        <x:v>0.3125</x:v>
      </x:c>
      <x:c r="J650" s="13" t="n">
        <x:v>16</x:v>
      </x:c>
      <x:c r="K650" s="22" t="b">
        <x:v>0</x:v>
      </x:c>
      <x:c r="L650" s="13" t="n">
        <x:v>116</x:v>
      </x:c>
      <x:c r="M650" s="13" t="n">
        <x:v>39</x:v>
      </x:c>
    </x:row>
    <x:row r="651" ht="22" customHeight="1">
      <x:c r="A651" s="17" t="str">
        <x:f>"07291000"</x:f>
        <x:v>07291000</x:v>
      </x:c>
      <x:c r="B651" s="13" t="n">
        <x:v>42</x:v>
      </x:c>
      <x:c r="C651" s="22" t="b">
        <x:v>0</x:v>
      </x:c>
      <x:c r="D651" s="11" t="n">
        <x:v>0.11184966407196983</x:v>
      </x:c>
      <x:c r="E651" s="11" t="n">
        <x:v>0.10105135159374978</x:v>
      </x:c>
      <x:c r="F651" s="11" t="n">
        <x:v>-0.7600137966302432</x:v>
      </x:c>
      <x:c r="G651" s="11" t="n">
        <x:v>0.010798312478220051</x:v>
      </x:c>
      <x:c r="H651" s="11" t="n">
        <x:v>0.871863460702213</x:v>
      </x:c>
      <x:c r="I651" s="11" t="n">
        <x:v>0.6153846153846154</x:v>
      </x:c>
      <x:c r="J651" s="13" t="n">
        <x:v>13</x:v>
      </x:c>
      <x:c r="K651" s="22" t="b">
        <x:v>0</x:v>
      </x:c>
      <x:c r="L651" s="13" t="n">
        <x:v>60</x:v>
      </x:c>
      <x:c r="M651" s="13" t="n">
        <x:v>20</x:v>
      </x:c>
    </x:row>
    <x:row r="652" ht="22" customHeight="1">
      <x:c r="A652" s="17" t="str">
        <x:f>"07292500"</x:f>
        <x:v>07292500</x:v>
      </x:c>
      <x:c r="B652" s="13" t="n">
        <x:v>42</x:v>
      </x:c>
      <x:c r="C652" s="22" t="b">
        <x:v>1</x:v>
      </x:c>
      <x:c r="D652" s="11" t="n">
        <x:v>0.2962083564598039</x:v>
      </x:c>
      <x:c r="E652" s="11" t="n">
        <x:v>0.2970149163000877</x:v>
      </x:c>
      <x:c r="F652" s="11" t="n">
        <x:v>-0.4043000219249486</x:v>
      </x:c>
      <x:c r="G652" s="11" t="n">
        <x:v>-0.0008065598402837715</x:v>
      </x:c>
      <x:c r="H652" s="11" t="n">
        <x:v>0.7005083783847526</x:v>
      </x:c>
      <x:c r="I652" s="11" t="n">
        <x:v>0.5625</x:v>
      </x:c>
      <x:c r="J652" s="13" t="n">
        <x:v>16</x:v>
      </x:c>
      <x:c r="K652" s="22" t="b">
        <x:v>0</x:v>
      </x:c>
      <x:c r="L652" s="13" t="n">
        <x:v>89</x:v>
      </x:c>
      <x:c r="M652" s="13" t="n">
        <x:v>28</x:v>
      </x:c>
    </x:row>
    <x:row r="653" ht="22" customHeight="1">
      <x:c r="A653" s="17" t="str">
        <x:f>"07292500"</x:f>
        <x:v>07292500</x:v>
      </x:c>
      <x:c r="B653" s="13" t="n">
        <x:v>42</x:v>
      </x:c>
      <x:c r="C653" s="22" t="b">
        <x:v>0</x:v>
      </x:c>
      <x:c r="D653" s="11" t="n">
        <x:v>0.21586721353010008</x:v>
      </x:c>
      <x:c r="E653" s="11" t="n">
        <x:v>0.2078005314048007</x:v>
      </x:c>
      <x:c r="F653" s="11" t="n">
        <x:v>-0.937635754407689</x:v>
      </x:c>
      <x:c r="G653" s="11" t="n">
        <x:v>0.008066682125299374</x:v>
      </x:c>
      <x:c r="H653" s="11" t="n">
        <x:v>1.153502967937789</x:v>
      </x:c>
      <x:c r="I653" s="11" t="n">
        <x:v>1</x:v>
      </x:c>
      <x:c r="J653" s="13" t="n">
        <x:v>9</x:v>
      </x:c>
      <x:c r="K653" s="22" t="b">
        <x:v>1</x:v>
      </x:c>
      <x:c r="L653" s="13" t="n">
        <x:v>71</x:v>
      </x:c>
      <x:c r="M653" s="13" t="n">
        <x:v>23</x:v>
      </x:c>
    </x:row>
    <x:row r="654" ht="22" customHeight="1">
      <x:c r="A654" s="17" t="str">
        <x:f>"07299670"</x:f>
        <x:v>07299670</x:v>
      </x:c>
      <x:c r="B654" s="13" t="n">
        <x:v>42</x:v>
      </x:c>
      <x:c r="C654" s="22" t="b">
        <x:v>1</x:v>
      </x:c>
      <x:c r="D654" s="11" t="n">
        <x:v>0.1414927846418942</x:v>
      </x:c>
      <x:c r="E654" s="11" t="n">
        <x:v>-0.11190348664576066</x:v>
      </x:c>
      <x:c r="F654" s="11" t="n">
        <x:v>0.009334451592858728</x:v>
      </x:c>
      <x:c r="G654" s="11" t="n">
        <x:v>0.25339627128765485</x:v>
      </x:c>
      <x:c r="H654" s="11" t="n">
        <x:v>0.13215833304903546</x:v>
      </x:c>
      <x:c r="I654" s="11" t="n">
        <x:v>1</x:v>
      </x:c>
      <x:c r="J654" s="13" t="n">
        <x:v>10</x:v>
      </x:c>
      <x:c r="K654" s="22" t="b">
        <x:v>0</x:v>
      </x:c>
      <x:c r="L654" s="13" t="n">
        <x:v>68</x:v>
      </x:c>
      <x:c r="M654" s="13" t="n">
        <x:v>23</x:v>
      </x:c>
    </x:row>
    <x:row r="655" ht="22" customHeight="1">
      <x:c r="A655" s="17" t="str">
        <x:f>"07299670"</x:f>
        <x:v>07299670</x:v>
      </x:c>
      <x:c r="B655" s="13" t="n">
        <x:v>42</x:v>
      </x:c>
      <x:c r="C655" s="22" t="b">
        <x:v>0</x:v>
      </x:c>
      <x:c r="D655" s="11" t="n">
        <x:v>0.12673816782391867</x:v>
      </x:c>
      <x:c r="E655" s="11" t="n">
        <x:v>-0.07791056521060069</x:v>
      </x:c>
      <x:c r="F655" s="11" t="n">
        <x:v>-0.028025365246067357</x:v>
      </x:c>
      <x:c r="G655" s="11" t="n">
        <x:v>0.20464873303451936</x:v>
      </x:c>
      <x:c r="H655" s="11" t="n">
        <x:v>0.15476353306998603</x:v>
      </x:c>
      <x:c r="I655" s="11" t="n">
        <x:v>0.7222222222222222</x:v>
      </x:c>
      <x:c r="J655" s="13" t="n">
        <x:v>18</x:v>
      </x:c>
      <x:c r="K655" s="22" t="b">
        <x:v>0</x:v>
      </x:c>
      <x:c r="L655" s="13" t="n">
        <x:v>120</x:v>
      </x:c>
      <x:c r="M655" s="13" t="n">
        <x:v>41</x:v>
      </x:c>
    </x:row>
    <x:row r="656" ht="22" customHeight="1">
      <x:c r="A656" s="17" t="str">
        <x:f>"07301410"</x:f>
        <x:v>07301410</x:v>
      </x:c>
      <x:c r="B656" s="13" t="n">
        <x:v>42</x:v>
      </x:c>
      <x:c r="C656" s="22" t="b">
        <x:v>1</x:v>
      </x:c>
      <x:c r="D656" s="11" t="n">
        <x:v>0.4579299047677906</x:v>
      </x:c>
      <x:c r="E656" s="11" t="n">
        <x:v>0.4191798883098763</x:v>
      </x:c>
      <x:c r="F656" s="11" t="n">
        <x:v>-3.571217018171936</x:v>
      </x:c>
      <x:c r="G656" s="11" t="n">
        <x:v>0.038750016457914316</x:v>
      </x:c>
      <x:c r="H656" s="11" t="n">
        <x:v>4.029146922939726</x:v>
      </x:c>
      <x:c r="I656" s="11" t="n">
        <x:v>1</x:v>
      </x:c>
      <x:c r="J656" s="13" t="n">
        <x:v>18</x:v>
      </x:c>
      <x:c r="K656" s="22" t="b">
        <x:v>1</x:v>
      </x:c>
      <x:c r="L656" s="13" t="n">
        <x:v>81</x:v>
      </x:c>
      <x:c r="M656" s="13" t="n">
        <x:v>26</x:v>
      </x:c>
    </x:row>
    <x:row r="657" ht="22" customHeight="1">
      <x:c r="A657" s="17" t="str">
        <x:f>"07301410"</x:f>
        <x:v>07301410</x:v>
      </x:c>
      <x:c r="B657" s="13" t="n">
        <x:v>42</x:v>
      </x:c>
      <x:c r="C657" s="22" t="b">
        <x:v>0</x:v>
      </x:c>
      <x:c r="D657" s="11" t="n">
        <x:v>-0.2686384625856153</x:v>
      </x:c>
      <x:c r="E657" s="11" t="n">
        <x:v>-0.15818025536538038</x:v>
      </x:c>
      <x:c r="F657" s="11" t="n">
        <x:v>-3.075812432955617</x:v>
      </x:c>
      <x:c r="G657" s="11" t="n">
        <x:v>-0.11045820722023492</x:v>
      </x:c>
      <x:c r="H657" s="11" t="n">
        <x:v>2.807173970370002</x:v>
      </x:c>
      <x:c r="I657" s="11" t="n">
        <x:v>0.3684210526315789</x:v>
      </x:c>
      <x:c r="J657" s="13" t="n">
        <x:v>19</x:v>
      </x:c>
      <x:c r="K657" s="22" t="b">
        <x:v>0</x:v>
      </x:c>
      <x:c r="L657" s="13" t="n">
        <x:v>105</x:v>
      </x:c>
      <x:c r="M657" s="13" t="n">
        <x:v>34</x:v>
      </x:c>
    </x:row>
    <x:row r="658" ht="22" customHeight="1">
      <x:c r="A658" s="17" t="str">
        <x:f>"07301500"</x:f>
        <x:v>07301500</x:v>
      </x:c>
      <x:c r="B658" s="13" t="n">
        <x:v>42</x:v>
      </x:c>
      <x:c r="C658" s="22" t="b">
        <x:v>1</x:v>
      </x:c>
      <x:c r="D658" s="11" t="n">
        <x:v>0.5381577194137422</x:v>
      </x:c>
      <x:c r="E658" s="11" t="n">
        <x:v>-0.09833978633809326</x:v>
      </x:c>
      <x:c r="F658" s="11" t="n">
        <x:v>0.17097211124406708</x:v>
      </x:c>
      <x:c r="G658" s="11" t="n">
        <x:v>0.6364975057518355</x:v>
      </x:c>
      <x:c r="H658" s="11" t="n">
        <x:v>0.36718560816967516</x:v>
      </x:c>
      <x:c r="I658" s="11"/>
      <x:c r="J658" s="13" t="n">
        <x:v>0</x:v>
      </x:c>
      <x:c r="K658" s="22" t="b">
        <x:v>0</x:v>
      </x:c>
      <x:c r="L658" s="13" t="n">
        <x:v>66</x:v>
      </x:c>
      <x:c r="M658" s="13" t="n">
        <x:v>22</x:v>
      </x:c>
    </x:row>
    <x:row r="659" ht="22" customHeight="1">
      <x:c r="A659" s="17" t="str">
        <x:f>"07301500"</x:f>
        <x:v>07301500</x:v>
      </x:c>
      <x:c r="B659" s="13" t="n">
        <x:v>42</x:v>
      </x:c>
      <x:c r="C659" s="22" t="b">
        <x:v>0</x:v>
      </x:c>
      <x:c r="D659" s="11" t="n">
        <x:v>-0.13897016848677657</x:v>
      </x:c>
      <x:c r="E659" s="11" t="n">
        <x:v>-1.2727804920662757</x:v>
      </x:c>
      <x:c r="F659" s="11" t="n">
        <x:v>-6.027475026805679</x:v>
      </x:c>
      <x:c r="G659" s="11" t="n">
        <x:v>1.1338103235794992</x:v>
      </x:c>
      <x:c r="H659" s="11" t="n">
        <x:v>5.888504858318903</x:v>
      </x:c>
      <x:c r="I659" s="11" t="n">
        <x:v>0.4</x:v>
      </x:c>
      <x:c r="J659" s="13" t="n">
        <x:v>15</x:v>
      </x:c>
      <x:c r="K659" s="22" t="b">
        <x:v>0</x:v>
      </x:c>
      <x:c r="L659" s="13" t="n">
        <x:v>94</x:v>
      </x:c>
      <x:c r="M659" s="13" t="n">
        <x:v>30</x:v>
      </x:c>
    </x:row>
    <x:row r="660" ht="22" customHeight="1">
      <x:c r="A660" s="17" t="str">
        <x:f>"07315200"</x:f>
        <x:v>07315200</x:v>
      </x:c>
      <x:c r="B660" s="13" t="n">
        <x:v>42</x:v>
      </x:c>
      <x:c r="C660" s="22" t="b">
        <x:v>1</x:v>
      </x:c>
      <x:c r="D660" s="11" t="n">
        <x:v>0.6095822702423854</x:v>
      </x:c>
      <x:c r="E660" s="11" t="n">
        <x:v>0.5939592640622414</x:v>
      </x:c>
      <x:c r="F660" s="11" t="n">
        <x:v>-0.4288249409856222</x:v>
      </x:c>
      <x:c r="G660" s="11" t="n">
        <x:v>0.015623006180144006</x:v>
      </x:c>
      <x:c r="H660" s="11" t="n">
        <x:v>1.0384072112280076</x:v>
      </x:c>
      <x:c r="I660" s="11" t="n">
        <x:v>1</x:v>
      </x:c>
      <x:c r="J660" s="13" t="n">
        <x:v>19</x:v>
      </x:c>
      <x:c r="K660" s="22" t="b">
        <x:v>1</x:v>
      </x:c>
      <x:c r="L660" s="13" t="n">
        <x:v>157</x:v>
      </x:c>
      <x:c r="M660" s="13" t="n">
        <x:v>63</x:v>
      </x:c>
    </x:row>
    <x:row r="661" ht="22" customHeight="1">
      <x:c r="A661" s="17" t="str">
        <x:f>"07315200"</x:f>
        <x:v>07315200</x:v>
      </x:c>
      <x:c r="B661" s="13" t="n">
        <x:v>42</x:v>
      </x:c>
      <x:c r="C661" s="22" t="b">
        <x:v>0</x:v>
      </x:c>
      <x:c r="D661" s="11" t="n">
        <x:v>0.10709940006788954</x:v>
      </x:c>
      <x:c r="E661" s="11" t="n">
        <x:v>0.02384549349051035</x:v>
      </x:c>
      <x:c r="F661" s="11" t="n">
        <x:v>-4.690644043395331</x:v>
      </x:c>
      <x:c r="G661" s="11" t="n">
        <x:v>0.08325390657737919</x:v>
      </x:c>
      <x:c r="H661" s="11" t="n">
        <x:v>4.7977434434632205</x:v>
      </x:c>
      <x:c r="I661" s="11" t="n">
        <x:v>0.5555555555555556</x:v>
      </x:c>
      <x:c r="J661" s="13" t="n">
        <x:v>18</x:v>
      </x:c>
      <x:c r="K661" s="22" t="b">
        <x:v>0</x:v>
      </x:c>
      <x:c r="L661" s="13" t="n">
        <x:v>62</x:v>
      </x:c>
      <x:c r="M661" s="13" t="n">
        <x:v>21</x:v>
      </x:c>
    </x:row>
    <x:row r="662" ht="22" customHeight="1">
      <x:c r="A662" s="17" t="str">
        <x:f>"07315700"</x:f>
        <x:v>07315700</x:v>
      </x:c>
      <x:c r="B662" s="13" t="n">
        <x:v>42</x:v>
      </x:c>
      <x:c r="C662" s="22" t="b">
        <x:v>1</x:v>
      </x:c>
      <x:c r="D662" s="11" t="n">
        <x:v>0.11077559559986605</x:v>
      </x:c>
      <x:c r="E662" s="11" t="n">
        <x:v>-0.07839618834573026</x:v>
      </x:c>
      <x:c r="F662" s="11" t="n">
        <x:v>-7.605431721900461</x:v>
      </x:c>
      <x:c r="G662" s="11" t="n">
        <x:v>0.1891717839455963</x:v>
      </x:c>
      <x:c r="H662" s="11" t="n">
        <x:v>7.716207317500326</x:v>
      </x:c>
      <x:c r="I662" s="11" t="n">
        <x:v>1</x:v>
      </x:c>
      <x:c r="J662" s="13" t="n">
        <x:v>19</x:v>
      </x:c>
      <x:c r="K662" s="22" t="b">
        <x:v>0</x:v>
      </x:c>
      <x:c r="L662" s="13" t="n">
        <x:v>97</x:v>
      </x:c>
      <x:c r="M662" s="13" t="n">
        <x:v>31</x:v>
      </x:c>
    </x:row>
    <x:row r="663" ht="22" customHeight="1">
      <x:c r="A663" s="17" t="str">
        <x:f>"07315700"</x:f>
        <x:v>07315700</x:v>
      </x:c>
      <x:c r="B663" s="13" t="n">
        <x:v>42</x:v>
      </x:c>
      <x:c r="C663" s="22" t="b">
        <x:v>0</x:v>
      </x:c>
      <x:c r="D663" s="11" t="n">
        <x:v>-0.15833057943968276</x:v>
      </x:c>
      <x:c r="E663" s="11" t="n">
        <x:v>-0.7945676023917736</x:v>
      </x:c>
      <x:c r="F663" s="11" t="n">
        <x:v>-16.95636967835501</x:v>
      </x:c>
      <x:c r="G663" s="11" t="n">
        <x:v>0.6362370229520908</x:v>
      </x:c>
      <x:c r="H663" s="11" t="n">
        <x:v>16.79803909891533</x:v>
      </x:c>
      <x:c r="I663" s="11" t="n">
        <x:v>1</x:v>
      </x:c>
      <x:c r="J663" s="13" t="n">
        <x:v>20</x:v>
      </x:c>
      <x:c r="K663" s="22" t="b">
        <x:v>0</x:v>
      </x:c>
      <x:c r="L663" s="13" t="n">
        <x:v>105</x:v>
      </x:c>
      <x:c r="M663" s="13" t="n">
        <x:v>37</x:v>
      </x:c>
    </x:row>
    <x:row r="664" ht="22" customHeight="1">
      <x:c r="A664" s="17" t="str">
        <x:f>"07335700"</x:f>
        <x:v>07335700</x:v>
      </x:c>
      <x:c r="B664" s="13" t="n">
        <x:v>42</x:v>
      </x:c>
      <x:c r="C664" s="22" t="b">
        <x:v>1</x:v>
      </x:c>
      <x:c r="D664" s="11" t="n">
        <x:v>0.25979443474467157</x:v>
      </x:c>
      <x:c r="E664" s="11" t="n">
        <x:v>0.2527435851531046</x:v>
      </x:c>
      <x:c r="F664" s="11" t="n">
        <x:v>0.226317868241526</x:v>
      </x:c>
      <x:c r="G664" s="11" t="n">
        <x:v>0.007050849591566988</x:v>
      </x:c>
      <x:c r="H664" s="11" t="n">
        <x:v>0.033476566503145566</x:v>
      </x:c>
      <x:c r="I664" s="11" t="n">
        <x:v>0.8333333333333334</x:v>
      </x:c>
      <x:c r="J664" s="13" t="n">
        <x:v>18</x:v>
      </x:c>
      <x:c r="K664" s="22" t="b">
        <x:v>1</x:v>
      </x:c>
      <x:c r="L664" s="13" t="n">
        <x:v>109</x:v>
      </x:c>
      <x:c r="M664" s="13" t="n">
        <x:v>36</x:v>
      </x:c>
    </x:row>
    <x:row r="665" ht="22" customHeight="1">
      <x:c r="A665" s="17" t="str">
        <x:f>"07335700"</x:f>
        <x:v>07335700</x:v>
      </x:c>
      <x:c r="B665" s="13" t="n">
        <x:v>42</x:v>
      </x:c>
      <x:c r="C665" s="22" t="b">
        <x:v>0</x:v>
      </x:c>
      <x:c r="D665" s="11" t="n">
        <x:v>0.13229911128374583</x:v>
      </x:c>
      <x:c r="E665" s="11" t="n">
        <x:v>0.1418210193712195</x:v>
      </x:c>
      <x:c r="F665" s="11" t="n">
        <x:v>0.10081379761036757</x:v>
      </x:c>
      <x:c r="G665" s="11" t="n">
        <x:v>-0.009521908087473663</x:v>
      </x:c>
      <x:c r="H665" s="11" t="n">
        <x:v>0.03148531367337826</x:v>
      </x:c>
      <x:c r="I665" s="11" t="n">
        <x:v>0.15</x:v>
      </x:c>
      <x:c r="J665" s="13" t="n">
        <x:v>20</x:v>
      </x:c>
      <x:c r="K665" s="22" t="b">
        <x:v>0</x:v>
      </x:c>
      <x:c r="L665" s="13" t="n">
        <x:v>93</x:v>
      </x:c>
      <x:c r="M665" s="13" t="n">
        <x:v>30</x:v>
      </x:c>
    </x:row>
    <x:row r="666" ht="22" customHeight="1">
      <x:c r="A666" s="17" t="str">
        <x:f>"07340300"</x:f>
        <x:v>07340300</x:v>
      </x:c>
      <x:c r="B666" s="13" t="n">
        <x:v>42</x:v>
      </x:c>
      <x:c r="C666" s="22" t="b">
        <x:v>1</x:v>
      </x:c>
      <x:c r="D666" s="11" t="n">
        <x:v>0.322290187344361</x:v>
      </x:c>
      <x:c r="E666" s="11" t="n">
        <x:v>0.29997813165827525</x:v>
      </x:c>
      <x:c r="F666" s="11" t="n">
        <x:v>0.23403730023441005</x:v>
      </x:c>
      <x:c r="G666" s="11" t="n">
        <x:v>0.02231205568608574</x:v>
      </x:c>
      <x:c r="H666" s="11" t="n">
        <x:v>0.08825288710995094</x:v>
      </x:c>
      <x:c r="I666" s="11" t="n">
        <x:v>1</x:v>
      </x:c>
      <x:c r="J666" s="13" t="n">
        <x:v>20</x:v>
      </x:c>
      <x:c r="K666" s="22" t="b">
        <x:v>1</x:v>
      </x:c>
      <x:c r="L666" s="13" t="n">
        <x:v>89</x:v>
      </x:c>
      <x:c r="M666" s="13" t="n">
        <x:v>28</x:v>
      </x:c>
    </x:row>
    <x:row r="667" ht="22" customHeight="1">
      <x:c r="A667" s="17" t="str">
        <x:f>"07340300"</x:f>
        <x:v>07340300</x:v>
      </x:c>
      <x:c r="B667" s="13" t="n">
        <x:v>42</x:v>
      </x:c>
      <x:c r="C667" s="22" t="b">
        <x:v>0</x:v>
      </x:c>
      <x:c r="D667" s="11" t="n">
        <x:v>0.18852477705101378</x:v>
      </x:c>
      <x:c r="E667" s="11" t="n">
        <x:v>0.14060919083956802</x:v>
      </x:c>
      <x:c r="F667" s="11" t="n">
        <x:v>0.15622069902051916</x:v>
      </x:c>
      <x:c r="G667" s="11" t="n">
        <x:v>0.04791558621144576</x:v>
      </x:c>
      <x:c r="H667" s="11" t="n">
        <x:v>0.03230407803049462</x:v>
      </x:c>
      <x:c r="I667" s="11" t="n">
        <x:v>0.15</x:v>
      </x:c>
      <x:c r="J667" s="13" t="n">
        <x:v>20</x:v>
      </x:c>
      <x:c r="K667" s="22" t="b">
        <x:v>0</x:v>
      </x:c>
      <x:c r="L667" s="13" t="n">
        <x:v>131</x:v>
      </x:c>
      <x:c r="M667" s="13" t="n">
        <x:v>46</x:v>
      </x:c>
    </x:row>
    <x:row r="668" ht="22" customHeight="1">
      <x:c r="A668" s="17" t="str">
        <x:f>"07346045"</x:f>
        <x:v>07346045</x:v>
      </x:c>
      <x:c r="B668" s="13" t="n">
        <x:v>42</x:v>
      </x:c>
      <x:c r="C668" s="22" t="b">
        <x:v>1</x:v>
      </x:c>
      <x:c r="D668" s="11" t="n">
        <x:v>0.9209815653865642</x:v>
      </x:c>
      <x:c r="E668" s="11" t="n">
        <x:v>0.8876392213228145</x:v>
      </x:c>
      <x:c r="F668" s="11" t="n">
        <x:v>0.29093181905083465</x:v>
      </x:c>
      <x:c r="G668" s="11" t="n">
        <x:v>0.033342344063749696</x:v>
      </x:c>
      <x:c r="H668" s="11" t="n">
        <x:v>0.6300497463357295</x:v>
      </x:c>
      <x:c r="I668" s="11" t="n">
        <x:v>1</x:v>
      </x:c>
      <x:c r="J668" s="13" t="n">
        <x:v>20</x:v>
      </x:c>
      <x:c r="K668" s="22" t="b">
        <x:v>1</x:v>
      </x:c>
      <x:c r="L668" s="13" t="n">
        <x:v>85</x:v>
      </x:c>
      <x:c r="M668" s="13" t="n">
        <x:v>27</x:v>
      </x:c>
    </x:row>
    <x:row r="669" ht="22" customHeight="1">
      <x:c r="A669" s="17" t="str">
        <x:f>"07346045"</x:f>
        <x:v>07346045</x:v>
      </x:c>
      <x:c r="B669" s="13" t="n">
        <x:v>42</x:v>
      </x:c>
      <x:c r="C669" s="22" t="b">
        <x:v>0</x:v>
      </x:c>
      <x:c r="D669" s="11" t="n">
        <x:v>0.48249338101554184</x:v>
      </x:c>
      <x:c r="E669" s="11" t="n">
        <x:v>0.6323882805245231</x:v>
      </x:c>
      <x:c r="F669" s="11" t="n">
        <x:v>-6.774815336875178</x:v>
      </x:c>
      <x:c r="G669" s="11" t="n">
        <x:v>-0.14989489950898127</x:v>
      </x:c>
      <x:c r="H669" s="11" t="n">
        <x:v>7.257308717890719</x:v>
      </x:c>
      <x:c r="I669" s="11" t="n">
        <x:v>0.5</x:v>
      </x:c>
      <x:c r="J669" s="13" t="n">
        <x:v>20</x:v>
      </x:c>
      <x:c r="K669" s="22" t="b">
        <x:v>0</x:v>
      </x:c>
      <x:c r="L669" s="13" t="n">
        <x:v>96</x:v>
      </x:c>
      <x:c r="M669" s="13" t="n">
        <x:v>31</x:v>
      </x:c>
    </x:row>
    <x:row r="670" ht="22" customHeight="1">
      <x:c r="A670" s="17" t="str">
        <x:f>"07362100"</x:f>
        <x:v>07362100</x:v>
      </x:c>
      <x:c r="B670" s="13" t="n">
        <x:v>42</x:v>
      </x:c>
      <x:c r="C670" s="22" t="b">
        <x:v>1</x:v>
      </x:c>
      <x:c r="D670" s="11" t="n">
        <x:v>0.792737279444242</x:v>
      </x:c>
      <x:c r="E670" s="11" t="n">
        <x:v>0.7284768924314573</x:v>
      </x:c>
      <x:c r="F670" s="11" t="n">
        <x:v>0.5342412300132566</x:v>
      </x:c>
      <x:c r="G670" s="11" t="n">
        <x:v>0.06426038701278469</x:v>
      </x:c>
      <x:c r="H670" s="11" t="n">
        <x:v>0.25849604943098536</x:v>
      </x:c>
      <x:c r="I670" s="11" t="n">
        <x:v>1</x:v>
      </x:c>
      <x:c r="J670" s="13" t="n">
        <x:v>13</x:v>
      </x:c>
      <x:c r="K670" s="22" t="b">
        <x:v>0</x:v>
      </x:c>
      <x:c r="L670" s="13" t="n">
        <x:v>94</x:v>
      </x:c>
      <x:c r="M670" s="13" t="n">
        <x:v>37</x:v>
      </x:c>
    </x:row>
    <x:row r="671" ht="22" customHeight="1">
      <x:c r="A671" s="17" t="str">
        <x:f>"07362100"</x:f>
        <x:v>07362100</x:v>
      </x:c>
      <x:c r="B671" s="13" t="n">
        <x:v>42</x:v>
      </x:c>
      <x:c r="C671" s="22" t="b">
        <x:v>0</x:v>
      </x:c>
      <x:c r="D671" s="11" t="n">
        <x:v>0.5647465017402948</x:v>
      </x:c>
      <x:c r="E671" s="11" t="n">
        <x:v>0.5399202436225748</x:v>
      </x:c>
      <x:c r="F671" s="11" t="n">
        <x:v>-0.32293188378771487</x:v>
      </x:c>
      <x:c r="G671" s="11" t="n">
        <x:v>0.02482625811771999</x:v>
      </x:c>
      <x:c r="H671" s="11" t="n">
        <x:v>0.8876783855280097</x:v>
      </x:c>
      <x:c r="I671" s="11" t="n">
        <x:v>0.9444444444444444</x:v>
      </x:c>
      <x:c r="J671" s="13" t="n">
        <x:v>18</x:v>
      </x:c>
      <x:c r="K671" s="22" t="b">
        <x:v>1</x:v>
      </x:c>
      <x:c r="L671" s="13" t="n">
        <x:v>121</x:v>
      </x:c>
      <x:c r="M671" s="13" t="n">
        <x:v>41</x:v>
      </x:c>
    </x:row>
    <x:row r="672" ht="22" customHeight="1">
      <x:c r="A672" s="17" t="str">
        <x:f>"07373000"</x:f>
        <x:v>07373000</x:v>
      </x:c>
      <x:c r="B672" s="13" t="n">
        <x:v>42</x:v>
      </x:c>
      <x:c r="C672" s="22" t="b">
        <x:v>1</x:v>
      </x:c>
      <x:c r="D672" s="11" t="n">
        <x:v>0.32683406425382355</x:v>
      </x:c>
      <x:c r="E672" s="11" t="n">
        <x:v>0.3160067574769563</x:v>
      </x:c>
      <x:c r="F672" s="11" t="n">
        <x:v>0.07645858663893612</x:v>
      </x:c>
      <x:c r="G672" s="11" t="n">
        <x:v>0.010827306776867274</x:v>
      </x:c>
      <x:c r="H672" s="11" t="n">
        <x:v>0.25037547761488743</x:v>
      </x:c>
      <x:c r="I672" s="11" t="n">
        <x:v>0.5882352941176471</x:v>
      </x:c>
      <x:c r="J672" s="13" t="n">
        <x:v>17</x:v>
      </x:c>
      <x:c r="K672" s="22" t="b">
        <x:v>0</x:v>
      </x:c>
      <x:c r="L672" s="13" t="n">
        <x:v>79</x:v>
      </x:c>
      <x:c r="M672" s="13" t="n">
        <x:v>26</x:v>
      </x:c>
    </x:row>
    <x:row r="673" ht="22" customHeight="1">
      <x:c r="A673" s="17" t="str">
        <x:f>"07373000"</x:f>
        <x:v>07373000</x:v>
      </x:c>
      <x:c r="B673" s="13" t="n">
        <x:v>42</x:v>
      </x:c>
      <x:c r="C673" s="22" t="b">
        <x:v>0</x:v>
      </x:c>
      <x:c r="D673" s="11" t="n">
        <x:v>0.33594290343862</x:v>
      </x:c>
      <x:c r="E673" s="11" t="n">
        <x:v>0.24948947280867018</x:v>
      </x:c>
      <x:c r="F673" s="11" t="n">
        <x:v>0.047387231340321634</x:v>
      </x:c>
      <x:c r="G673" s="11" t="n">
        <x:v>0.08645343062994981</x:v>
      </x:c>
      <x:c r="H673" s="11" t="n">
        <x:v>0.28855567209829835</x:v>
      </x:c>
      <x:c r="I673" s="11" t="n">
        <x:v>1</x:v>
      </x:c>
      <x:c r="J673" s="13" t="n">
        <x:v>19</x:v>
      </x:c>
      <x:c r="K673" s="22" t="b">
        <x:v>0</x:v>
      </x:c>
      <x:c r="L673" s="13" t="n">
        <x:v>83</x:v>
      </x:c>
      <x:c r="M673" s="13" t="n">
        <x:v>27</x:v>
      </x:c>
    </x:row>
    <x:row r="674" ht="22" customHeight="1">
      <x:c r="A674" s="17" t="str">
        <x:f>"07375000"</x:f>
        <x:v>07375000</x:v>
      </x:c>
      <x:c r="B674" s="13" t="n">
        <x:v>42</x:v>
      </x:c>
      <x:c r="C674" s="22" t="b">
        <x:v>1</x:v>
      </x:c>
      <x:c r="D674" s="11" t="n">
        <x:v>0.7748955336224012</x:v>
      </x:c>
      <x:c r="E674" s="11" t="n">
        <x:v>0.7695484271788243</x:v>
      </x:c>
      <x:c r="F674" s="11" t="n">
        <x:v>0.34383078314640125</x:v>
      </x:c>
      <x:c r="G674" s="11" t="n">
        <x:v>0.005347106443576832</x:v>
      </x:c>
      <x:c r="H674" s="11" t="n">
        <x:v>0.4310647504759999</x:v>
      </x:c>
      <x:c r="I674" s="11" t="n">
        <x:v>0.95</x:v>
      </x:c>
      <x:c r="J674" s="13" t="n">
        <x:v>20</x:v>
      </x:c>
      <x:c r="K674" s="22" t="b">
        <x:v>1</x:v>
      </x:c>
      <x:c r="L674" s="13" t="n">
        <x:v>170</x:v>
      </x:c>
      <x:c r="M674" s="13" t="n">
        <x:v>74</x:v>
      </x:c>
    </x:row>
    <x:row r="675" ht="22" customHeight="1">
      <x:c r="A675" s="17" t="str">
        <x:f>"07375000"</x:f>
        <x:v>07375000</x:v>
      </x:c>
      <x:c r="B675" s="13" t="n">
        <x:v>42</x:v>
      </x:c>
      <x:c r="C675" s="22" t="b">
        <x:v>0</x:v>
      </x:c>
      <x:c r="D675" s="11" t="n">
        <x:v>0.5533414500122853</x:v>
      </x:c>
      <x:c r="E675" s="11" t="n">
        <x:v>0.5800797118192977</x:v>
      </x:c>
      <x:c r="F675" s="11" t="n">
        <x:v>-0.02356284529656527</x:v>
      </x:c>
      <x:c r="G675" s="11" t="n">
        <x:v>-0.026738261807012442</x:v>
      </x:c>
      <x:c r="H675" s="11" t="n">
        <x:v>0.5769042953088506</x:v>
      </x:c>
      <x:c r="I675" s="11" t="n">
        <x:v>0.65</x:v>
      </x:c>
      <x:c r="J675" s="13" t="n">
        <x:v>20</x:v>
      </x:c>
      <x:c r="K675" s="22" t="b">
        <x:v>0</x:v>
      </x:c>
      <x:c r="L675" s="13" t="n">
        <x:v>151</x:v>
      </x:c>
      <x:c r="M675" s="13" t="n">
        <x:v>59</x:v>
      </x:c>
    </x:row>
    <x:row r="676" ht="22" customHeight="1">
      <x:c r="A676" s="17" t="str">
        <x:f>"08013000"</x:f>
        <x:v>08013000</x:v>
      </x:c>
      <x:c r="B676" s="13" t="n">
        <x:v>42</x:v>
      </x:c>
      <x:c r="C676" s="22" t="b">
        <x:v>1</x:v>
      </x:c>
      <x:c r="D676" s="11" t="n">
        <x:v>0.7880039301722316</x:v>
      </x:c>
      <x:c r="E676" s="11" t="n">
        <x:v>0.7261468336666772</x:v>
      </x:c>
      <x:c r="F676" s="11" t="n">
        <x:v>0.1878566754245331</x:v>
      </x:c>
      <x:c r="G676" s="11" t="n">
        <x:v>0.061857096505554376</x:v>
      </x:c>
      <x:c r="H676" s="11" t="n">
        <x:v>0.6001472547476985</x:v>
      </x:c>
      <x:c r="I676" s="11" t="n">
        <x:v>1</x:v>
      </x:c>
      <x:c r="J676" s="13" t="n">
        <x:v>18</x:v>
      </x:c>
      <x:c r="K676" s="22" t="b">
        <x:v>0</x:v>
      </x:c>
      <x:c r="L676" s="13" t="n">
        <x:v>84</x:v>
      </x:c>
      <x:c r="M676" s="13" t="n">
        <x:v>27</x:v>
      </x:c>
    </x:row>
    <x:row r="677" ht="22" customHeight="1">
      <x:c r="A677" s="17" t="str">
        <x:f>"08013000"</x:f>
        <x:v>08013000</x:v>
      </x:c>
      <x:c r="B677" s="13" t="n">
        <x:v>42</x:v>
      </x:c>
      <x:c r="C677" s="22" t="b">
        <x:v>0</x:v>
      </x:c>
      <x:c r="D677" s="11" t="n">
        <x:v>0.6661168952233472</x:v>
      </x:c>
      <x:c r="E677" s="11" t="n">
        <x:v>0.6030948992694718</x:v>
      </x:c>
      <x:c r="F677" s="11" t="n">
        <x:v>-3.2467572409683036</x:v>
      </x:c>
      <x:c r="G677" s="11" t="n">
        <x:v>0.06302199595387536</x:v>
      </x:c>
      <x:c r="H677" s="11" t="n">
        <x:v>3.912874136191651</x:v>
      </x:c>
      <x:c r="I677" s="11" t="n">
        <x:v>0.5833333333333334</x:v>
      </x:c>
      <x:c r="J677" s="13" t="n">
        <x:v>12</x:v>
      </x:c>
      <x:c r="K677" s="22" t="b">
        <x:v>0</x:v>
      </x:c>
      <x:c r="L677" s="13" t="n">
        <x:v>105</x:v>
      </x:c>
      <x:c r="M677" s="13" t="n">
        <x:v>37</x:v>
      </x:c>
    </x:row>
    <x:row r="678" ht="22" customHeight="1">
      <x:c r="A678" s="17" t="str">
        <x:f>"08014500"</x:f>
        <x:v>08014500</x:v>
      </x:c>
      <x:c r="B678" s="13" t="n">
        <x:v>42</x:v>
      </x:c>
      <x:c r="C678" s="22" t="b">
        <x:v>1</x:v>
      </x:c>
      <x:c r="D678" s="11" t="n">
        <x:v>0.9398316166643081</x:v>
      </x:c>
      <x:c r="E678" s="11" t="n">
        <x:v>0.926314498679155</x:v>
      </x:c>
      <x:c r="F678" s="11" t="n">
        <x:v>-0.48257949956883417</x:v>
      </x:c>
      <x:c r="G678" s="11" t="n">
        <x:v>0.013517117985153093</x:v>
      </x:c>
      <x:c r="H678" s="11" t="n">
        <x:v>1.4224111162331423</x:v>
      </x:c>
      <x:c r="I678" s="11" t="n">
        <x:v>1</x:v>
      </x:c>
      <x:c r="J678" s="13" t="n">
        <x:v>18</x:v>
      </x:c>
      <x:c r="K678" s="22" t="b">
        <x:v>1</x:v>
      </x:c>
      <x:c r="L678" s="13" t="n">
        <x:v>93</x:v>
      </x:c>
      <x:c r="M678" s="13" t="n">
        <x:v>30</x:v>
      </x:c>
    </x:row>
    <x:row r="679" ht="22" customHeight="1">
      <x:c r="A679" s="17" t="str">
        <x:f>"08014500"</x:f>
        <x:v>08014500</x:v>
      </x:c>
      <x:c r="B679" s="13" t="n">
        <x:v>42</x:v>
      </x:c>
      <x:c r="C679" s="22" t="b">
        <x:v>0</x:v>
      </x:c>
      <x:c r="D679" s="11" t="n">
        <x:v>0.7457564276656452</x:v>
      </x:c>
      <x:c r="E679" s="11" t="n">
        <x:v>0.7395494807491381</x:v>
      </x:c>
      <x:c r="F679" s="11" t="n">
        <x:v>-13.579959343925012</x:v>
      </x:c>
      <x:c r="G679" s="11" t="n">
        <x:v>0.006206946916507139</x:v>
      </x:c>
      <x:c r="H679" s="11" t="n">
        <x:v>14.325715771590657</x:v>
      </x:c>
      <x:c r="I679" s="11"/>
      <x:c r="J679" s="13" t="n">
        <x:v>0</x:v>
      </x:c>
      <x:c r="K679" s="22" t="b">
        <x:v>0</x:v>
      </x:c>
      <x:c r="L679" s="13" t="n">
        <x:v>79</x:v>
      </x:c>
      <x:c r="M679" s="13" t="n">
        <x:v>26</x:v>
      </x:c>
    </x:row>
    <x:row r="680" ht="22" customHeight="1">
      <x:c r="A680" s="17" t="str">
        <x:f>"08023080"</x:f>
        <x:v>08023080</x:v>
      </x:c>
      <x:c r="B680" s="13" t="n">
        <x:v>42</x:v>
      </x:c>
      <x:c r="C680" s="22" t="b">
        <x:v>1</x:v>
      </x:c>
      <x:c r="D680" s="11" t="n">
        <x:v>0.5594529759415645</x:v>
      </x:c>
      <x:c r="E680" s="11" t="n">
        <x:v>0.5385820949515852</x:v>
      </x:c>
      <x:c r="F680" s="11" t="n">
        <x:v>0.23806543971864846</x:v>
      </x:c>
      <x:c r="G680" s="11" t="n">
        <x:v>0.020870880989979357</x:v>
      </x:c>
      <x:c r="H680" s="11" t="n">
        <x:v>0.32138753622291605</x:v>
      </x:c>
      <x:c r="I680" s="11"/>
      <x:c r="J680" s="13" t="n">
        <x:v>0</x:v>
      </x:c>
      <x:c r="K680" s="22" t="b">
        <x:v>0</x:v>
      </x:c>
      <x:c r="L680" s="13" t="n">
        <x:v>84</x:v>
      </x:c>
      <x:c r="M680" s="13" t="n">
        <x:v>27</x:v>
      </x:c>
    </x:row>
    <x:row r="681" ht="22" customHeight="1">
      <x:c r="A681" s="17" t="str">
        <x:f>"08023080"</x:f>
        <x:v>08023080</x:v>
      </x:c>
      <x:c r="B681" s="13" t="n">
        <x:v>42</x:v>
      </x:c>
      <x:c r="C681" s="22" t="b">
        <x:v>0</x:v>
      </x:c>
      <x:c r="D681" s="11" t="n">
        <x:v>0.2871787050784764</x:v>
      </x:c>
      <x:c r="E681" s="11" t="n">
        <x:v>0.3108976432845546</x:v>
      </x:c>
      <x:c r="F681" s="11" t="n">
        <x:v>-0.9512085125358105</x:v>
      </x:c>
      <x:c r="G681" s="11" t="n">
        <x:v>-0.023718938206078177</x:v>
      </x:c>
      <x:c r="H681" s="11" t="n">
        <x:v>1.238387217614287</x:v>
      </x:c>
      <x:c r="I681" s="11" t="n">
        <x:v>0.8947368421052632</x:v>
      </x:c>
      <x:c r="J681" s="13" t="n">
        <x:v>19</x:v>
      </x:c>
      <x:c r="K681" s="22" t="b">
        <x:v>1</x:v>
      </x:c>
      <x:c r="L681" s="13" t="n">
        <x:v>99</x:v>
      </x:c>
      <x:c r="M681" s="13" t="n">
        <x:v>32</x:v>
      </x:c>
    </x:row>
    <x:row r="682" ht="22" customHeight="1">
      <x:c r="A682" s="17" t="str">
        <x:f>"08029500"</x:f>
        <x:v>08029500</x:v>
      </x:c>
      <x:c r="B682" s="13" t="n">
        <x:v>42</x:v>
      </x:c>
      <x:c r="C682" s="22" t="b">
        <x:v>1</x:v>
      </x:c>
      <x:c r="D682" s="11" t="n">
        <x:v>0.4306908667202094</x:v>
      </x:c>
      <x:c r="E682" s="11" t="n">
        <x:v>0.3418960525184407</x:v>
      </x:c>
      <x:c r="F682" s="11" t="n">
        <x:v>0.09856885388091186</x:v>
      </x:c>
      <x:c r="G682" s="11" t="n">
        <x:v>0.08879481420176871</x:v>
      </x:c>
      <x:c r="H682" s="11" t="n">
        <x:v>0.33212201283929754</x:v>
      </x:c>
      <x:c r="I682" s="11" t="n">
        <x:v>0</x:v>
      </x:c>
      <x:c r="J682" s="13" t="n">
        <x:v>10</x:v>
      </x:c>
      <x:c r="K682" s="22" t="b">
        <x:v>0</x:v>
      </x:c>
      <x:c r="L682" s="13" t="n">
        <x:v>77</x:v>
      </x:c>
      <x:c r="M682" s="13" t="n">
        <x:v>25</x:v>
      </x:c>
    </x:row>
    <x:row r="683" ht="22" customHeight="1">
      <x:c r="A683" s="17" t="str">
        <x:f>"08029500"</x:f>
        <x:v>08029500</x:v>
      </x:c>
      <x:c r="B683" s="13" t="n">
        <x:v>42</x:v>
      </x:c>
      <x:c r="C683" s="22" t="b">
        <x:v>0</x:v>
      </x:c>
      <x:c r="D683" s="11" t="n">
        <x:v>0.1413734968770637</x:v>
      </x:c>
      <x:c r="E683" s="11" t="n">
        <x:v>-0.03362803778081114</x:v>
      </x:c>
      <x:c r="F683" s="11" t="n">
        <x:v>-0.42320763503474645</x:v>
      </x:c>
      <x:c r="G683" s="11" t="n">
        <x:v>0.17500153465787482</x:v>
      </x:c>
      <x:c r="H683" s="11" t="n">
        <x:v>0.5645811319118101</x:v>
      </x:c>
      <x:c r="I683" s="11" t="n">
        <x:v>1</x:v>
      </x:c>
      <x:c r="J683" s="13" t="n">
        <x:v>20</x:v>
      </x:c>
      <x:c r="K683" s="22" t="b">
        <x:v>0</x:v>
      </x:c>
      <x:c r="L683" s="13" t="n">
        <x:v>87</x:v>
      </x:c>
      <x:c r="M683" s="13" t="n">
        <x:v>28</x:v>
      </x:c>
    </x:row>
    <x:row r="684" ht="22" customHeight="1">
      <x:c r="A684" s="17" t="str">
        <x:f>"08066200"</x:f>
        <x:v>08066200</x:v>
      </x:c>
      <x:c r="B684" s="13" t="n">
        <x:v>42</x:v>
      </x:c>
      <x:c r="C684" s="22" t="b">
        <x:v>1</x:v>
      </x:c>
      <x:c r="D684" s="11" t="n">
        <x:v>0.21907038539092594</x:v>
      </x:c>
      <x:c r="E684" s="11" t="n">
        <x:v>0.1545800578441341</x:v>
      </x:c>
      <x:c r="F684" s="11" t="n">
        <x:v>0.08709864542403001</x:v>
      </x:c>
      <x:c r="G684" s="11" t="n">
        <x:v>0.06449032754679185</x:v>
      </x:c>
      <x:c r="H684" s="11" t="n">
        <x:v>0.13197173996689593</x:v>
      </x:c>
      <x:c r="I684" s="11" t="n">
        <x:v>0.3684210526315789</x:v>
      </x:c>
      <x:c r="J684" s="13" t="n">
        <x:v>19</x:v>
      </x:c>
      <x:c r="K684" s="22" t="b">
        <x:v>0</x:v>
      </x:c>
      <x:c r="L684" s="13" t="n">
        <x:v>69</x:v>
      </x:c>
      <x:c r="M684" s="13" t="n">
        <x:v>23</x:v>
      </x:c>
    </x:row>
    <x:row r="685" ht="22" customHeight="1">
      <x:c r="A685" s="17" t="str">
        <x:f>"08066200"</x:f>
        <x:v>08066200</x:v>
      </x:c>
      <x:c r="B685" s="13" t="n">
        <x:v>42</x:v>
      </x:c>
      <x:c r="C685" s="22" t="b">
        <x:v>0</x:v>
      </x:c>
      <x:c r="D685" s="11" t="n">
        <x:v>0.02186184739905339</x:v>
      </x:c>
      <x:c r="E685" s="11" t="n">
        <x:v>0.06092653793115521</x:v>
      </x:c>
      <x:c r="F685" s="11" t="n">
        <x:v>-0.9390497313059603</x:v>
      </x:c>
      <x:c r="G685" s="11" t="n">
        <x:v>-0.03906469053210182</x:v>
      </x:c>
      <x:c r="H685" s="11" t="n">
        <x:v>0.9609115787050136</x:v>
      </x:c>
      <x:c r="I685" s="11" t="n">
        <x:v>0.5</x:v>
      </x:c>
      <x:c r="J685" s="13" t="n">
        <x:v>12</x:v>
      </x:c>
      <x:c r="K685" s="22" t="b">
        <x:v>0</x:v>
      </x:c>
      <x:c r="L685" s="13" t="n">
        <x:v>65</x:v>
      </x:c>
      <x:c r="M685" s="13" t="n">
        <x:v>22</x:v>
      </x:c>
    </x:row>
    <x:row r="686" ht="22" customHeight="1">
      <x:c r="A686" s="17" t="str">
        <x:f>"08066300"</x:f>
        <x:v>08066300</x:v>
      </x:c>
      <x:c r="B686" s="13" t="n">
        <x:v>42</x:v>
      </x:c>
      <x:c r="C686" s="22" t="b">
        <x:v>1</x:v>
      </x:c>
      <x:c r="D686" s="11" t="n">
        <x:v>0.5639336057968625</x:v>
      </x:c>
      <x:c r="E686" s="11" t="n">
        <x:v>0.5109587390893633</x:v>
      </x:c>
      <x:c r="F686" s="11" t="n">
        <x:v>-0.7191087259177165</x:v>
      </x:c>
      <x:c r="G686" s="11" t="n">
        <x:v>0.05297486670749918</x:v>
      </x:c>
      <x:c r="H686" s="11" t="n">
        <x:v>1.283042331714579</x:v>
      </x:c>
      <x:c r="I686" s="11"/>
      <x:c r="J686" s="13" t="n">
        <x:v>0</x:v>
      </x:c>
      <x:c r="K686" s="22" t="b">
        <x:v>0</x:v>
      </x:c>
      <x:c r="L686" s="13" t="n">
        <x:v>67</x:v>
      </x:c>
      <x:c r="M686" s="13" t="n">
        <x:v>22</x:v>
      </x:c>
    </x:row>
    <x:row r="687" ht="22" customHeight="1">
      <x:c r="A687" s="17" t="str">
        <x:f>"08066300"</x:f>
        <x:v>08066300</x:v>
      </x:c>
      <x:c r="B687" s="13" t="n">
        <x:v>42</x:v>
      </x:c>
      <x:c r="C687" s="22" t="b">
        <x:v>0</x:v>
      </x:c>
      <x:c r="D687" s="11" t="n">
        <x:v>-0.20239063048235906</x:v>
      </x:c>
      <x:c r="E687" s="11" t="n">
        <x:v>-0.4710078190904805</x:v>
      </x:c>
      <x:c r="F687" s="11" t="n">
        <x:v>-11.534777219700228</x:v>
      </x:c>
      <x:c r="G687" s="11" t="n">
        <x:v>0.26861718860812145</x:v>
      </x:c>
      <x:c r="H687" s="11" t="n">
        <x:v>11.332386589217869</x:v>
      </x:c>
      <x:c r="I687" s="11" t="n">
        <x:v>0.6470588235294118</x:v>
      </x:c>
      <x:c r="J687" s="13" t="n">
        <x:v>17</x:v>
      </x:c>
      <x:c r="K687" s="22" t="b">
        <x:v>0</x:v>
      </x:c>
      <x:c r="L687" s="13" t="n">
        <x:v>105</x:v>
      </x:c>
      <x:c r="M687" s="13" t="n">
        <x:v>34</x:v>
      </x:c>
    </x:row>
    <x:row r="688" ht="22" customHeight="1">
      <x:c r="A688" s="17" t="str">
        <x:f>"08070000"</x:f>
        <x:v>08070000</x:v>
      </x:c>
      <x:c r="B688" s="13" t="n">
        <x:v>42</x:v>
      </x:c>
      <x:c r="C688" s="22" t="b">
        <x:v>1</x:v>
      </x:c>
      <x:c r="D688" s="11" t="n">
        <x:v>0.8001182093624466</x:v>
      </x:c>
      <x:c r="E688" s="11" t="n">
        <x:v>0.7729175949670696</x:v>
      </x:c>
      <x:c r="F688" s="11" t="n">
        <x:v>-2.260829881720397</x:v>
      </x:c>
      <x:c r="G688" s="11" t="n">
        <x:v>0.02720061439537702</x:v>
      </x:c>
      <x:c r="H688" s="11" t="n">
        <x:v>3.0609480910828433</x:v>
      </x:c>
      <x:c r="I688" s="11"/>
      <x:c r="J688" s="13" t="n">
        <x:v>0</x:v>
      </x:c>
      <x:c r="K688" s="22" t="b">
        <x:v>0</x:v>
      </x:c>
      <x:c r="L688" s="13" t="n">
        <x:v>104</x:v>
      </x:c>
      <x:c r="M688" s="13" t="n">
        <x:v>34</x:v>
      </x:c>
    </x:row>
    <x:row r="689" ht="22" customHeight="1">
      <x:c r="A689" s="17" t="str">
        <x:f>"08070000"</x:f>
        <x:v>08070000</x:v>
      </x:c>
      <x:c r="B689" s="13" t="n">
        <x:v>42</x:v>
      </x:c>
      <x:c r="C689" s="22" t="b">
        <x:v>0</x:v>
      </x:c>
      <x:c r="D689" s="11" t="n">
        <x:v>-0.18210513173688914</x:v>
      </x:c>
      <x:c r="E689" s="11" t="n">
        <x:v>-0.2769064835233481</x:v>
      </x:c>
      <x:c r="F689" s="11" t="n">
        <x:v>-10.468848965842044</x:v>
      </x:c>
      <x:c r="G689" s="11" t="n">
        <x:v>0.09480135178645899</x:v>
      </x:c>
      <x:c r="H689" s="11" t="n">
        <x:v>10.286743834105154</x:v>
      </x:c>
      <x:c r="I689" s="11" t="n">
        <x:v>1</x:v>
      </x:c>
      <x:c r="J689" s="13" t="n">
        <x:v>19</x:v>
      </x:c>
      <x:c r="K689" s="22" t="b">
        <x:v>0</x:v>
      </x:c>
      <x:c r="L689" s="13" t="n">
        <x:v>136</x:v>
      </x:c>
      <x:c r="M689" s="13" t="n">
        <x:v>49</x:v>
      </x:c>
    </x:row>
    <x:row r="690" ht="22" customHeight="1">
      <x:c r="A690" s="17" t="str">
        <x:f>"08079600"</x:f>
        <x:v>08079600</x:v>
      </x:c>
      <x:c r="B690" s="13" t="n">
        <x:v>42</x:v>
      </x:c>
      <x:c r="C690" s="22" t="b">
        <x:v>1</x:v>
      </x:c>
      <x:c r="D690" s="11" t="n">
        <x:v>0.077042229713565</x:v>
      </x:c>
      <x:c r="E690" s="11" t="n">
        <x:v>0.08216813558498381</x:v>
      </x:c>
      <x:c r="F690" s="11" t="n">
        <x:v>0.0792724236311072</x:v>
      </x:c>
      <x:c r="G690" s="11" t="n">
        <x:v>-0.005125905871418812</x:v>
      </x:c>
      <x:c r="H690" s="11" t="n">
        <x:v>-0.0022301939175422003</x:v>
      </x:c>
      <x:c r="I690" s="11" t="n">
        <x:v>0.6666666666666666</x:v>
      </x:c>
      <x:c r="J690" s="13" t="n">
        <x:v>15</x:v>
      </x:c>
      <x:c r="K690" s="22" t="b">
        <x:v>0</x:v>
      </x:c>
      <x:c r="L690" s="13" t="n">
        <x:v>72</x:v>
      </x:c>
      <x:c r="M690" s="13" t="n">
        <x:v>24</x:v>
      </x:c>
    </x:row>
    <x:row r="691" ht="22" customHeight="1">
      <x:c r="A691" s="17" t="str">
        <x:f>"08079600"</x:f>
        <x:v>08079600</x:v>
      </x:c>
      <x:c r="B691" s="13" t="n">
        <x:v>42</x:v>
      </x:c>
      <x:c r="C691" s="22" t="b">
        <x:v>0</x:v>
      </x:c>
      <x:c r="D691" s="11" t="n">
        <x:v>0.050125717751874355</x:v>
      </x:c>
      <x:c r="E691" s="11" t="n">
        <x:v>0.04930505273151553</x:v>
      </x:c>
      <x:c r="F691" s="11" t="n">
        <x:v>0.05253336504400674</x:v>
      </x:c>
      <x:c r="G691" s="11" t="n">
        <x:v>0.0008206650203588239</x:v>
      </x:c>
      <x:c r="H691" s="11" t="n">
        <x:v>-0.0024076472921323866</x:v>
      </x:c>
      <x:c r="I691" s="11" t="n">
        <x:v>0.7368421052631579</x:v>
      </x:c>
      <x:c r="J691" s="13" t="n">
        <x:v>19</x:v>
      </x:c>
      <x:c r="K691" s="22" t="b">
        <x:v>0</x:v>
      </x:c>
      <x:c r="L691" s="13" t="n">
        <x:v>49</x:v>
      </x:c>
      <x:c r="M691" s="13" t="n">
        <x:v>17</x:v>
      </x:c>
    </x:row>
    <x:row r="692" ht="22" customHeight="1">
      <x:c r="A692" s="17" t="str">
        <x:f>"08082700"</x:f>
        <x:v>08082700</x:v>
      </x:c>
      <x:c r="B692" s="13" t="n">
        <x:v>42</x:v>
      </x:c>
      <x:c r="C692" s="22" t="b">
        <x:v>1</x:v>
      </x:c>
      <x:c r="D692" s="11" t="n">
        <x:v>-0.3945033887829721</x:v>
      </x:c>
      <x:c r="E692" s="11" t="n">
        <x:v>-1.4159044476375913</x:v>
      </x:c>
      <x:c r="F692" s="11" t="n">
        <x:v>-4.376873440256153</x:v>
      </x:c>
      <x:c r="G692" s="11" t="n">
        <x:v>1.0214010588546192</x:v>
      </x:c>
      <x:c r="H692" s="11" t="n">
        <x:v>3.982370051473181</x:v>
      </x:c>
      <x:c r="I692" s="11" t="n">
        <x:v>0.5</x:v>
      </x:c>
      <x:c r="J692" s="13" t="n">
        <x:v>18</x:v>
      </x:c>
      <x:c r="K692" s="22" t="b">
        <x:v>0</x:v>
      </x:c>
      <x:c r="L692" s="13" t="n">
        <x:v>117</x:v>
      </x:c>
      <x:c r="M692" s="13" t="n">
        <x:v>39</x:v>
      </x:c>
    </x:row>
    <x:row r="693" ht="22" customHeight="1">
      <x:c r="A693" s="17" t="str">
        <x:f>"08082700"</x:f>
        <x:v>08082700</x:v>
      </x:c>
      <x:c r="B693" s="13" t="n">
        <x:v>42</x:v>
      </x:c>
      <x:c r="C693" s="22" t="b">
        <x:v>0</x:v>
      </x:c>
      <x:c r="D693" s="11" t="n">
        <x:v>-1.7108770738360914</x:v>
      </x:c>
      <x:c r="E693" s="11" t="n">
        <x:v>-4.952878336126802</x:v>
      </x:c>
      <x:c r="F693" s="11" t="n">
        <x:v>-6.04237569927201</x:v>
      </x:c>
      <x:c r="G693" s="11" t="n">
        <x:v>3.2420012622907106</x:v>
      </x:c>
      <x:c r="H693" s="11" t="n">
        <x:v>4.331498625435918</x:v>
      </x:c>
      <x:c r="I693" s="11" t="n">
        <x:v>0.35714285714285715</x:v>
      </x:c>
      <x:c r="J693" s="13" t="n">
        <x:v>14</x:v>
      </x:c>
      <x:c r="K693" s="22" t="b">
        <x:v>0</x:v>
      </x:c>
      <x:c r="L693" s="13" t="n">
        <x:v>90</x:v>
      </x:c>
      <x:c r="M693" s="13" t="n">
        <x:v>28</x:v>
      </x:c>
    </x:row>
    <x:row r="694" ht="22" customHeight="1">
      <x:c r="A694" s="17" t="str">
        <x:f>"08086212"</x:f>
        <x:v>08086212</x:v>
      </x:c>
      <x:c r="B694" s="13" t="n">
        <x:v>42</x:v>
      </x:c>
      <x:c r="C694" s="22" t="b">
        <x:v>1</x:v>
      </x:c>
      <x:c r="D694" s="11" t="n">
        <x:v>-0.8132443698530707</x:v>
      </x:c>
      <x:c r="E694" s="11" t="n">
        <x:v>-3.240579248778249</x:v>
      </x:c>
      <x:c r="F694" s="11" t="n">
        <x:v>-2.6012711112563522</x:v>
      </x:c>
      <x:c r="G694" s="11" t="n">
        <x:v>2.427334878925178</x:v>
      </x:c>
      <x:c r="H694" s="11" t="n">
        <x:v>1.7880267414032815</x:v>
      </x:c>
      <x:c r="I694" s="11" t="n">
        <x:v>1</x:v>
      </x:c>
      <x:c r="J694" s="13" t="n">
        <x:v>14</x:v>
      </x:c>
      <x:c r="K694" s="22" t="b">
        <x:v>0</x:v>
      </x:c>
      <x:c r="L694" s="13" t="n">
        <x:v>61</x:v>
      </x:c>
      <x:c r="M694" s="13" t="n">
        <x:v>20</x:v>
      </x:c>
    </x:row>
    <x:row r="695" ht="22" customHeight="1">
      <x:c r="A695" s="17" t="str">
        <x:f>"08086212"</x:f>
        <x:v>08086212</x:v>
      </x:c>
      <x:c r="B695" s="13" t="n">
        <x:v>42</x:v>
      </x:c>
      <x:c r="C695" s="22" t="b">
        <x:v>0</x:v>
      </x:c>
      <x:c r="D695" s="11" t="n">
        <x:v>-3.331876566796714</x:v>
      </x:c>
      <x:c r="E695" s="11" t="n">
        <x:v>-23.662444513656162</x:v>
      </x:c>
      <x:c r="F695" s="11" t="n">
        <x:v>-5.236901976466339</x:v>
      </x:c>
      <x:c r="G695" s="11" t="n">
        <x:v>20.330567946859446</x:v>
      </x:c>
      <x:c r="H695" s="11" t="n">
        <x:v>1.9050254096696255</x:v>
      </x:c>
      <x:c r="I695" s="11"/>
      <x:c r="J695" s="13" t="n">
        <x:v>0</x:v>
      </x:c>
      <x:c r="K695" s="22" t="b">
        <x:v>0</x:v>
      </x:c>
      <x:c r="L695" s="13" t="n">
        <x:v>87</x:v>
      </x:c>
      <x:c r="M695" s="13" t="n">
        <x:v>28</x:v>
      </x:c>
    </x:row>
    <x:row r="696" ht="22" customHeight="1">
      <x:c r="A696" s="17" t="str">
        <x:f>"08086290"</x:f>
        <x:v>08086290</x:v>
      </x:c>
      <x:c r="B696" s="13" t="n">
        <x:v>42</x:v>
      </x:c>
      <x:c r="C696" s="22" t="b">
        <x:v>1</x:v>
      </x:c>
      <x:c r="D696" s="11" t="n">
        <x:v>0.043223420484387876</x:v>
      </x:c>
      <x:c r="E696" s="11" t="n">
        <x:v>-0.3082973738813857</x:v>
      </x:c>
      <x:c r="F696" s="11" t="n">
        <x:v>-0.13067656419250628</x:v>
      </x:c>
      <x:c r="G696" s="11" t="n">
        <x:v>0.35152079436577355</x:v>
      </x:c>
      <x:c r="H696" s="11" t="n">
        <x:v>0.17389998467689416</x:v>
      </x:c>
      <x:c r="I696" s="11" t="n">
        <x:v>1</x:v>
      </x:c>
      <x:c r="J696" s="13" t="n">
        <x:v>8</x:v>
      </x:c>
      <x:c r="K696" s="22" t="b">
        <x:v>0</x:v>
      </x:c>
      <x:c r="L696" s="13" t="n">
        <x:v>57</x:v>
      </x:c>
      <x:c r="M696" s="13" t="n">
        <x:v>19</x:v>
      </x:c>
    </x:row>
    <x:row r="697" ht="22" customHeight="1">
      <x:c r="A697" s="17" t="str">
        <x:f>"08086290"</x:f>
        <x:v>08086290</x:v>
      </x:c>
      <x:c r="B697" s="13" t="n">
        <x:v>42</x:v>
      </x:c>
      <x:c r="C697" s="22" t="b">
        <x:v>0</x:v>
      </x:c>
      <x:c r="D697" s="11" t="n">
        <x:v>0.09342895458832579</x:v>
      </x:c>
      <x:c r="E697" s="11" t="n">
        <x:v>-0.6832498041594346</x:v>
      </x:c>
      <x:c r="F697" s="11" t="n">
        <x:v>-0.037760831790567106</x:v>
      </x:c>
      <x:c r="G697" s="11" t="n">
        <x:v>0.7766787587477604</x:v>
      </x:c>
      <x:c r="H697" s="11" t="n">
        <x:v>0.1311897863788929</x:v>
      </x:c>
      <x:c r="I697" s="11" t="n">
        <x:v>1</x:v>
      </x:c>
      <x:c r="J697" s="13" t="n">
        <x:v>19</x:v>
      </x:c>
      <x:c r="K697" s="22" t="b">
        <x:v>0</x:v>
      </x:c>
      <x:c r="L697" s="13" t="n">
        <x:v>59</x:v>
      </x:c>
      <x:c r="M697" s="13" t="n">
        <x:v>20</x:v>
      </x:c>
    </x:row>
    <x:row r="698" ht="22" customHeight="1">
      <x:c r="A698" s="17" t="str">
        <x:f>"08101000"</x:f>
        <x:v>08101000</x:v>
      </x:c>
      <x:c r="B698" s="13" t="n">
        <x:v>42</x:v>
      </x:c>
      <x:c r="C698" s="22" t="b">
        <x:v>1</x:v>
      </x:c>
      <x:c r="D698" s="11" t="n">
        <x:v>0.07483858873741511</x:v>
      </x:c>
      <x:c r="E698" s="11" t="n">
        <x:v>0.07301257659149119</x:v>
      </x:c>
      <x:c r="F698" s="11" t="n">
        <x:v>0.06387103645070602</x:v>
      </x:c>
      <x:c r="G698" s="11" t="n">
        <x:v>0.0018260121459239276</x:v>
      </x:c>
      <x:c r="H698" s="11" t="n">
        <x:v>0.010967552286709092</x:v>
      </x:c>
      <x:c r="I698" s="11"/>
      <x:c r="J698" s="13" t="n">
        <x:v>0</x:v>
      </x:c>
      <x:c r="K698" s="22" t="b">
        <x:v>0</x:v>
      </x:c>
      <x:c r="L698" s="13" t="n">
        <x:v>66</x:v>
      </x:c>
      <x:c r="M698" s="13" t="n">
        <x:v>22</x:v>
      </x:c>
    </x:row>
    <x:row r="699" ht="22" customHeight="1">
      <x:c r="A699" s="17" t="str">
        <x:f>"08101000"</x:f>
        <x:v>08101000</x:v>
      </x:c>
      <x:c r="B699" s="13" t="n">
        <x:v>42</x:v>
      </x:c>
      <x:c r="C699" s="22" t="b">
        <x:v>0</x:v>
      </x:c>
      <x:c r="D699" s="11" t="n">
        <x:v>-0.03355385887234541</x:v>
      </x:c>
      <x:c r="E699" s="11" t="n">
        <x:v>-0.2607993653857372</x:v>
      </x:c>
      <x:c r="F699" s="11" t="n">
        <x:v>-0.07624246523753331</x:v>
      </x:c>
      <x:c r="G699" s="11" t="n">
        <x:v>0.22724550651339182</x:v>
      </x:c>
      <x:c r="H699" s="11" t="n">
        <x:v>0.0426886063651879</x:v>
      </x:c>
      <x:c r="I699" s="11" t="n">
        <x:v>0.4</x:v>
      </x:c>
      <x:c r="J699" s="13" t="n">
        <x:v>20</x:v>
      </x:c>
      <x:c r="K699" s="22" t="b">
        <x:v>0</x:v>
      </x:c>
      <x:c r="L699" s="13" t="n">
        <x:v>111</x:v>
      </x:c>
      <x:c r="M699" s="13" t="n">
        <x:v>38</x:v>
      </x:c>
    </x:row>
    <x:row r="700" ht="22" customHeight="1">
      <x:c r="A700" s="17" t="str">
        <x:f>"08103900"</x:f>
        <x:v>08103900</x:v>
      </x:c>
      <x:c r="B700" s="13" t="n">
        <x:v>42</x:v>
      </x:c>
      <x:c r="C700" s="22" t="b">
        <x:v>1</x:v>
      </x:c>
      <x:c r="D700" s="11" t="n">
        <x:v>0.08928374335403944</x:v>
      </x:c>
      <x:c r="E700" s="11" t="n">
        <x:v>0.08811556879463933</x:v>
      </x:c>
      <x:c r="F700" s="11" t="n">
        <x:v>0.08818622023313216</x:v>
      </x:c>
      <x:c r="G700" s="11" t="n">
        <x:v>0.0011681745594001036</x:v>
      </x:c>
      <x:c r="H700" s="11" t="n">
        <x:v>0.0010975231209072733</x:v>
      </x:c>
      <x:c r="I700" s="11"/>
      <x:c r="J700" s="13" t="n">
        <x:v>0</x:v>
      </x:c>
      <x:c r="K700" s="22" t="b">
        <x:v>0</x:v>
      </x:c>
      <x:c r="L700" s="13" t="n">
        <x:v>64</x:v>
      </x:c>
      <x:c r="M700" s="13" t="n">
        <x:v>21</x:v>
      </x:c>
    </x:row>
    <x:row r="701" ht="22" customHeight="1">
      <x:c r="A701" s="17" t="str">
        <x:f>"08103900"</x:f>
        <x:v>08103900</x:v>
      </x:c>
      <x:c r="B701" s="13" t="n">
        <x:v>42</x:v>
      </x:c>
      <x:c r="C701" s="22" t="b">
        <x:v>0</x:v>
      </x:c>
      <x:c r="D701" s="11" t="n">
        <x:v>0.04577816325280437</x:v>
      </x:c>
      <x:c r="E701" s="11" t="n">
        <x:v>0.027771715936348085</x:v>
      </x:c>
      <x:c r="F701" s="11" t="n">
        <x:v>-0.0023679087270918053</x:v>
      </x:c>
      <x:c r="G701" s="11" t="n">
        <x:v>0.018006447316456287</x:v>
      </x:c>
      <x:c r="H701" s="11" t="n">
        <x:v>0.04814607197989618</x:v>
      </x:c>
      <x:c r="I701" s="11" t="n">
        <x:v>1</x:v>
      </x:c>
      <x:c r="J701" s="13" t="n">
        <x:v>9</x:v>
      </x:c>
      <x:c r="K701" s="22" t="b">
        <x:v>1</x:v>
      </x:c>
      <x:c r="L701" s="13" t="n">
        <x:v>79</x:v>
      </x:c>
      <x:c r="M701" s="13" t="n">
        <x:v>27</x:v>
      </x:c>
    </x:row>
    <x:row r="702" ht="22" customHeight="1">
      <x:c r="A702" s="17" t="str">
        <x:f>"08104900"</x:f>
        <x:v>08104900</x:v>
      </x:c>
      <x:c r="B702" s="13" t="n">
        <x:v>42</x:v>
      </x:c>
      <x:c r="C702" s="22" t="b">
        <x:v>1</x:v>
      </x:c>
      <x:c r="D702" s="11" t="n">
        <x:v>0.0737449671715632</x:v>
      </x:c>
      <x:c r="E702" s="11" t="n">
        <x:v>-0.0157187231666982</x:v>
      </x:c>
      <x:c r="F702" s="11" t="n">
        <x:v>0.06906738503192755</x:v>
      </x:c>
      <x:c r="G702" s="11" t="n">
        <x:v>0.0894636903382614</x:v>
      </x:c>
      <x:c r="H702" s="11" t="n">
        <x:v>0.00467758213963565</x:v>
      </x:c>
      <x:c r="I702" s="11" t="n">
        <x:v>0</x:v>
      </x:c>
      <x:c r="J702" s="13" t="n">
        <x:v>19</x:v>
      </x:c>
      <x:c r="K702" s="22" t="b">
        <x:v>0</x:v>
      </x:c>
      <x:c r="L702" s="13" t="n">
        <x:v>85</x:v>
      </x:c>
      <x:c r="M702" s="13" t="n">
        <x:v>27</x:v>
      </x:c>
    </x:row>
    <x:row r="703" ht="22" customHeight="1">
      <x:c r="A703" s="17" t="str">
        <x:f>"08104900"</x:f>
        <x:v>08104900</x:v>
      </x:c>
      <x:c r="B703" s="13" t="n">
        <x:v>42</x:v>
      </x:c>
      <x:c r="C703" s="22" t="b">
        <x:v>0</x:v>
      </x:c>
      <x:c r="D703" s="11" t="n">
        <x:v>-0.13738753480474797</x:v>
      </x:c>
      <x:c r="E703" s="11" t="n">
        <x:v>-0.12806608042123213</x:v>
      </x:c>
      <x:c r="F703" s="11" t="n">
        <x:v>-1.4688943553031097</x:v>
      </x:c>
      <x:c r="G703" s="11" t="n">
        <x:v>-0.009321454383515837</x:v>
      </x:c>
      <x:c r="H703" s="11" t="n">
        <x:v>1.3315068204983618</x:v>
      </x:c>
      <x:c r="I703" s="11" t="n">
        <x:v>0.26666666666666666</x:v>
      </x:c>
      <x:c r="J703" s="13" t="n">
        <x:v>15</x:v>
      </x:c>
      <x:c r="K703" s="22" t="b">
        <x:v>0</x:v>
      </x:c>
      <x:c r="L703" s="13" t="n">
        <x:v>71</x:v>
      </x:c>
      <x:c r="M703" s="13" t="n">
        <x:v>23</x:v>
      </x:c>
    </x:row>
    <x:row r="704" ht="22" customHeight="1">
      <x:c r="A704" s="17" t="str">
        <x:f>"08109700"</x:f>
        <x:v>08109700</x:v>
      </x:c>
      <x:c r="B704" s="13" t="n">
        <x:v>42</x:v>
      </x:c>
      <x:c r="C704" s="22" t="b">
        <x:v>1</x:v>
      </x:c>
      <x:c r="D704" s="11" t="n">
        <x:v>0.4689285446075545</x:v>
      </x:c>
      <x:c r="E704" s="11" t="n">
        <x:v>0.002721563672646199</x:v>
      </x:c>
      <x:c r="F704" s="11" t="n">
        <x:v>0.3553512285054967</x:v>
      </x:c>
      <x:c r="G704" s="11" t="n">
        <x:v>0.4662069809349083</x:v>
      </x:c>
      <x:c r="H704" s="11" t="n">
        <x:v>0.11357731610205779</x:v>
      </x:c>
      <x:c r="I704" s="11" t="n">
        <x:v>0.8947368421052632</x:v>
      </x:c>
      <x:c r="J704" s="13" t="n">
        <x:v>19</x:v>
      </x:c>
      <x:c r="K704" s="22" t="b">
        <x:v>0</x:v>
      </x:c>
      <x:c r="L704" s="13" t="n">
        <x:v>110</x:v>
      </x:c>
      <x:c r="M704" s="13" t="n">
        <x:v>36</x:v>
      </x:c>
    </x:row>
    <x:row r="705" ht="22" customHeight="1">
      <x:c r="A705" s="17" t="str">
        <x:f>"08109700"</x:f>
        <x:v>08109700</x:v>
      </x:c>
      <x:c r="B705" s="13" t="n">
        <x:v>42</x:v>
      </x:c>
      <x:c r="C705" s="22" t="b">
        <x:v>0</x:v>
      </x:c>
      <x:c r="D705" s="11" t="n">
        <x:v>-0.8855226655500597</x:v>
      </x:c>
      <x:c r="E705" s="11" t="n">
        <x:v>-1.5292869040778698</x:v>
      </x:c>
      <x:c r="F705" s="11" t="n">
        <x:v>-5.618555679274444</x:v>
      </x:c>
      <x:c r="G705" s="11" t="n">
        <x:v>0.6437642385278102</x:v>
      </x:c>
      <x:c r="H705" s="11" t="n">
        <x:v>4.733033013724385</x:v>
      </x:c>
      <x:c r="I705" s="11" t="n">
        <x:v>0.6</x:v>
      </x:c>
      <x:c r="J705" s="13" t="n">
        <x:v>20</x:v>
      </x:c>
      <x:c r="K705" s="22" t="b">
        <x:v>0</x:v>
      </x:c>
      <x:c r="L705" s="13" t="n">
        <x:v>98</x:v>
      </x:c>
      <x:c r="M705" s="13" t="n">
        <x:v>34</x:v>
      </x:c>
    </x:row>
    <x:row r="706" ht="22" customHeight="1">
      <x:c r="A706" s="17" t="str">
        <x:f>"08150800"</x:f>
        <x:v>08150800</x:v>
      </x:c>
      <x:c r="B706" s="13" t="n">
        <x:v>42</x:v>
      </x:c>
      <x:c r="C706" s="22" t="b">
        <x:v>1</x:v>
      </x:c>
      <x:c r="D706" s="11" t="n">
        <x:v>0.15483329552987002</x:v>
      </x:c>
      <x:c r="E706" s="11" t="n">
        <x:v>0.15798274688433978</x:v>
      </x:c>
      <x:c r="F706" s="11" t="n">
        <x:v>0.09330111445470346</x:v>
      </x:c>
      <x:c r="G706" s="11" t="n">
        <x:v>-0.0031494513544697567</x:v>
      </x:c>
      <x:c r="H706" s="11" t="n">
        <x:v>0.06153218107516656</x:v>
      </x:c>
      <x:c r="I706" s="11" t="n">
        <x:v>0</x:v>
      </x:c>
      <x:c r="J706" s="13" t="n">
        <x:v>14</x:v>
      </x:c>
      <x:c r="K706" s="22" t="b">
        <x:v>0</x:v>
      </x:c>
      <x:c r="L706" s="13" t="n">
        <x:v>43</x:v>
      </x:c>
      <x:c r="M706" s="13" t="n">
        <x:v>16</x:v>
      </x:c>
    </x:row>
    <x:row r="707" ht="22" customHeight="1">
      <x:c r="A707" s="17" t="str">
        <x:f>"08150800"</x:f>
        <x:v>08150800</x:v>
      </x:c>
      <x:c r="B707" s="13" t="n">
        <x:v>42</x:v>
      </x:c>
      <x:c r="C707" s="22" t="b">
        <x:v>0</x:v>
      </x:c>
      <x:c r="D707" s="11" t="n">
        <x:v>0.05460684677813388</x:v>
      </x:c>
      <x:c r="E707" s="11" t="n">
        <x:v>-0.0843610845013314</x:v>
      </x:c>
      <x:c r="F707" s="11" t="n">
        <x:v>-0.013199747404621265</x:v>
      </x:c>
      <x:c r="G707" s="11" t="n">
        <x:v>0.13896793127946527</x:v>
      </x:c>
      <x:c r="H707" s="11" t="n">
        <x:v>0.06780659418275514</x:v>
      </x:c>
      <x:c r="I707" s="11" t="n">
        <x:v>1</x:v>
      </x:c>
      <x:c r="J707" s="13" t="n">
        <x:v>19</x:v>
      </x:c>
      <x:c r="K707" s="22" t="b">
        <x:v>0</x:v>
      </x:c>
      <x:c r="L707" s="13" t="n">
        <x:v>59</x:v>
      </x:c>
      <x:c r="M707" s="13" t="n">
        <x:v>20</x:v>
      </x:c>
    </x:row>
    <x:row r="708" ht="22" customHeight="1">
      <x:c r="A708" s="17" t="str">
        <x:f>"08158700"</x:f>
        <x:v>08158700</x:v>
      </x:c>
      <x:c r="B708" s="13" t="n">
        <x:v>42</x:v>
      </x:c>
      <x:c r="C708" s="22" t="b">
        <x:v>1</x:v>
      </x:c>
      <x:c r="D708" s="11" t="n">
        <x:v>0.1037586651183805</x:v>
      </x:c>
      <x:c r="E708" s="11" t="n">
        <x:v>-0.003981601768358267</x:v>
      </x:c>
      <x:c r="F708" s="11" t="n">
        <x:v>0.01949127563101194</x:v>
      </x:c>
      <x:c r="G708" s="11" t="n">
        <x:v>0.10774026688673877</x:v>
      </x:c>
      <x:c r="H708" s="11" t="n">
        <x:v>0.08426738948736856</x:v>
      </x:c>
      <x:c r="I708" s="11" t="n">
        <x:v>0.25</x:v>
      </x:c>
      <x:c r="J708" s="13" t="n">
        <x:v>16</x:v>
      </x:c>
      <x:c r="K708" s="22" t="b">
        <x:v>0</x:v>
      </x:c>
      <x:c r="L708" s="13" t="n">
        <x:v>88</x:v>
      </x:c>
      <x:c r="M708" s="13" t="n">
        <x:v>28</x:v>
      </x:c>
    </x:row>
    <x:row r="709" ht="22" customHeight="1">
      <x:c r="A709" s="17" t="str">
        <x:f>"08158700"</x:f>
        <x:v>08158700</x:v>
      </x:c>
      <x:c r="B709" s="13" t="n">
        <x:v>42</x:v>
      </x:c>
      <x:c r="C709" s="22" t="b">
        <x:v>0</x:v>
      </x:c>
      <x:c r="D709" s="11" t="n">
        <x:v>-0.09542192924330717</x:v>
      </x:c>
      <x:c r="E709" s="11" t="n">
        <x:v>-0.7777842440371605</x:v>
      </x:c>
      <x:c r="F709" s="11" t="n">
        <x:v>-2.597098051718642</x:v>
      </x:c>
      <x:c r="G709" s="11" t="n">
        <x:v>0.6823623147938533</x:v>
      </x:c>
      <x:c r="H709" s="11" t="n">
        <x:v>2.501676122475335</x:v>
      </x:c>
      <x:c r="I709" s="11" t="n">
        <x:v>1</x:v>
      </x:c>
      <x:c r="J709" s="13" t="n">
        <x:v>20</x:v>
      </x:c>
      <x:c r="K709" s="22" t="b">
        <x:v>0</x:v>
      </x:c>
      <x:c r="L709" s="13" t="n">
        <x:v>111</x:v>
      </x:c>
      <x:c r="M709" s="13" t="n">
        <x:v>41</x:v>
      </x:c>
    </x:row>
    <x:row r="710" ht="22" customHeight="1">
      <x:c r="A710" s="17" t="str">
        <x:f>"08158810"</x:f>
        <x:v>08158810</x:v>
      </x:c>
      <x:c r="B710" s="13" t="n">
        <x:v>42</x:v>
      </x:c>
      <x:c r="C710" s="22" t="b">
        <x:v>1</x:v>
      </x:c>
      <x:c r="D710" s="11" t="n">
        <x:v>0.1098801291008793</x:v>
      </x:c>
      <x:c r="E710" s="11" t="n">
        <x:v>0.1433218763256403</x:v>
      </x:c>
      <x:c r="F710" s="11" t="n">
        <x:v>0.11028653735887484</x:v>
      </x:c>
      <x:c r="G710" s="11" t="n">
        <x:v>-0.03344174722476101</x:v>
      </x:c>
      <x:c r="H710" s="11" t="n">
        <x:v>-0.0004064082579955386</x:v>
      </x:c>
      <x:c r="I710" s="11" t="n">
        <x:v>0.9</x:v>
      </x:c>
      <x:c r="J710" s="13" t="n">
        <x:v>20</x:v>
      </x:c>
      <x:c r="K710" s="22" t="b">
        <x:v>0</x:v>
      </x:c>
      <x:c r="L710" s="13" t="n">
        <x:v>107</x:v>
      </x:c>
      <x:c r="M710" s="13" t="n">
        <x:v>35</x:v>
      </x:c>
    </x:row>
    <x:row r="711" ht="22" customHeight="1">
      <x:c r="A711" s="17" t="str">
        <x:f>"08158810"</x:f>
        <x:v>08158810</x:v>
      </x:c>
      <x:c r="B711" s="13" t="n">
        <x:v>42</x:v>
      </x:c>
      <x:c r="C711" s="22" t="b">
        <x:v>0</x:v>
      </x:c>
      <x:c r="D711" s="11" t="n">
        <x:v>0.01883154209364024</x:v>
      </x:c>
      <x:c r="E711" s="11" t="n">
        <x:v>0.027928031929904562</x:v>
      </x:c>
      <x:c r="F711" s="11" t="n">
        <x:v>-0.01975448955812853</x:v>
      </x:c>
      <x:c r="G711" s="11" t="n">
        <x:v>-0.009096489836264321</x:v>
      </x:c>
      <x:c r="H711" s="11" t="n">
        <x:v>0.03858603165176877</x:v>
      </x:c>
      <x:c r="I711" s="11" t="n">
        <x:v>0.85</x:v>
      </x:c>
      <x:c r="J711" s="13" t="n">
        <x:v>20</x:v>
      </x:c>
      <x:c r="K711" s="22" t="b">
        <x:v>1</x:v>
      </x:c>
      <x:c r="L711" s="13" t="n">
        <x:v>74</x:v>
      </x:c>
      <x:c r="M711" s="13" t="n">
        <x:v>24</x:v>
      </x:c>
    </x:row>
    <x:row r="712" ht="22" customHeight="1">
      <x:c r="A712" s="17" t="str">
        <x:f>"08164000"</x:f>
        <x:v>08164000</x:v>
      </x:c>
      <x:c r="B712" s="13" t="n">
        <x:v>42</x:v>
      </x:c>
      <x:c r="C712" s="22" t="b">
        <x:v>1</x:v>
      </x:c>
      <x:c r="D712" s="11" t="n">
        <x:v>0.6854798557418498</x:v>
      </x:c>
      <x:c r="E712" s="11" t="n">
        <x:v>0.5476892368279032</x:v>
      </x:c>
      <x:c r="F712" s="11" t="n">
        <x:v>-0.8139253558597146</x:v>
      </x:c>
      <x:c r="G712" s="11" t="n">
        <x:v>0.13779061891394662</x:v>
      </x:c>
      <x:c r="H712" s="11" t="n">
        <x:v>1.4994052116015644</x:v>
      </x:c>
      <x:c r="I712" s="11" t="n">
        <x:v>1</x:v>
      </x:c>
      <x:c r="J712" s="13" t="n">
        <x:v>14</x:v>
      </x:c>
      <x:c r="K712" s="22" t="b">
        <x:v>0</x:v>
      </x:c>
      <x:c r="L712" s="13" t="n">
        <x:v>96</x:v>
      </x:c>
      <x:c r="M712" s="13" t="n">
        <x:v>33</x:v>
      </x:c>
    </x:row>
    <x:row r="713" ht="22" customHeight="1">
      <x:c r="A713" s="17" t="str">
        <x:f>"08164000"</x:f>
        <x:v>08164000</x:v>
      </x:c>
      <x:c r="B713" s="13" t="n">
        <x:v>42</x:v>
      </x:c>
      <x:c r="C713" s="22" t="b">
        <x:v>0</x:v>
      </x:c>
      <x:c r="D713" s="11" t="n">
        <x:v>0.062479526858609136</x:v>
      </x:c>
      <x:c r="E713" s="11" t="n">
        <x:v>-1.1982329501327063</x:v>
      </x:c>
      <x:c r="F713" s="11" t="n">
        <x:v>-10.620445990199713</x:v>
      </x:c>
      <x:c r="G713" s="11" t="n">
        <x:v>1.2607124769913154</x:v>
      </x:c>
      <x:c r="H713" s="11" t="n">
        <x:v>10.682925517058322</x:v>
      </x:c>
      <x:c r="I713" s="11" t="n">
        <x:v>0</x:v>
      </x:c>
      <x:c r="J713" s="13" t="n">
        <x:v>8</x:v>
      </x:c>
      <x:c r="K713" s="22" t="b">
        <x:v>0</x:v>
      </x:c>
      <x:c r="L713" s="13" t="n">
        <x:v>78</x:v>
      </x:c>
      <x:c r="M713" s="13" t="n">
        <x:v>27</x:v>
      </x:c>
    </x:row>
    <x:row r="714" ht="22" customHeight="1">
      <x:c r="A714" s="17" t="str">
        <x:f>"08164300"</x:f>
        <x:v>08164300</x:v>
      </x:c>
      <x:c r="B714" s="13" t="n">
        <x:v>42</x:v>
      </x:c>
      <x:c r="C714" s="22" t="b">
        <x:v>1</x:v>
      </x:c>
      <x:c r="D714" s="11" t="n">
        <x:v>-0.0628030397430428</x:v>
      </x:c>
      <x:c r="E714" s="11" t="n">
        <x:v>-0.34749917938071273</x:v>
      </x:c>
      <x:c r="F714" s="11" t="n">
        <x:v>-1.8717797730405712</x:v>
      </x:c>
      <x:c r="G714" s="11" t="n">
        <x:v>0.28469613963766993</x:v>
      </x:c>
      <x:c r="H714" s="11" t="n">
        <x:v>1.8089767332975284</x:v>
      </x:c>
      <x:c r="I714" s="11" t="n">
        <x:v>0.9411764705882353</x:v>
      </x:c>
      <x:c r="J714" s="13" t="n">
        <x:v>17</x:v>
      </x:c>
      <x:c r="K714" s="22" t="b">
        <x:v>0</x:v>
      </x:c>
      <x:c r="L714" s="13" t="n">
        <x:v>102</x:v>
      </x:c>
      <x:c r="M714" s="13" t="n">
        <x:v>33</x:v>
      </x:c>
    </x:row>
    <x:row r="715" ht="22" customHeight="1">
      <x:c r="A715" s="17" t="str">
        <x:f>"08164300"</x:f>
        <x:v>08164300</x:v>
      </x:c>
      <x:c r="B715" s="13" t="n">
        <x:v>42</x:v>
      </x:c>
      <x:c r="C715" s="22" t="b">
        <x:v>0</x:v>
      </x:c>
      <x:c r="D715" s="11" t="n">
        <x:v>-0.27889695452396746</x:v>
      </x:c>
      <x:c r="E715" s="11" t="n">
        <x:v>-1.372980216635486</x:v>
      </x:c>
      <x:c r="F715" s="11" t="n">
        <x:v>-10.00175102577926</x:v>
      </x:c>
      <x:c r="G715" s="11" t="n">
        <x:v>1.0940832621115186</x:v>
      </x:c>
      <x:c r="H715" s="11" t="n">
        <x:v>9.722854071255293</x:v>
      </x:c>
      <x:c r="I715" s="11" t="n">
        <x:v>0.631578947368421</x:v>
      </x:c>
      <x:c r="J715" s="13" t="n">
        <x:v>19</x:v>
      </x:c>
      <x:c r="K715" s="22" t="b">
        <x:v>0</x:v>
      </x:c>
      <x:c r="L715" s="13" t="n">
        <x:v>116</x:v>
      </x:c>
      <x:c r="M715" s="13" t="n">
        <x:v>39</x:v>
      </x:c>
    </x:row>
    <x:row r="716" ht="22" customHeight="1">
      <x:c r="A716" s="17" t="str">
        <x:f>"08164600"</x:f>
        <x:v>08164600</x:v>
      </x:c>
      <x:c r="B716" s="13" t="n">
        <x:v>42</x:v>
      </x:c>
      <x:c r="C716" s="22" t="b">
        <x:v>1</x:v>
      </x:c>
      <x:c r="D716" s="11" t="n">
        <x:v>-0.055389626148334425</x:v>
      </x:c>
      <x:c r="E716" s="11" t="n">
        <x:v>-0.07601345179012564</x:v>
      </x:c>
      <x:c r="F716" s="11" t="n">
        <x:v>-5.099369626772136</x:v>
      </x:c>
      <x:c r="G716" s="11" t="n">
        <x:v>0.020623825641791216</x:v>
      </x:c>
      <x:c r="H716" s="11" t="n">
        <x:v>5.043980000623801</x:v>
      </x:c>
      <x:c r="I716" s="11" t="n">
        <x:v>1</x:v>
      </x:c>
      <x:c r="J716" s="13" t="n">
        <x:v>10</x:v>
      </x:c>
      <x:c r="K716" s="22" t="b">
        <x:v>1</x:v>
      </x:c>
      <x:c r="L716" s="13" t="n">
        <x:v>85</x:v>
      </x:c>
      <x:c r="M716" s="13" t="n">
        <x:v>27</x:v>
      </x:c>
    </x:row>
    <x:row r="717" ht="22" customHeight="1">
      <x:c r="A717" s="17" t="str">
        <x:f>"08164600"</x:f>
        <x:v>08164600</x:v>
      </x:c>
      <x:c r="B717" s="13" t="n">
        <x:v>42</x:v>
      </x:c>
      <x:c r="C717" s="22" t="b">
        <x:v>0</x:v>
      </x:c>
      <x:c r="D717" s="11" t="n">
        <x:v>0.019003762913521016</x:v>
      </x:c>
      <x:c r="E717" s="11" t="n">
        <x:v>0.07356609427138994</x:v>
      </x:c>
      <x:c r="F717" s="11" t="n">
        <x:v>-2.5387418171700125</x:v>
      </x:c>
      <x:c r="G717" s="11" t="n">
        <x:v>-0.05456233135786892</x:v>
      </x:c>
      <x:c r="H717" s="11" t="n">
        <x:v>2.5577455800835334</x:v>
      </x:c>
      <x:c r="I717" s="11" t="n">
        <x:v>0.8947368421052632</x:v>
      </x:c>
      <x:c r="J717" s="13" t="n">
        <x:v>19</x:v>
      </x:c>
      <x:c r="K717" s="22" t="b">
        <x:v>1</x:v>
      </x:c>
      <x:c r="L717" s="13" t="n">
        <x:v>91</x:v>
      </x:c>
      <x:c r="M717" s="13" t="n">
        <x:v>29</x:v>
      </x:c>
    </x:row>
    <x:row r="718" ht="22" customHeight="1">
      <x:c r="A718" s="17" t="str">
        <x:f>"08165300"</x:f>
        <x:v>08165300</x:v>
      </x:c>
      <x:c r="B718" s="13" t="n">
        <x:v>42</x:v>
      </x:c>
      <x:c r="C718" s="22" t="b">
        <x:v>1</x:v>
      </x:c>
      <x:c r="D718" s="11" t="n">
        <x:v>0.14899669373175073</x:v>
      </x:c>
      <x:c r="E718" s="11" t="n">
        <x:v>0.17668708025178514</x:v>
      </x:c>
      <x:c r="F718" s="11" t="n">
        <x:v>0.15164938814949314</x:v>
      </x:c>
      <x:c r="G718" s="11" t="n">
        <x:v>-0.027690386520034416</x:v>
      </x:c>
      <x:c r="H718" s="11" t="n">
        <x:v>-0.0026526944177424072</x:v>
      </x:c>
      <x:c r="I718" s="11"/>
      <x:c r="J718" s="13" t="n">
        <x:v>0</x:v>
      </x:c>
      <x:c r="K718" s="22" t="b">
        <x:v>0</x:v>
      </x:c>
      <x:c r="L718" s="13" t="n">
        <x:v>24</x:v>
      </x:c>
      <x:c r="M718" s="13" t="n">
        <x:v>9</x:v>
      </x:c>
    </x:row>
    <x:row r="719" ht="22" customHeight="1">
      <x:c r="A719" s="17" t="str">
        <x:f>"08165300"</x:f>
        <x:v>08165300</x:v>
      </x:c>
      <x:c r="B719" s="13" t="n">
        <x:v>42</x:v>
      </x:c>
      <x:c r="C719" s="22" t="b">
        <x:v>0</x:v>
      </x:c>
      <x:c r="D719" s="11" t="n">
        <x:v>-0.12935276220756586</x:v>
      </x:c>
      <x:c r="E719" s="11" t="n">
        <x:v>-0.1993703415785315</x:v>
      </x:c>
      <x:c r="F719" s="11" t="n">
        <x:v>-1.6361106480252379</x:v>
      </x:c>
      <x:c r="G719" s="11" t="n">
        <x:v>0.07001757937096564</x:v>
      </x:c>
      <x:c r="H719" s="11" t="n">
        <x:v>1.506757885817672</x:v>
      </x:c>
      <x:c r="I719" s="11" t="n">
        <x:v>1</x:v>
      </x:c>
      <x:c r="J719" s="13" t="n">
        <x:v>12</x:v>
      </x:c>
      <x:c r="K719" s="22" t="b">
        <x:v>0</x:v>
      </x:c>
      <x:c r="L719" s="13" t="n">
        <x:v>63</x:v>
      </x:c>
      <x:c r="M719" s="13" t="n">
        <x:v>21</x:v>
      </x:c>
    </x:row>
    <x:row r="720" ht="22" customHeight="1">
      <x:c r="A720" s="17" t="str">
        <x:f>"08171300"</x:f>
        <x:v>08171300</x:v>
      </x:c>
      <x:c r="B720" s="13" t="n">
        <x:v>42</x:v>
      </x:c>
      <x:c r="C720" s="22" t="b">
        <x:v>1</x:v>
      </x:c>
      <x:c r="D720" s="11" t="n">
        <x:v>0.022626421461210633</x:v>
      </x:c>
      <x:c r="E720" s="11" t="n">
        <x:v>-0.07831450973938092</x:v>
      </x:c>
      <x:c r="F720" s="11" t="n">
        <x:v>-0.046311132550475476</x:v>
      </x:c>
      <x:c r="G720" s="11" t="n">
        <x:v>0.10094093120059155</x:v>
      </x:c>
      <x:c r="H720" s="11" t="n">
        <x:v>0.06893755401168611</x:v>
      </x:c>
      <x:c r="I720" s="11"/>
      <x:c r="J720" s="13" t="n">
        <x:v>0</x:v>
      </x:c>
      <x:c r="K720" s="22" t="b">
        <x:v>0</x:v>
      </x:c>
      <x:c r="L720" s="13" t="n">
        <x:v>73</x:v>
      </x:c>
      <x:c r="M720" s="13" t="n">
        <x:v>24</x:v>
      </x:c>
    </x:row>
    <x:row r="721" ht="22" customHeight="1">
      <x:c r="A721" s="17" t="str">
        <x:f>"08171300"</x:f>
        <x:v>08171300</x:v>
      </x:c>
      <x:c r="B721" s="13" t="n">
        <x:v>42</x:v>
      </x:c>
      <x:c r="C721" s="22" t="b">
        <x:v>0</x:v>
      </x:c>
      <x:c r="D721" s="11" t="n">
        <x:v>-0.12623509506316966</x:v>
      </x:c>
      <x:c r="E721" s="11" t="n">
        <x:v>-0.17101912847641487</x:v>
      </x:c>
      <x:c r="F721" s="11" t="n">
        <x:v>-2.4564066762421892</x:v>
      </x:c>
      <x:c r="G721" s="11" t="n">
        <x:v>0.04478403341324522</x:v>
      </x:c>
      <x:c r="H721" s="11" t="n">
        <x:v>2.3301715811790196</x:v>
      </x:c>
      <x:c r="I721" s="11" t="n">
        <x:v>0.25</x:v>
      </x:c>
      <x:c r="J721" s="13" t="n">
        <x:v>20</x:v>
      </x:c>
      <x:c r="K721" s="22" t="b">
        <x:v>0</x:v>
      </x:c>
      <x:c r="L721" s="13" t="n">
        <x:v>126</x:v>
      </x:c>
      <x:c r="M721" s="13" t="n">
        <x:v>44</x:v>
      </x:c>
    </x:row>
    <x:row r="722" ht="22" customHeight="1">
      <x:c r="A722" s="17" t="str">
        <x:f>"08175000"</x:f>
        <x:v>08175000</x:v>
      </x:c>
      <x:c r="B722" s="13" t="n">
        <x:v>42</x:v>
      </x:c>
      <x:c r="C722" s="22" t="b">
        <x:v>1</x:v>
      </x:c>
      <x:c r="D722" s="11" t="n">
        <x:v>0.6888998613684818</x:v>
      </x:c>
      <x:c r="E722" s="11" t="n">
        <x:v>0.7095834850457342</x:v>
      </x:c>
      <x:c r="F722" s="11" t="n">
        <x:v>0.3996606418538773</x:v>
      </x:c>
      <x:c r="G722" s="11" t="n">
        <x:v>-0.020683623677252405</x:v>
      </x:c>
      <x:c r="H722" s="11" t="n">
        <x:v>0.2892392195146045</x:v>
      </x:c>
      <x:c r="I722" s="11" t="n">
        <x:v>1</x:v>
      </x:c>
      <x:c r="J722" s="13" t="n">
        <x:v>20</x:v>
      </x:c>
      <x:c r="K722" s="22" t="b">
        <x:v>1</x:v>
      </x:c>
      <x:c r="L722" s="13" t="n">
        <x:v>173</x:v>
      </x:c>
      <x:c r="M722" s="13" t="n">
        <x:v>89</x:v>
      </x:c>
    </x:row>
    <x:row r="723" ht="22" customHeight="1">
      <x:c r="A723" s="17" t="str">
        <x:f>"08175000"</x:f>
        <x:v>08175000</x:v>
      </x:c>
      <x:c r="B723" s="13" t="n">
        <x:v>42</x:v>
      </x:c>
      <x:c r="C723" s="22" t="b">
        <x:v>0</x:v>
      </x:c>
      <x:c r="D723" s="11" t="n">
        <x:v>0.43045785914150947</x:v>
      </x:c>
      <x:c r="E723" s="11" t="n">
        <x:v>0.48041335543583286</x:v>
      </x:c>
      <x:c r="F723" s="11" t="n">
        <x:v>-0.21230731444002005</x:v>
      </x:c>
      <x:c r="G723" s="11" t="n">
        <x:v>-0.04995549629432339</x:v>
      </x:c>
      <x:c r="H723" s="11" t="n">
        <x:v>0.6427651735815295</x:v>
      </x:c>
      <x:c r="I723" s="11" t="n">
        <x:v>0.9444444444444444</x:v>
      </x:c>
      <x:c r="J723" s="13" t="n">
        <x:v>18</x:v>
      </x:c>
      <x:c r="K723" s="22" t="b">
        <x:v>1</x:v>
      </x:c>
      <x:c r="L723" s="13" t="n">
        <x:v>98</x:v>
      </x:c>
      <x:c r="M723" s="13" t="n">
        <x:v>31</x:v>
      </x:c>
    </x:row>
    <x:row r="724" ht="22" customHeight="1">
      <x:c r="A724" s="17" t="str">
        <x:f>"08189500"</x:f>
        <x:v>08189500</x:v>
      </x:c>
      <x:c r="B724" s="13" t="n">
        <x:v>42</x:v>
      </x:c>
      <x:c r="C724" s="22" t="b">
        <x:v>1</x:v>
      </x:c>
      <x:c r="D724" s="11" t="n">
        <x:v>0.8167613928508192</x:v>
      </x:c>
      <x:c r="E724" s="11" t="n">
        <x:v>0.7529959959080005</x:v>
      </x:c>
      <x:c r="F724" s="11" t="n">
        <x:v>-1.379648530493366</x:v>
      </x:c>
      <x:c r="G724" s="11" t="n">
        <x:v>0.06376539694281869</x:v>
      </x:c>
      <x:c r="H724" s="11" t="n">
        <x:v>2.196409923344185</x:v>
      </x:c>
      <x:c r="I724" s="11" t="n">
        <x:v>1</x:v>
      </x:c>
      <x:c r="J724" s="13" t="n">
        <x:v>20</x:v>
      </x:c>
      <x:c r="K724" s="22" t="b">
        <x:v>0</x:v>
      </x:c>
      <x:c r="L724" s="13" t="n">
        <x:v>91</x:v>
      </x:c>
      <x:c r="M724" s="13" t="n">
        <x:v>29</x:v>
      </x:c>
    </x:row>
    <x:row r="725" ht="22" customHeight="1">
      <x:c r="A725" s="17" t="str">
        <x:f>"08189500"</x:f>
        <x:v>08189500</x:v>
      </x:c>
      <x:c r="B725" s="13" t="n">
        <x:v>42</x:v>
      </x:c>
      <x:c r="C725" s="22" t="b">
        <x:v>0</x:v>
      </x:c>
      <x:c r="D725" s="11" t="n">
        <x:v>0.6407359204507508</x:v>
      </x:c>
      <x:c r="E725" s="11" t="n">
        <x:v>0.4941999641608975</x:v>
      </x:c>
      <x:c r="F725" s="11" t="n">
        <x:v>-10.854840793611862</x:v>
      </x:c>
      <x:c r="G725" s="11" t="n">
        <x:v>0.14653595628985328</x:v>
      </x:c>
      <x:c r="H725" s="11" t="n">
        <x:v>11.495576714062613</x:v>
      </x:c>
      <x:c r="I725" s="11"/>
      <x:c r="J725" s="13" t="n">
        <x:v>0</x:v>
      </x:c>
      <x:c r="K725" s="22" t="b">
        <x:v>0</x:v>
      </x:c>
      <x:c r="L725" s="13" t="n">
        <x:v>85</x:v>
      </x:c>
      <x:c r="M725" s="13" t="n">
        <x:v>27</x:v>
      </x:c>
    </x:row>
    <x:row r="726" ht="22" customHeight="1">
      <x:c r="A726" s="17" t="str">
        <x:f>"08190000"</x:f>
        <x:v>08190000</x:v>
      </x:c>
      <x:c r="B726" s="13" t="n">
        <x:v>42</x:v>
      </x:c>
      <x:c r="C726" s="22" t="b">
        <x:v>1</x:v>
      </x:c>
      <x:c r="D726" s="11" t="n">
        <x:v>-0.14174183256282857</x:v>
      </x:c>
      <x:c r="E726" s="11" t="n">
        <x:v>-8.34255480173025</x:v>
      </x:c>
      <x:c r="F726" s="11" t="n">
        <x:v>-2.1751533976446367</x:v>
      </x:c>
      <x:c r="G726" s="11" t="n">
        <x:v>8.200812969167421</x:v>
      </x:c>
      <x:c r="H726" s="11" t="n">
        <x:v>2.033411565081808</x:v>
      </x:c>
      <x:c r="I726" s="11" t="n">
        <x:v>0.631578947368421</x:v>
      </x:c>
      <x:c r="J726" s="13" t="n">
        <x:v>19</x:v>
      </x:c>
      <x:c r="K726" s="22" t="b">
        <x:v>0</x:v>
      </x:c>
      <x:c r="L726" s="13" t="n">
        <x:v>81</x:v>
      </x:c>
      <x:c r="M726" s="13" t="n">
        <x:v>26</x:v>
      </x:c>
    </x:row>
    <x:row r="727" ht="22" customHeight="1">
      <x:c r="A727" s="17" t="str">
        <x:f>"08190000"</x:f>
        <x:v>08190000</x:v>
      </x:c>
      <x:c r="B727" s="13" t="n">
        <x:v>42</x:v>
      </x:c>
      <x:c r="C727" s="22" t="b">
        <x:v>0</x:v>
      </x:c>
      <x:c r="D727" s="11" t="n">
        <x:v>-5.378977106136546</x:v>
      </x:c>
      <x:c r="E727" s="11" t="n">
        <x:v>-42.83935803876474</x:v>
      </x:c>
      <x:c r="F727" s="11" t="n">
        <x:v>-7.864893360232834</x:v>
      </x:c>
      <x:c r="G727" s="11" t="n">
        <x:v>37.4603809326282</x:v>
      </x:c>
      <x:c r="H727" s="11" t="n">
        <x:v>2.4859162540962885</x:v>
      </x:c>
      <x:c r="I727" s="11" t="n">
        <x:v>0.4444444444444444</x:v>
      </x:c>
      <x:c r="J727" s="13" t="n">
        <x:v>18</x:v>
      </x:c>
      <x:c r="K727" s="22" t="b">
        <x:v>0</x:v>
      </x:c>
      <x:c r="L727" s="13" t="n">
        <x:v>76</x:v>
      </x:c>
      <x:c r="M727" s="13" t="n">
        <x:v>25</x:v>
      </x:c>
    </x:row>
    <x:row r="728" ht="22" customHeight="1">
      <x:c r="A728" s="17" t="str">
        <x:f>"08190500"</x:f>
        <x:v>08190500</x:v>
      </x:c>
      <x:c r="B728" s="13" t="n">
        <x:v>42</x:v>
      </x:c>
      <x:c r="C728" s="22" t="b">
        <x:v>1</x:v>
      </x:c>
      <x:c r="D728" s="11" t="n">
        <x:v>-64.76679787045487</x:v>
      </x:c>
      <x:c r="E728" s="11" t="n">
        <x:v>-688.9998031543852</x:v>
      </x:c>
      <x:c r="F728" s="11" t="n">
        <x:v>-142.86913476895847</x:v>
      </x:c>
      <x:c r="G728" s="11" t="n">
        <x:v>624.2330052839303</x:v>
      </x:c>
      <x:c r="H728" s="11" t="n">
        <x:v>78.10233689850361</x:v>
      </x:c>
      <x:c r="I728" s="11"/>
      <x:c r="J728" s="13" t="n">
        <x:v>0</x:v>
      </x:c>
      <x:c r="K728" s="22" t="b">
        <x:v>0</x:v>
      </x:c>
      <x:c r="L728" s="13" t="n">
        <x:v>45</x:v>
      </x:c>
      <x:c r="M728" s="13" t="n">
        <x:v>16</x:v>
      </x:c>
    </x:row>
    <x:row r="729" ht="22" customHeight="1">
      <x:c r="A729" s="17" t="str">
        <x:f>"08190500"</x:f>
        <x:v>08190500</x:v>
      </x:c>
      <x:c r="B729" s="13" t="n">
        <x:v>42</x:v>
      </x:c>
      <x:c r="C729" s="22" t="b">
        <x:v>0</x:v>
      </x:c>
      <x:c r="D729" s="11" t="n">
        <x:v>-169.5485644850199</x:v>
      </x:c>
      <x:c r="E729" s="11" t="n">
        <x:v>-1230.7895073495392</x:v>
      </x:c>
      <x:c r="F729" s="11" t="n">
        <x:v>-367.958903553759</x:v>
      </x:c>
      <x:c r="G729" s="11" t="n">
        <x:v>1061.2409428645194</x:v>
      </x:c>
      <x:c r="H729" s="11" t="n">
        <x:v>198.4103390687391</x:v>
      </x:c>
      <x:c r="I729" s="11" t="n">
        <x:v>0.5</x:v>
      </x:c>
      <x:c r="J729" s="13" t="n">
        <x:v>12</x:v>
      </x:c>
      <x:c r="K729" s="22" t="b">
        <x:v>0</x:v>
      </x:c>
      <x:c r="L729" s="13" t="n">
        <x:v>46</x:v>
      </x:c>
      <x:c r="M729" s="13" t="n">
        <x:v>17</x:v>
      </x:c>
    </x:row>
    <x:row r="730" ht="22" customHeight="1">
      <x:c r="A730" s="17" t="str">
        <x:f>"08194200"</x:f>
        <x:v>08194200</x:v>
      </x:c>
      <x:c r="B730" s="13" t="n">
        <x:v>42</x:v>
      </x:c>
      <x:c r="C730" s="22" t="b">
        <x:v>1</x:v>
      </x:c>
      <x:c r="D730" s="11" t="n">
        <x:v>0.40610008684235943</x:v>
      </x:c>
      <x:c r="E730" s="11" t="n">
        <x:v>0.35722082931429344</x:v>
      </x:c>
      <x:c r="F730" s="11" t="n">
        <x:v>0.2582109000964372</x:v>
      </x:c>
      <x:c r="G730" s="11" t="n">
        <x:v>0.04887925752806599</x:v>
      </x:c>
      <x:c r="H730" s="11" t="n">
        <x:v>0.14788918674592222</x:v>
      </x:c>
      <x:c r="I730" s="11" t="n">
        <x:v>0.5</x:v>
      </x:c>
      <x:c r="J730" s="13" t="n">
        <x:v>18</x:v>
      </x:c>
      <x:c r="K730" s="22" t="b">
        <x:v>0</x:v>
      </x:c>
      <x:c r="L730" s="13" t="n">
        <x:v>102</x:v>
      </x:c>
      <x:c r="M730" s="13" t="n">
        <x:v>33</x:v>
      </x:c>
    </x:row>
    <x:row r="731" ht="22" customHeight="1">
      <x:c r="A731" s="17" t="str">
        <x:f>"08194200"</x:f>
        <x:v>08194200</x:v>
      </x:c>
      <x:c r="B731" s="13" t="n">
        <x:v>42</x:v>
      </x:c>
      <x:c r="C731" s="22" t="b">
        <x:v>0</x:v>
      </x:c>
      <x:c r="D731" s="11" t="n">
        <x:v>0.07163221149019783</x:v>
      </x:c>
      <x:c r="E731" s="11" t="n">
        <x:v>0.07641141875612056</x:v>
      </x:c>
      <x:c r="F731" s="11" t="n">
        <x:v>-0.16335210238105158</x:v>
      </x:c>
      <x:c r="G731" s="11" t="n">
        <x:v>-0.004779207265922736</x:v>
      </x:c>
      <x:c r="H731" s="11" t="n">
        <x:v>0.2349843138712494</x:v>
      </x:c>
      <x:c r="I731" s="11" t="n">
        <x:v>0.17647058823529413</x:v>
      </x:c>
      <x:c r="J731" s="13" t="n">
        <x:v>17</x:v>
      </x:c>
      <x:c r="K731" s="22" t="b">
        <x:v>0</x:v>
      </x:c>
      <x:c r="L731" s="13" t="n">
        <x:v>95</x:v>
      </x:c>
      <x:c r="M731" s="13" t="n">
        <x:v>31</x:v>
      </x:c>
    </x:row>
    <x:row r="732" ht="22" customHeight="1">
      <x:c r="A732" s="17" t="str">
        <x:f>"08195000"</x:f>
        <x:v>08195000</x:v>
      </x:c>
      <x:c r="B732" s="13" t="n">
        <x:v>42</x:v>
      </x:c>
      <x:c r="C732" s="22" t="b">
        <x:v>1</x:v>
      </x:c>
      <x:c r="D732" s="11" t="n">
        <x:v>0.08344996034924446</x:v>
      </x:c>
      <x:c r="E732" s="11" t="n">
        <x:v>0.011308446255616666</x:v>
      </x:c>
      <x:c r="F732" s="11" t="n">
        <x:v>-3.120745868969447</x:v>
      </x:c>
      <x:c r="G732" s="11" t="n">
        <x:v>0.07214151409362779</x:v>
      </x:c>
      <x:c r="H732" s="11" t="n">
        <x:v>3.2041958293186914</x:v>
      </x:c>
      <x:c r="I732" s="11" t="n">
        <x:v>0.55</x:v>
      </x:c>
      <x:c r="J732" s="13" t="n">
        <x:v>20</x:v>
      </x:c>
      <x:c r="K732" s="22" t="b">
        <x:v>0</x:v>
      </x:c>
      <x:c r="L732" s="13" t="n">
        <x:v>114</x:v>
      </x:c>
      <x:c r="M732" s="13" t="n">
        <x:v>37</x:v>
      </x:c>
    </x:row>
    <x:row r="733" ht="22" customHeight="1">
      <x:c r="A733" s="17" t="str">
        <x:f>"08195000"</x:f>
        <x:v>08195000</x:v>
      </x:c>
      <x:c r="B733" s="13" t="n">
        <x:v>42</x:v>
      </x:c>
      <x:c r="C733" s="22" t="b">
        <x:v>0</x:v>
      </x:c>
      <x:c r="D733" s="11" t="n">
        <x:v>-1.1965226192784866</x:v>
      </x:c>
      <x:c r="E733" s="11" t="n">
        <x:v>-2.1178228660336074</x:v>
      </x:c>
      <x:c r="F733" s="11" t="n">
        <x:v>-21.28722159937183</x:v>
      </x:c>
      <x:c r="G733" s="11" t="n">
        <x:v>0.9213002467551208</x:v>
      </x:c>
      <x:c r="H733" s="11" t="n">
        <x:v>20.090698980093343</x:v>
      </x:c>
      <x:c r="I733" s="11" t="n">
        <x:v>0.5882352941176471</x:v>
      </x:c>
      <x:c r="J733" s="13" t="n">
        <x:v>17</x:v>
      </x:c>
      <x:c r="K733" s="22" t="b">
        <x:v>0</x:v>
      </x:c>
      <x:c r="L733" s="13" t="n">
        <x:v>110</x:v>
      </x:c>
      <x:c r="M733" s="13" t="n">
        <x:v>36</x:v>
      </x:c>
    </x:row>
    <x:row r="734" ht="22" customHeight="1">
      <x:c r="A734" s="17" t="str">
        <x:f>"08196000"</x:f>
        <x:v>08196000</x:v>
      </x:c>
      <x:c r="B734" s="13" t="n">
        <x:v>42</x:v>
      </x:c>
      <x:c r="C734" s="22" t="b">
        <x:v>1</x:v>
      </x:c>
      <x:c r="D734" s="11" t="n">
        <x:v>0.38344012528122706</x:v>
      </x:c>
      <x:c r="E734" s="11" t="n">
        <x:v>0.16075026380327706</x:v>
      </x:c>
      <x:c r="F734" s="11" t="n">
        <x:v>0.29837449414017125</x:v>
      </x:c>
      <x:c r="G734" s="11" t="n">
        <x:v>0.22268986147795</x:v>
      </x:c>
      <x:c r="H734" s="11" t="n">
        <x:v>0.08506563114105581</x:v>
      </x:c>
      <x:c r="I734" s="11"/>
      <x:c r="J734" s="13" t="n">
        <x:v>0</x:v>
      </x:c>
      <x:c r="K734" s="22" t="b">
        <x:v>0</x:v>
      </x:c>
      <x:c r="L734" s="13" t="n">
        <x:v>48</x:v>
      </x:c>
      <x:c r="M734" s="13" t="n">
        <x:v>17</x:v>
      </x:c>
    </x:row>
    <x:row r="735" ht="22" customHeight="1">
      <x:c r="A735" s="17" t="str">
        <x:f>"08196000"</x:f>
        <x:v>08196000</x:v>
      </x:c>
      <x:c r="B735" s="13" t="n">
        <x:v>42</x:v>
      </x:c>
      <x:c r="C735" s="22" t="b">
        <x:v>0</x:v>
      </x:c>
      <x:c r="D735" s="11" t="n">
        <x:v>0.05578951856093084</x:v>
      </x:c>
      <x:c r="E735" s="11" t="n">
        <x:v>0.023758395706379942</x:v>
      </x:c>
      <x:c r="F735" s="11" t="n">
        <x:v>-0.8791809659786567</x:v>
      </x:c>
      <x:c r="G735" s="11" t="n">
        <x:v>0.0320311228545509</x:v>
      </x:c>
      <x:c r="H735" s="11" t="n">
        <x:v>0.9349704845395875</x:v>
      </x:c>
      <x:c r="I735" s="11" t="n">
        <x:v>0</x:v>
      </x:c>
      <x:c r="J735" s="13" t="n">
        <x:v>13</x:v>
      </x:c>
      <x:c r="K735" s="22" t="b">
        <x:v>0</x:v>
      </x:c>
      <x:c r="L735" s="13" t="n">
        <x:v>76</x:v>
      </x:c>
      <x:c r="M735" s="13" t="n">
        <x:v>26</x:v>
      </x:c>
    </x:row>
    <x:row r="736" ht="22" customHeight="1">
      <x:c r="A736" s="17" t="str">
        <x:f>"08198500"</x:f>
        <x:v>08198500</x:v>
      </x:c>
      <x:c r="B736" s="13" t="n">
        <x:v>42</x:v>
      </x:c>
      <x:c r="C736" s="22" t="b">
        <x:v>1</x:v>
      </x:c>
      <x:c r="D736" s="11" t="n">
        <x:v>-0.05372034419804961</x:v>
      </x:c>
      <x:c r="E736" s="11" t="n">
        <x:v>-0.0070108345320174514</x:v>
      </x:c>
      <x:c r="F736" s="11" t="n">
        <x:v>-0.23392477367630082</x:v>
      </x:c>
      <x:c r="G736" s="11" t="n">
        <x:v>-0.046709509666032156</x:v>
      </x:c>
      <x:c r="H736" s="11" t="n">
        <x:v>0.18020442947825122</x:v>
      </x:c>
      <x:c r="I736" s="11" t="n">
        <x:v>1</x:v>
      </x:c>
      <x:c r="J736" s="13" t="n">
        <x:v>16</x:v>
      </x:c>
      <x:c r="K736" s="22" t="b">
        <x:v>1</x:v>
      </x:c>
      <x:c r="L736" s="13" t="n">
        <x:v>63</x:v>
      </x:c>
      <x:c r="M736" s="13" t="n">
        <x:v>21</x:v>
      </x:c>
    </x:row>
    <x:row r="737" ht="22" customHeight="1">
      <x:c r="A737" s="17" t="str">
        <x:f>"08198500"</x:f>
        <x:v>08198500</x:v>
      </x:c>
      <x:c r="B737" s="13" t="n">
        <x:v>42</x:v>
      </x:c>
      <x:c r="C737" s="22" t="b">
        <x:v>0</x:v>
      </x:c>
      <x:c r="D737" s="11" t="n">
        <x:v>-0.0909361018415169</x:v>
      </x:c>
      <x:c r="E737" s="11" t="n">
        <x:v>-0.19464896761811512</x:v>
      </x:c>
      <x:c r="F737" s="11" t="n">
        <x:v>-1.2061658694151256</x:v>
      </x:c>
      <x:c r="G737" s="11" t="n">
        <x:v>0.10371286577659822</x:v>
      </x:c>
      <x:c r="H737" s="11" t="n">
        <x:v>1.1152297675736087</x:v>
      </x:c>
      <x:c r="I737" s="11" t="n">
        <x:v>1</x:v>
      </x:c>
      <x:c r="J737" s="13" t="n">
        <x:v>14</x:v>
      </x:c>
      <x:c r="K737" s="22" t="b">
        <x:v>0</x:v>
      </x:c>
      <x:c r="L737" s="13" t="n">
        <x:v>75</x:v>
      </x:c>
      <x:c r="M737" s="13" t="n">
        <x:v>30</x:v>
      </x:c>
    </x:row>
    <x:row r="738" ht="22" customHeight="1">
      <x:c r="A738" s="17" t="str">
        <x:f>"08200000"</x:f>
        <x:v>08200000</x:v>
      </x:c>
      <x:c r="B738" s="13" t="n">
        <x:v>42</x:v>
      </x:c>
      <x:c r="C738" s="22" t="b">
        <x:v>1</x:v>
      </x:c>
      <x:c r="D738" s="11" t="n">
        <x:v>0.566808189167274</x:v>
      </x:c>
      <x:c r="E738" s="11" t="n">
        <x:v>0.6022702779401625</x:v>
      </x:c>
      <x:c r="F738" s="11" t="n">
        <x:v>-0.2636084282144926</x:v>
      </x:c>
      <x:c r="G738" s="11" t="n">
        <x:v>-0.03546208877288848</x:v>
      </x:c>
      <x:c r="H738" s="11" t="n">
        <x:v>0.8304166173817666</x:v>
      </x:c>
      <x:c r="I738" s="11"/>
      <x:c r="J738" s="13" t="n">
        <x:v>0</x:v>
      </x:c>
      <x:c r="K738" s="22" t="b">
        <x:v>0</x:v>
      </x:c>
      <x:c r="L738" s="13" t="n">
        <x:v>68</x:v>
      </x:c>
      <x:c r="M738" s="13" t="n">
        <x:v>23</x:v>
      </x:c>
    </x:row>
    <x:row r="739" ht="22" customHeight="1">
      <x:c r="A739" s="17" t="str">
        <x:f>"08200000"</x:f>
        <x:v>08200000</x:v>
      </x:c>
      <x:c r="B739" s="13" t="n">
        <x:v>42</x:v>
      </x:c>
      <x:c r="C739" s="22" t="b">
        <x:v>0</x:v>
      </x:c>
      <x:c r="D739" s="11" t="n">
        <x:v>0.01618375125116367</x:v>
      </x:c>
      <x:c r="E739" s="11" t="n">
        <x:v>-0.2412082896776293</x:v>
      </x:c>
      <x:c r="F739" s="11" t="n">
        <x:v>-5.940999404232654</x:v>
      </x:c>
      <x:c r="G739" s="11" t="n">
        <x:v>0.257392040928793</x:v>
      </x:c>
      <x:c r="H739" s="11" t="n">
        <x:v>5.9571831554838175</x:v>
      </x:c>
      <x:c r="I739" s="11"/>
      <x:c r="J739" s="13" t="n">
        <x:v>0</x:v>
      </x:c>
      <x:c r="K739" s="22" t="b">
        <x:v>0</x:v>
      </x:c>
      <x:c r="L739" s="13" t="n">
        <x:v>64</x:v>
      </x:c>
      <x:c r="M739" s="13" t="n">
        <x:v>23</x:v>
      </x:c>
    </x:row>
    <x:row r="740" ht="22" customHeight="1">
      <x:c r="A740" s="17" t="str">
        <x:f>"08202700"</x:f>
        <x:v>08202700</x:v>
      </x:c>
      <x:c r="B740" s="13" t="n">
        <x:v>42</x:v>
      </x:c>
      <x:c r="C740" s="22" t="b">
        <x:v>1</x:v>
      </x:c>
      <x:c r="D740" s="11" t="n">
        <x:v>0.011754925772938907</x:v>
      </x:c>
      <x:c r="E740" s="11" t="n">
        <x:v>0.01534493326989117</x:v>
      </x:c>
      <x:c r="F740" s="11" t="n">
        <x:v>-1.382080591967286</x:v>
      </x:c>
      <x:c r="G740" s="11" t="n">
        <x:v>-0.0035900074969522633</x:v>
      </x:c>
      <x:c r="H740" s="11" t="n">
        <x:v>1.393835517740225</x:v>
      </x:c>
      <x:c r="I740" s="11" t="n">
        <x:v>0.5</x:v>
      </x:c>
      <x:c r="J740" s="13" t="n">
        <x:v>18</x:v>
      </x:c>
      <x:c r="K740" s="22" t="b">
        <x:v>0</x:v>
      </x:c>
      <x:c r="L740" s="13" t="n">
        <x:v>69</x:v>
      </x:c>
      <x:c r="M740" s="13" t="n">
        <x:v>23</x:v>
      </x:c>
    </x:row>
    <x:row r="741" ht="22" customHeight="1">
      <x:c r="A741" s="17" t="str">
        <x:f>"08202700"</x:f>
        <x:v>08202700</x:v>
      </x:c>
      <x:c r="B741" s="13" t="n">
        <x:v>42</x:v>
      </x:c>
      <x:c r="C741" s="22" t="b">
        <x:v>0</x:v>
      </x:c>
      <x:c r="D741" s="11" t="n">
        <x:v>-0.04316755177039844</x:v>
      </x:c>
      <x:c r="E741" s="11" t="n">
        <x:v>-0.04232722817629764</x:v>
      </x:c>
      <x:c r="F741" s="11" t="n">
        <x:v>-3.9070674127617417</x:v>
      </x:c>
      <x:c r="G741" s="11" t="n">
        <x:v>-0.0008403235941008003</x:v>
      </x:c>
      <x:c r="H741" s="11" t="n">
        <x:v>3.863899860991343</x:v>
      </x:c>
      <x:c r="I741" s="11" t="n">
        <x:v>1</x:v>
      </x:c>
      <x:c r="J741" s="13" t="n">
        <x:v>18</x:v>
      </x:c>
      <x:c r="K741" s="22" t="b">
        <x:v>1</x:v>
      </x:c>
      <x:c r="L741" s="13" t="n">
        <x:v>62</x:v>
      </x:c>
      <x:c r="M741" s="13" t="n">
        <x:v>21</x:v>
      </x:c>
    </x:row>
    <x:row r="742" ht="22" customHeight="1">
      <x:c r="A742" s="17" t="str">
        <x:f>"08267500"</x:f>
        <x:v>08267500</x:v>
      </x:c>
      <x:c r="B742" s="13" t="n">
        <x:v>42</x:v>
      </x:c>
      <x:c r="C742" s="22" t="b">
        <x:v>1</x:v>
      </x:c>
      <x:c r="D742" s="11" t="n">
        <x:v>0.9932875959600106</x:v>
      </x:c>
      <x:c r="E742" s="11" t="n">
        <x:v>0.9845864769241335</x:v>
      </x:c>
      <x:c r="F742" s="11" t="n">
        <x:v>0.7096431196500964</x:v>
      </x:c>
      <x:c r="G742" s="11" t="n">
        <x:v>0.008701119035877114</x:v>
      </x:c>
      <x:c r="H742" s="11" t="n">
        <x:v>0.2836444763099142</x:v>
      </x:c>
      <x:c r="I742" s="11" t="n">
        <x:v>1</x:v>
      </x:c>
      <x:c r="J742" s="13" t="n">
        <x:v>15</x:v>
      </x:c>
      <x:c r="K742" s="22" t="b">
        <x:v>1</x:v>
      </x:c>
      <x:c r="L742" s="13" t="n">
        <x:v>59</x:v>
      </x:c>
      <x:c r="M742" s="13" t="n">
        <x:v>20</x:v>
      </x:c>
    </x:row>
    <x:row r="743" ht="22" customHeight="1">
      <x:c r="A743" s="17" t="str">
        <x:f>"08267500"</x:f>
        <x:v>08267500</x:v>
      </x:c>
      <x:c r="B743" s="13" t="n">
        <x:v>42</x:v>
      </x:c>
      <x:c r="C743" s="22" t="b">
        <x:v>0</x:v>
      </x:c>
      <x:c r="D743" s="11" t="n">
        <x:v>0.5608026372432574</x:v>
      </x:c>
      <x:c r="E743" s="11" t="n">
        <x:v>0.08622369779256156</x:v>
      </x:c>
      <x:c r="F743" s="11" t="n">
        <x:v>-0.40878548968861983</x:v>
      </x:c>
      <x:c r="G743" s="11" t="n">
        <x:v>0.47457893945069585</x:v>
      </x:c>
      <x:c r="H743" s="11" t="n">
        <x:v>0.9695881269318772</x:v>
      </x:c>
      <x:c r="I743" s="11" t="n">
        <x:v>0.5714285714285714</x:v>
      </x:c>
      <x:c r="J743" s="13" t="n">
        <x:v>14</x:v>
      </x:c>
      <x:c r="K743" s="22" t="b">
        <x:v>0</x:v>
      </x:c>
      <x:c r="L743" s="13" t="n">
        <x:v>105</x:v>
      </x:c>
      <x:c r="M743" s="13" t="n">
        <x:v>34</x:v>
      </x:c>
    </x:row>
    <x:row r="744" ht="22" customHeight="1">
      <x:c r="A744" s="17" t="str">
        <x:f>"08269000"</x:f>
        <x:v>08269000</x:v>
      </x:c>
      <x:c r="B744" s="13" t="n">
        <x:v>42</x:v>
      </x:c>
      <x:c r="C744" s="22" t="b">
        <x:v>1</x:v>
      </x:c>
      <x:c r="D744" s="11" t="n">
        <x:v>0.9933667610323916</x:v>
      </x:c>
      <x:c r="E744" s="11" t="n">
        <x:v>0.9787338110497494</x:v>
      </x:c>
      <x:c r="F744" s="11" t="n">
        <x:v>0.8114940468670753</x:v>
      </x:c>
      <x:c r="G744" s="11" t="n">
        <x:v>0.014632949982642196</x:v>
      </x:c>
      <x:c r="H744" s="11" t="n">
        <x:v>0.18187271416531636</x:v>
      </x:c>
      <x:c r="I744" s="11"/>
      <x:c r="J744" s="13" t="n">
        <x:v>0</x:v>
      </x:c>
      <x:c r="K744" s="22" t="b">
        <x:v>0</x:v>
      </x:c>
      <x:c r="L744" s="13" t="n">
        <x:v>53</x:v>
      </x:c>
      <x:c r="M744" s="13" t="n">
        <x:v>18</x:v>
      </x:c>
    </x:row>
    <x:row r="745" ht="22" customHeight="1">
      <x:c r="A745" s="17" t="str">
        <x:f>"08269000"</x:f>
        <x:v>08269000</x:v>
      </x:c>
      <x:c r="B745" s="13" t="n">
        <x:v>42</x:v>
      </x:c>
      <x:c r="C745" s="22" t="b">
        <x:v>0</x:v>
      </x:c>
      <x:c r="D745" s="11" t="n">
        <x:v>0.49618024268539507</x:v>
      </x:c>
      <x:c r="E745" s="11" t="n">
        <x:v>0.38533974081257716</x:v>
      </x:c>
      <x:c r="F745" s="11" t="n">
        <x:v>-1.3234057171992748</x:v>
      </x:c>
      <x:c r="G745" s="11" t="n">
        <x:v>0.11084050187281791</x:v>
      </x:c>
      <x:c r="H745" s="11" t="n">
        <x:v>1.81958595988467</x:v>
      </x:c>
      <x:c r="I745" s="11" t="n">
        <x:v>0.15</x:v>
      </x:c>
      <x:c r="J745" s="13" t="n">
        <x:v>20</x:v>
      </x:c>
      <x:c r="K745" s="22" t="b">
        <x:v>0</x:v>
      </x:c>
      <x:c r="L745" s="13" t="n">
        <x:v>154</x:v>
      </x:c>
      <x:c r="M745" s="13" t="n">
        <x:v>61</x:v>
      </x:c>
    </x:row>
    <x:row r="746" ht="22" customHeight="1">
      <x:c r="A746" s="17" t="str">
        <x:f>"08271000"</x:f>
        <x:v>08271000</x:v>
      </x:c>
      <x:c r="B746" s="13" t="n">
        <x:v>42</x:v>
      </x:c>
      <x:c r="C746" s="22" t="b">
        <x:v>1</x:v>
      </x:c>
      <x:c r="D746" s="11" t="n">
        <x:v>0.9875852795930494</x:v>
      </x:c>
      <x:c r="E746" s="11" t="n">
        <x:v>0.9787475823529188</x:v>
      </x:c>
      <x:c r="F746" s="11" t="n">
        <x:v>0.8064212626699004</x:v>
      </x:c>
      <x:c r="G746" s="11" t="n">
        <x:v>0.008837697240130615</x:v>
      </x:c>
      <x:c r="H746" s="11" t="n">
        <x:v>0.18116401692314898</x:v>
      </x:c>
      <x:c r="I746" s="11"/>
      <x:c r="J746" s="13" t="n">
        <x:v>0</x:v>
      </x:c>
      <x:c r="K746" s="22" t="b">
        <x:v>0</x:v>
      </x:c>
      <x:c r="L746" s="13" t="n">
        <x:v>49</x:v>
      </x:c>
      <x:c r="M746" s="13" t="n">
        <x:v>17</x:v>
      </x:c>
    </x:row>
    <x:row r="747" ht="22" customHeight="1">
      <x:c r="A747" s="17" t="str">
        <x:f>"08271000"</x:f>
        <x:v>08271000</x:v>
      </x:c>
      <x:c r="B747" s="13" t="n">
        <x:v>42</x:v>
      </x:c>
      <x:c r="C747" s="22" t="b">
        <x:v>0</x:v>
      </x:c>
      <x:c r="D747" s="11" t="n">
        <x:v>0.39100356115333146</x:v>
      </x:c>
      <x:c r="E747" s="11" t="n">
        <x:v>0.24405357175253484</x:v>
      </x:c>
      <x:c r="F747" s="11" t="n">
        <x:v>-1.1205431671331154</x:v>
      </x:c>
      <x:c r="G747" s="11" t="n">
        <x:v>0.14694998940079662</x:v>
      </x:c>
      <x:c r="H747" s="11" t="n">
        <x:v>1.5115467282864468</x:v>
      </x:c>
      <x:c r="I747" s="11" t="n">
        <x:v>0.2857142857142857</x:v>
      </x:c>
      <x:c r="J747" s="13" t="n">
        <x:v>14</x:v>
      </x:c>
      <x:c r="K747" s="22" t="b">
        <x:v>0</x:v>
      </x:c>
      <x:c r="L747" s="13" t="n">
        <x:v>111</x:v>
      </x:c>
      <x:c r="M747" s="13" t="n">
        <x:v>37</x:v>
      </x:c>
    </x:row>
    <x:row r="748" ht="22" customHeight="1">
      <x:c r="A748" s="17" t="str">
        <x:f>"08324000"</x:f>
        <x:v>08324000</x:v>
      </x:c>
      <x:c r="B748" s="13" t="n">
        <x:v>42</x:v>
      </x:c>
      <x:c r="C748" s="22" t="b">
        <x:v>1</x:v>
      </x:c>
      <x:c r="D748" s="11" t="n">
        <x:v>0.8662885876166176</x:v>
      </x:c>
      <x:c r="E748" s="11" t="n">
        <x:v>0.8572978893013212</x:v>
      </x:c>
      <x:c r="F748" s="11" t="n">
        <x:v>0.04408213372316694</x:v>
      </x:c>
      <x:c r="G748" s="11" t="n">
        <x:v>0.00899069831529642</x:v>
      </x:c>
      <x:c r="H748" s="11" t="n">
        <x:v>0.8222064538934507</x:v>
      </x:c>
      <x:c r="I748" s="11" t="n">
        <x:v>0.85</x:v>
      </x:c>
      <x:c r="J748" s="13" t="n">
        <x:v>20</x:v>
      </x:c>
      <x:c r="K748" s="22" t="b">
        <x:v>1</x:v>
      </x:c>
      <x:c r="L748" s="13" t="n">
        <x:v>103</x:v>
      </x:c>
      <x:c r="M748" s="13" t="n">
        <x:v>34</x:v>
      </x:c>
    </x:row>
    <x:row r="749" ht="22" customHeight="1">
      <x:c r="A749" s="17" t="str">
        <x:f>"08324000"</x:f>
        <x:v>08324000</x:v>
      </x:c>
      <x:c r="B749" s="13" t="n">
        <x:v>42</x:v>
      </x:c>
      <x:c r="C749" s="22" t="b">
        <x:v>0</x:v>
      </x:c>
      <x:c r="D749" s="11" t="n">
        <x:v>0.4452554281463389</x:v>
      </x:c>
      <x:c r="E749" s="11" t="n">
        <x:v>0.5091263792578495</x:v>
      </x:c>
      <x:c r="F749" s="11" t="n">
        <x:v>-6.989365443717328</x:v>
      </x:c>
      <x:c r="G749" s="11" t="n">
        <x:v>-0.06387095111151064</x:v>
      </x:c>
      <x:c r="H749" s="11" t="n">
        <x:v>7.434620871863667</x:v>
      </x:c>
      <x:c r="I749" s="11" t="n">
        <x:v>0.9</x:v>
      </x:c>
      <x:c r="J749" s="13" t="n">
        <x:v>20</x:v>
      </x:c>
      <x:c r="K749" s="22" t="b">
        <x:v>1</x:v>
      </x:c>
      <x:c r="L749" s="13" t="n">
        <x:v>154</x:v>
      </x:c>
      <x:c r="M749" s="13" t="n">
        <x:v>61</x:v>
      </x:c>
    </x:row>
    <x:row r="750" ht="22" customHeight="1">
      <x:c r="A750" s="17" t="str">
        <x:f>"08377900"</x:f>
        <x:v>08377900</x:v>
      </x:c>
      <x:c r="B750" s="13" t="n">
        <x:v>42</x:v>
      </x:c>
      <x:c r="C750" s="22" t="b">
        <x:v>1</x:v>
      </x:c>
      <x:c r="D750" s="11" t="n">
        <x:v>0.8989112761978583</x:v>
      </x:c>
      <x:c r="E750" s="11" t="n">
        <x:v>0.8957829207617068</x:v>
      </x:c>
      <x:c r="F750" s="11" t="n">
        <x:v>0.30490419013874615</x:v>
      </x:c>
      <x:c r="G750" s="11" t="n">
        <x:v>0.00312835543615142</x:v>
      </x:c>
      <x:c r="H750" s="11" t="n">
        <x:v>0.5940070860591121</x:v>
      </x:c>
      <x:c r="I750" s="11" t="n">
        <x:v>1</x:v>
      </x:c>
      <x:c r="J750" s="13" t="n">
        <x:v>12</x:v>
      </x:c>
      <x:c r="K750" s="22" t="b">
        <x:v>1</x:v>
      </x:c>
      <x:c r="L750" s="13" t="n">
        <x:v>59</x:v>
      </x:c>
      <x:c r="M750" s="13" t="n">
        <x:v>20</x:v>
      </x:c>
    </x:row>
    <x:row r="751" ht="22" customHeight="1">
      <x:c r="A751" s="17" t="str">
        <x:f>"08377900"</x:f>
        <x:v>08377900</x:v>
      </x:c>
      <x:c r="B751" s="13" t="n">
        <x:v>42</x:v>
      </x:c>
      <x:c r="C751" s="22" t="b">
        <x:v>0</x:v>
      </x:c>
      <x:c r="D751" s="11" t="n">
        <x:v>0.5289369309872612</x:v>
      </x:c>
      <x:c r="E751" s="11" t="n">
        <x:v>0.5512925347024678</x:v>
      </x:c>
      <x:c r="F751" s="11" t="n">
        <x:v>-4.89811024496251</x:v>
      </x:c>
      <x:c r="G751" s="11" t="n">
        <x:v>-0.022355603715206507</x:v>
      </x:c>
      <x:c r="H751" s="11" t="n">
        <x:v>5.427047175949771</x:v>
      </x:c>
      <x:c r="I751" s="11" t="n">
        <x:v>1</x:v>
      </x:c>
      <x:c r="J751" s="13" t="n">
        <x:v>20</x:v>
      </x:c>
      <x:c r="K751" s="22" t="b">
        <x:v>1</x:v>
      </x:c>
      <x:c r="L751" s="13" t="n">
        <x:v>138</x:v>
      </x:c>
      <x:c r="M751" s="13" t="n">
        <x:v>50</x:v>
      </x:c>
    </x:row>
    <x:row r="752" ht="22" customHeight="1">
      <x:c r="A752" s="17" t="str">
        <x:f>"08378500"</x:f>
        <x:v>08378500</x:v>
      </x:c>
      <x:c r="B752" s="13" t="n">
        <x:v>42</x:v>
      </x:c>
      <x:c r="C752" s="22" t="b">
        <x:v>1</x:v>
      </x:c>
      <x:c r="D752" s="11" t="n">
        <x:v>0.8366507366801194</x:v>
      </x:c>
      <x:c r="E752" s="11" t="n">
        <x:v>0.8446827677994129</x:v>
      </x:c>
      <x:c r="F752" s="11" t="n">
        <x:v>0.18159920676067953</x:v>
      </x:c>
      <x:c r="G752" s="11" t="n">
        <x:v>-0.008032031119293515</x:v>
      </x:c>
      <x:c r="H752" s="11" t="n">
        <x:v>0.6550515299194398</x:v>
      </x:c>
      <x:c r="I752" s="11" t="n">
        <x:v>1</x:v>
      </x:c>
      <x:c r="J752" s="13" t="n">
        <x:v>19</x:v>
      </x:c>
      <x:c r="K752" s="22" t="b">
        <x:v>1</x:v>
      </x:c>
      <x:c r="L752" s="13" t="n">
        <x:v>59</x:v>
      </x:c>
      <x:c r="M752" s="13" t="n">
        <x:v>20</x:v>
      </x:c>
    </x:row>
    <x:row r="753" ht="22" customHeight="1">
      <x:c r="A753" s="17" t="str">
        <x:f>"08378500"</x:f>
        <x:v>08378500</x:v>
      </x:c>
      <x:c r="B753" s="13" t="n">
        <x:v>42</x:v>
      </x:c>
      <x:c r="C753" s="22" t="b">
        <x:v>0</x:v>
      </x:c>
      <x:c r="D753" s="11" t="n">
        <x:v>0.4298559363622556</x:v>
      </x:c>
      <x:c r="E753" s="11" t="n">
        <x:v>0.366379923957194</x:v>
      </x:c>
      <x:c r="F753" s="11" t="n">
        <x:v>-1.3913483398631716</x:v>
      </x:c>
      <x:c r="G753" s="11" t="n">
        <x:v>0.06347601240506162</x:v>
      </x:c>
      <x:c r="H753" s="11" t="n">
        <x:v>1.8212042762254272</x:v>
      </x:c>
      <x:c r="I753" s="11" t="n">
        <x:v>1</x:v>
      </x:c>
      <x:c r="J753" s="13" t="n">
        <x:v>20</x:v>
      </x:c>
      <x:c r="K753" s="22" t="b">
        <x:v>0</x:v>
      </x:c>
      <x:c r="L753" s="13" t="n">
        <x:v>131</x:v>
      </x:c>
      <x:c r="M753" s="13" t="n">
        <x:v>49</x:v>
      </x:c>
    </x:row>
    <x:row r="754" ht="22" customHeight="1">
      <x:c r="A754" s="17" t="str">
        <x:f>"08380500"</x:f>
        <x:v>08380500</x:v>
      </x:c>
      <x:c r="B754" s="13" t="n">
        <x:v>42</x:v>
      </x:c>
      <x:c r="C754" s="22" t="b">
        <x:v>1</x:v>
      </x:c>
      <x:c r="D754" s="11" t="n">
        <x:v>0.4971139279396122</x:v>
      </x:c>
      <x:c r="E754" s="11" t="n">
        <x:v>0.5128235306944523</x:v>
      </x:c>
      <x:c r="F754" s="11" t="n">
        <x:v>0.48444815622722026</x:v>
      </x:c>
      <x:c r="G754" s="11" t="n">
        <x:v>-0.015709602754840124</x:v>
      </x:c>
      <x:c r="H754" s="11" t="n">
        <x:v>0.012665771712391916</x:v>
      </x:c>
      <x:c r="I754" s="11" t="n">
        <x:v>0.7</x:v>
      </x:c>
      <x:c r="J754" s="13" t="n">
        <x:v>20</x:v>
      </x:c>
      <x:c r="K754" s="22" t="b">
        <x:v>0</x:v>
      </x:c>
      <x:c r="L754" s="13" t="n">
        <x:v>152</x:v>
      </x:c>
      <x:c r="M754" s="13" t="n">
        <x:v>59</x:v>
      </x:c>
    </x:row>
    <x:row r="755" ht="22" customHeight="1">
      <x:c r="A755" s="17" t="str">
        <x:f>"08380500"</x:f>
        <x:v>08380500</x:v>
      </x:c>
      <x:c r="B755" s="13" t="n">
        <x:v>42</x:v>
      </x:c>
      <x:c r="C755" s="22" t="b">
        <x:v>0</x:v>
      </x:c>
      <x:c r="D755" s="11" t="n">
        <x:v>0.178081272669937</x:v>
      </x:c>
      <x:c r="E755" s="11" t="n">
        <x:v>0.23868671339697678</x:v>
      </x:c>
      <x:c r="F755" s="11" t="n">
        <x:v>-0.5016369992275667</x:v>
      </x:c>
      <x:c r="G755" s="11" t="n">
        <x:v>-0.06060544072703977</x:v>
      </x:c>
      <x:c r="H755" s="11" t="n">
        <x:v>0.6797182718975037</x:v>
      </x:c>
      <x:c r="I755" s="11" t="n">
        <x:v>0.4</x:v>
      </x:c>
      <x:c r="J755" s="13" t="n">
        <x:v>20</x:v>
      </x:c>
      <x:c r="K755" s="22" t="b">
        <x:v>0</x:v>
      </x:c>
      <x:c r="L755" s="13" t="n">
        <x:v>119</x:v>
      </x:c>
      <x:c r="M755" s="13" t="n">
        <x:v>41</x:v>
      </x:c>
    </x:row>
    <x:row r="756" ht="22" customHeight="1">
      <x:c r="A756" s="17" t="str">
        <x:f>"09034900"</x:f>
        <x:v>09034900</x:v>
      </x:c>
      <x:c r="B756" s="13" t="n">
        <x:v>42</x:v>
      </x:c>
      <x:c r="C756" s="22" t="b">
        <x:v>1</x:v>
      </x:c>
      <x:c r="D756" s="11" t="n">
        <x:v>0.9800110285170531</x:v>
      </x:c>
      <x:c r="E756" s="11" t="n">
        <x:v>0.9688121654842636</x:v>
      </x:c>
      <x:c r="F756" s="11" t="n">
        <x:v>0.8417311575366544</x:v>
      </x:c>
      <x:c r="G756" s="11" t="n">
        <x:v>0.011198863032789497</x:v>
      </x:c>
      <x:c r="H756" s="11" t="n">
        <x:v>0.13827987098039873</x:v>
      </x:c>
      <x:c r="I756" s="11"/>
      <x:c r="J756" s="13" t="n">
        <x:v>0</x:v>
      </x:c>
      <x:c r="K756" s="22" t="b">
        <x:v>0</x:v>
      </x:c>
      <x:c r="L756" s="13" t="n">
        <x:v>40</x:v>
      </x:c>
      <x:c r="M756" s="13" t="n">
        <x:v>15</x:v>
      </x:c>
    </x:row>
    <x:row r="757" ht="22" customHeight="1">
      <x:c r="A757" s="17" t="str">
        <x:f>"09034900"</x:f>
        <x:v>09034900</x:v>
      </x:c>
      <x:c r="B757" s="13" t="n">
        <x:v>42</x:v>
      </x:c>
      <x:c r="C757" s="22" t="b">
        <x:v>0</x:v>
      </x:c>
      <x:c r="D757" s="11" t="n">
        <x:v>0.773675632455249</x:v>
      </x:c>
      <x:c r="E757" s="11" t="n">
        <x:v>0.7414302978472103</x:v>
      </x:c>
      <x:c r="F757" s="11" t="n">
        <x:v>0.28280966817683584</x:v>
      </x:c>
      <x:c r="G757" s="11" t="n">
        <x:v>0.03224533460803869</x:v>
      </x:c>
      <x:c r="H757" s="11" t="n">
        <x:v>0.4908659642784131</x:v>
      </x:c>
      <x:c r="I757" s="11"/>
      <x:c r="J757" s="13" t="n">
        <x:v>0</x:v>
      </x:c>
      <x:c r="K757" s="22" t="b">
        <x:v>0</x:v>
      </x:c>
      <x:c r="L757" s="13" t="n">
        <x:v>117</x:v>
      </x:c>
      <x:c r="M757" s="13" t="n">
        <x:v>41</x:v>
      </x:c>
    </x:row>
    <x:row r="758" ht="22" customHeight="1">
      <x:c r="A758" s="17" t="str">
        <x:f>"09035900"</x:f>
        <x:v>09035900</x:v>
      </x:c>
      <x:c r="B758" s="13" t="n">
        <x:v>42</x:v>
      </x:c>
      <x:c r="C758" s="22" t="b">
        <x:v>1</x:v>
      </x:c>
      <x:c r="D758" s="11" t="n">
        <x:v>0.9882413293053072</x:v>
      </x:c>
      <x:c r="E758" s="11" t="n">
        <x:v>0.9823920914598793</x:v>
      </x:c>
      <x:c r="F758" s="11" t="n">
        <x:v>0.9339858639872652</x:v>
      </x:c>
      <x:c r="G758" s="11" t="n">
        <x:v>0.0058492378454279015</x:v>
      </x:c>
      <x:c r="H758" s="11" t="n">
        <x:v>0.05425546531804193</x:v>
      </x:c>
      <x:c r="I758" s="11"/>
      <x:c r="J758" s="13" t="n">
        <x:v>0</x:v>
      </x:c>
      <x:c r="K758" s="22" t="b">
        <x:v>0</x:v>
      </x:c>
      <x:c r="L758" s="13" t="n">
        <x:v>45</x:v>
      </x:c>
      <x:c r="M758" s="13" t="n">
        <x:v>16</x:v>
      </x:c>
    </x:row>
    <x:row r="759" ht="22" customHeight="1">
      <x:c r="A759" s="17" t="str">
        <x:f>"09035900"</x:f>
        <x:v>09035900</x:v>
      </x:c>
      <x:c r="B759" s="13" t="n">
        <x:v>42</x:v>
      </x:c>
      <x:c r="C759" s="22" t="b">
        <x:v>0</x:v>
      </x:c>
      <x:c r="D759" s="11" t="n">
        <x:v>0.7907261431817971</x:v>
      </x:c>
      <x:c r="E759" s="11" t="n">
        <x:v>0.7750056868393358</x:v>
      </x:c>
      <x:c r="F759" s="11" t="n">
        <x:v>0.37867428360156774</x:v>
      </x:c>
      <x:c r="G759" s="11" t="n">
        <x:v>0.01572045634246133</x:v>
      </x:c>
      <x:c r="H759" s="11" t="n">
        <x:v>0.4120518595802294</x:v>
      </x:c>
      <x:c r="I759" s="11" t="n">
        <x:v>0.7</x:v>
      </x:c>
      <x:c r="J759" s="13" t="n">
        <x:v>20</x:v>
      </x:c>
      <x:c r="K759" s="22" t="b">
        <x:v>0</x:v>
      </x:c>
      <x:c r="L759" s="13" t="n">
        <x:v>112</x:v>
      </x:c>
      <x:c r="M759" s="13" t="n">
        <x:v>37</x:v>
      </x:c>
    </x:row>
    <x:row r="760" ht="22" customHeight="1">
      <x:c r="A760" s="17" t="str">
        <x:f>"09047700"</x:f>
        <x:v>09047700</x:v>
      </x:c>
      <x:c r="B760" s="13" t="n">
        <x:v>42</x:v>
      </x:c>
      <x:c r="C760" s="22" t="b">
        <x:v>1</x:v>
      </x:c>
      <x:c r="D760" s="11" t="n">
        <x:v>0.9808694420715647</x:v>
      </x:c>
      <x:c r="E760" s="11" t="n">
        <x:v>0.9398207247873641</x:v>
      </x:c>
      <x:c r="F760" s="11" t="n">
        <x:v>0.6617425283380123</x:v>
      </x:c>
      <x:c r="G760" s="11" t="n">
        <x:v>0.041048717284200564</x:v>
      </x:c>
      <x:c r="H760" s="11" t="n">
        <x:v>0.3191269137335524</x:v>
      </x:c>
      <x:c r="I760" s="11" t="n">
        <x:v>1</x:v>
      </x:c>
      <x:c r="J760" s="13" t="n">
        <x:v>16</x:v>
      </x:c>
      <x:c r="K760" s="22" t="b">
        <x:v>1</x:v>
      </x:c>
      <x:c r="L760" s="13" t="n">
        <x:v>62</x:v>
      </x:c>
      <x:c r="M760" s="13" t="n">
        <x:v>21</x:v>
      </x:c>
    </x:row>
    <x:row r="761" ht="22" customHeight="1">
      <x:c r="A761" s="17" t="str">
        <x:f>"09047700"</x:f>
        <x:v>09047700</x:v>
      </x:c>
      <x:c r="B761" s="13" t="n">
        <x:v>42</x:v>
      </x:c>
      <x:c r="C761" s="22" t="b">
        <x:v>0</x:v>
      </x:c>
      <x:c r="D761" s="11" t="n">
        <x:v>0.730346312244899</x:v>
      </x:c>
      <x:c r="E761" s="11" t="n">
        <x:v>0.6463273346061551</x:v>
      </x:c>
      <x:c r="F761" s="11" t="n">
        <x:v>0.1838531166415951</x:v>
      </x:c>
      <x:c r="G761" s="11" t="n">
        <x:v>0.08401897763874389</x:v>
      </x:c>
      <x:c r="H761" s="11" t="n">
        <x:v>0.5464931956033039</x:v>
      </x:c>
      <x:c r="I761" s="11" t="n">
        <x:v>1</x:v>
      </x:c>
      <x:c r="J761" s="13" t="n">
        <x:v>14</x:v>
      </x:c>
      <x:c r="K761" s="22" t="b">
        <x:v>0</x:v>
      </x:c>
      <x:c r="L761" s="13" t="n">
        <x:v>109</x:v>
      </x:c>
      <x:c r="M761" s="13" t="n">
        <x:v>38</x:v>
      </x:c>
    </x:row>
    <x:row r="762" ht="22" customHeight="1">
      <x:c r="A762" s="17" t="str">
        <x:f>"09065500"</x:f>
        <x:v>09065500</x:v>
      </x:c>
      <x:c r="B762" s="13" t="n">
        <x:v>42</x:v>
      </x:c>
      <x:c r="C762" s="22" t="b">
        <x:v>1</x:v>
      </x:c>
      <x:c r="D762" s="11" t="n">
        <x:v>0.9737203934095455</x:v>
      </x:c>
      <x:c r="E762" s="11" t="n">
        <x:v>0.9666471191774136</x:v>
      </x:c>
      <x:c r="F762" s="11" t="n">
        <x:v>0.8668639039225101</x:v>
      </x:c>
      <x:c r="G762" s="11" t="n">
        <x:v>0.0070732742321318876</x:v>
      </x:c>
      <x:c r="H762" s="11" t="n">
        <x:v>0.10685648948703541</x:v>
      </x:c>
      <x:c r="I762" s="11" t="n">
        <x:v>1</x:v>
      </x:c>
      <x:c r="J762" s="13" t="n">
        <x:v>11</x:v>
      </x:c>
      <x:c r="K762" s="22" t="b">
        <x:v>1</x:v>
      </x:c>
      <x:c r="L762" s="13" t="n">
        <x:v>49</x:v>
      </x:c>
      <x:c r="M762" s="13" t="n">
        <x:v>17</x:v>
      </x:c>
    </x:row>
    <x:row r="763" ht="22" customHeight="1">
      <x:c r="A763" s="17" t="str">
        <x:f>"09065500"</x:f>
        <x:v>09065500</x:v>
      </x:c>
      <x:c r="B763" s="13" t="n">
        <x:v>42</x:v>
      </x:c>
      <x:c r="C763" s="22" t="b">
        <x:v>0</x:v>
      </x:c>
      <x:c r="D763" s="11" t="n">
        <x:v>0.7844889967523577</x:v>
      </x:c>
      <x:c r="E763" s="11" t="n">
        <x:v>0.7779941703938684</x:v>
      </x:c>
      <x:c r="F763" s="11" t="n">
        <x:v>0.16418069414329783</x:v>
      </x:c>
      <x:c r="G763" s="11" t="n">
        <x:v>0.006494826358489303</x:v>
      </x:c>
      <x:c r="H763" s="11" t="n">
        <x:v>0.6203083026090599</x:v>
      </x:c>
      <x:c r="I763" s="11" t="n">
        <x:v>0.13333333333333333</x:v>
      </x:c>
      <x:c r="J763" s="13" t="n">
        <x:v>15</x:v>
      </x:c>
      <x:c r="K763" s="22" t="b">
        <x:v>0</x:v>
      </x:c>
      <x:c r="L763" s="13" t="n">
        <x:v>114</x:v>
      </x:c>
      <x:c r="M763" s="13" t="n">
        <x:v>37</x:v>
      </x:c>
    </x:row>
    <x:row r="764" ht="22" customHeight="1">
      <x:c r="A764" s="17" t="str">
        <x:f>"09066000"</x:f>
        <x:v>09066000</x:v>
      </x:c>
      <x:c r="B764" s="13" t="n">
        <x:v>42</x:v>
      </x:c>
      <x:c r="C764" s="22" t="b">
        <x:v>1</x:v>
      </x:c>
      <x:c r="D764" s="11" t="n">
        <x:v>0.9854472183500923</x:v>
      </x:c>
      <x:c r="E764" s="11" t="n">
        <x:v>0.9770610224718005</x:v>
      </x:c>
      <x:c r="F764" s="11" t="n">
        <x:v>0.9355443973855115</x:v>
      </x:c>
      <x:c r="G764" s="11" t="n">
        <x:v>0.008386195878291813</x:v>
      </x:c>
      <x:c r="H764" s="11" t="n">
        <x:v>0.04990282096458076</x:v>
      </x:c>
      <x:c r="I764" s="11" t="n">
        <x:v>1</x:v>
      </x:c>
      <x:c r="J764" s="13" t="n">
        <x:v>14</x:v>
      </x:c>
      <x:c r="K764" s="22" t="b">
        <x:v>1</x:v>
      </x:c>
      <x:c r="L764" s="13" t="n">
        <x:v>72</x:v>
      </x:c>
      <x:c r="M764" s="13" t="n">
        <x:v>24</x:v>
      </x:c>
    </x:row>
    <x:row r="765" ht="22" customHeight="1">
      <x:c r="A765" s="17" t="str">
        <x:f>"09066000"</x:f>
        <x:v>09066000</x:v>
      </x:c>
      <x:c r="B765" s="13" t="n">
        <x:v>42</x:v>
      </x:c>
      <x:c r="C765" s="22" t="b">
        <x:v>0</x:v>
      </x:c>
      <x:c r="D765" s="11" t="n">
        <x:v>0.6972843652846067</x:v>
      </x:c>
      <x:c r="E765" s="11" t="n">
        <x:v>0.6749000644701235</x:v>
      </x:c>
      <x:c r="F765" s="11" t="n">
        <x:v>0.31021534253646577</x:v>
      </x:c>
      <x:c r="G765" s="11" t="n">
        <x:v>0.02238430081448317</x:v>
      </x:c>
      <x:c r="H765" s="11" t="n">
        <x:v>0.3870690227481409</x:v>
      </x:c>
      <x:c r="I765" s="11" t="n">
        <x:v>0.85</x:v>
      </x:c>
      <x:c r="J765" s="13" t="n">
        <x:v>20</x:v>
      </x:c>
      <x:c r="K765" s="22" t="b">
        <x:v>1</x:v>
      </x:c>
      <x:c r="L765" s="13" t="n">
        <x:v>114</x:v>
      </x:c>
      <x:c r="M765" s="13" t="n">
        <x:v>37</x:v>
      </x:c>
    </x:row>
    <x:row r="766" ht="22" customHeight="1">
      <x:c r="A766" s="17" t="str">
        <x:f>"09066200"</x:f>
        <x:v>09066200</x:v>
      </x:c>
      <x:c r="B766" s="13" t="n">
        <x:v>42</x:v>
      </x:c>
      <x:c r="C766" s="22" t="b">
        <x:v>1</x:v>
      </x:c>
      <x:c r="D766" s="11" t="n">
        <x:v>0.9491574931858098</x:v>
      </x:c>
      <x:c r="E766" s="11" t="n">
        <x:v>0.9392774570478765</x:v>
      </x:c>
      <x:c r="F766" s="11" t="n">
        <x:v>0.799150697013779</x:v>
      </x:c>
      <x:c r="G766" s="11" t="n">
        <x:v>0.009880036137933312</x:v>
      </x:c>
      <x:c r="H766" s="11" t="n">
        <x:v>0.15000679617203072</x:v>
      </x:c>
      <x:c r="I766" s="11"/>
      <x:c r="J766" s="13" t="n">
        <x:v>0</x:v>
      </x:c>
      <x:c r="K766" s="22" t="b">
        <x:v>0</x:v>
      </x:c>
      <x:c r="L766" s="13" t="n">
        <x:v>42</x:v>
      </x:c>
      <x:c r="M766" s="13" t="n">
        <x:v>16</x:v>
      </x:c>
    </x:row>
    <x:row r="767" ht="22" customHeight="1">
      <x:c r="A767" s="17" t="str">
        <x:f>"09066200"</x:f>
        <x:v>09066200</x:v>
      </x:c>
      <x:c r="B767" s="13" t="n">
        <x:v>42</x:v>
      </x:c>
      <x:c r="C767" s="22" t="b">
        <x:v>0</x:v>
      </x:c>
      <x:c r="D767" s="11" t="n">
        <x:v>0.6401185756052105</x:v>
      </x:c>
      <x:c r="E767" s="11" t="n">
        <x:v>0.6787559143440702</x:v>
      </x:c>
      <x:c r="F767" s="11" t="n">
        <x:v>0.35881107701755455</x:v>
      </x:c>
      <x:c r="G767" s="11" t="n">
        <x:v>-0.03863733873885977</x:v>
      </x:c>
      <x:c r="H767" s="11" t="n">
        <x:v>0.2813074985876559</x:v>
      </x:c>
      <x:c r="I767" s="11" t="n">
        <x:v>0.4444444444444444</x:v>
      </x:c>
      <x:c r="J767" s="13" t="n">
        <x:v>18</x:v>
      </x:c>
      <x:c r="K767" s="22" t="b">
        <x:v>0</x:v>
      </x:c>
      <x:c r="L767" s="13" t="n">
        <x:v>116</x:v>
      </x:c>
      <x:c r="M767" s="13" t="n">
        <x:v>39</x:v>
      </x:c>
    </x:row>
    <x:row r="768" ht="22" customHeight="1">
      <x:c r="A768" s="17" t="str">
        <x:f>"09066300"</x:f>
        <x:v>09066300</x:v>
      </x:c>
      <x:c r="B768" s="13" t="n">
        <x:v>42</x:v>
      </x:c>
      <x:c r="C768" s="22" t="b">
        <x:v>1</x:v>
      </x:c>
      <x:c r="D768" s="11" t="n">
        <x:v>0.9915811525313886</x:v>
      </x:c>
      <x:c r="E768" s="11" t="n">
        <x:v>0.982045900671096</x:v>
      </x:c>
      <x:c r="F768" s="11" t="n">
        <x:v>0.8048148640576404</x:v>
      </x:c>
      <x:c r="G768" s="11" t="n">
        <x:v>0.009535251860292582</x:v>
      </x:c>
      <x:c r="H768" s="11" t="n">
        <x:v>0.1867662884737482</x:v>
      </x:c>
      <x:c r="I768" s="11"/>
      <x:c r="J768" s="13" t="n">
        <x:v>0</x:v>
      </x:c>
      <x:c r="K768" s="22" t="b">
        <x:v>0</x:v>
      </x:c>
      <x:c r="L768" s="13" t="n">
        <x:v>44</x:v>
      </x:c>
      <x:c r="M768" s="13" t="n">
        <x:v>16</x:v>
      </x:c>
    </x:row>
    <x:row r="769" ht="22" customHeight="1">
      <x:c r="A769" s="17" t="str">
        <x:f>"09066300"</x:f>
        <x:v>09066300</x:v>
      </x:c>
      <x:c r="B769" s="13" t="n">
        <x:v>42</x:v>
      </x:c>
      <x:c r="C769" s="22" t="b">
        <x:v>0</x:v>
      </x:c>
      <x:c r="D769" s="11" t="n">
        <x:v>0.7328536728522206</x:v>
      </x:c>
      <x:c r="E769" s="11" t="n">
        <x:v>0.7637671376337474</x:v>
      </x:c>
      <x:c r="F769" s="11" t="n">
        <x:v>-0.047014125982638655</x:v>
      </x:c>
      <x:c r="G769" s="11" t="n">
        <x:v>-0.03091346478152679</x:v>
      </x:c>
      <x:c r="H769" s="11" t="n">
        <x:v>0.7798677988348592</x:v>
      </x:c>
      <x:c r="I769" s="11" t="n">
        <x:v>1</x:v>
      </x:c>
      <x:c r="J769" s="13" t="n">
        <x:v>19</x:v>
      </x:c>
      <x:c r="K769" s="22" t="b">
        <x:v>1</x:v>
      </x:c>
      <x:c r="L769" s="13" t="n">
        <x:v>130</x:v>
      </x:c>
      <x:c r="M769" s="13" t="n">
        <x:v>45</x:v>
      </x:c>
    </x:row>
    <x:row r="770" ht="22" customHeight="1">
      <x:c r="A770" s="17" t="str">
        <x:f>"09081600"</x:f>
        <x:v>09081600</x:v>
      </x:c>
      <x:c r="B770" s="13" t="n">
        <x:v>42</x:v>
      </x:c>
      <x:c r="C770" s="22" t="b">
        <x:v>1</x:v>
      </x:c>
      <x:c r="D770" s="11" t="n">
        <x:v>0.9879294286625331</x:v>
      </x:c>
      <x:c r="E770" s="11" t="n">
        <x:v>0.9766980589043179</x:v>
      </x:c>
      <x:c r="F770" s="11" t="n">
        <x:v>0.9325092206380626</x:v>
      </x:c>
      <x:c r="G770" s="11" t="n">
        <x:v>0.011231369758215148</x:v>
      </x:c>
      <x:c r="H770" s="11" t="n">
        <x:v>0.05542020802447045</x:v>
      </x:c>
      <x:c r="I770" s="11"/>
      <x:c r="J770" s="13" t="n">
        <x:v>0</x:v>
      </x:c>
      <x:c r="K770" s="22" t="b">
        <x:v>0</x:v>
      </x:c>
      <x:c r="L770" s="13" t="n">
        <x:v>44</x:v>
      </x:c>
      <x:c r="M770" s="13" t="n">
        <x:v>16</x:v>
      </x:c>
    </x:row>
    <x:row r="771" ht="22" customHeight="1">
      <x:c r="A771" s="17" t="str">
        <x:f>"09081600"</x:f>
        <x:v>09081600</x:v>
      </x:c>
      <x:c r="B771" s="13" t="n">
        <x:v>42</x:v>
      </x:c>
      <x:c r="C771" s="22" t="b">
        <x:v>0</x:v>
      </x:c>
      <x:c r="D771" s="11" t="n">
        <x:v>0.7759817946686403</x:v>
      </x:c>
      <x:c r="E771" s="11" t="n">
        <x:v>0.7935557250414186</x:v>
      </x:c>
      <x:c r="F771" s="11" t="n">
        <x:v>-0.14104078233725525</x:v>
      </x:c>
      <x:c r="G771" s="11" t="n">
        <x:v>-0.017573930372778324</x:v>
      </x:c>
      <x:c r="H771" s="11" t="n">
        <x:v>0.9170225770058955</x:v>
      </x:c>
      <x:c r="I771" s="11" t="n">
        <x:v>0.8</x:v>
      </x:c>
      <x:c r="J771" s="13" t="n">
        <x:v>15</x:v>
      </x:c>
      <x:c r="K771" s="22" t="b">
        <x:v>1</x:v>
      </x:c>
      <x:c r="L771" s="13" t="n">
        <x:v>129</x:v>
      </x:c>
      <x:c r="M771" s="13" t="n">
        <x:v>45</x:v>
      </x:c>
    </x:row>
    <x:row r="772" ht="22" customHeight="1">
      <x:c r="A772" s="17" t="str">
        <x:f>"09210500"</x:f>
        <x:v>09210500</x:v>
      </x:c>
      <x:c r="B772" s="13" t="n">
        <x:v>42</x:v>
      </x:c>
      <x:c r="C772" s="22" t="b">
        <x:v>1</x:v>
      </x:c>
      <x:c r="D772" s="11" t="n">
        <x:v>0.9857782345244429</x:v>
      </x:c>
      <x:c r="E772" s="11" t="n">
        <x:v>0.9816824888381177</x:v>
      </x:c>
      <x:c r="F772" s="11" t="n">
        <x:v>0.7658797620560367</x:v>
      </x:c>
      <x:c r="G772" s="11" t="n">
        <x:v>0.004095745686325203</x:v>
      </x:c>
      <x:c r="H772" s="11" t="n">
        <x:v>0.21989847246840621</x:v>
      </x:c>
      <x:c r="I772" s="11" t="n">
        <x:v>1</x:v>
      </x:c>
      <x:c r="J772" s="13" t="n">
        <x:v>9</x:v>
      </x:c>
      <x:c r="K772" s="22" t="b">
        <x:v>1</x:v>
      </x:c>
      <x:c r="L772" s="13" t="n">
        <x:v>51</x:v>
      </x:c>
      <x:c r="M772" s="13" t="n">
        <x:v>18</x:v>
      </x:c>
    </x:row>
    <x:row r="773" ht="22" customHeight="1">
      <x:c r="A773" s="17" t="str">
        <x:f>"09210500"</x:f>
        <x:v>09210500</x:v>
      </x:c>
      <x:c r="B773" s="13" t="n">
        <x:v>42</x:v>
      </x:c>
      <x:c r="C773" s="22" t="b">
        <x:v>0</x:v>
      </x:c>
      <x:c r="D773" s="11" t="n">
        <x:v>0.6513582866881354</x:v>
      </x:c>
      <x:c r="E773" s="11" t="n">
        <x:v>0.6444001748606403</x:v>
      </x:c>
      <x:c r="F773" s="11" t="n">
        <x:v>0.3405646712936806</x:v>
      </x:c>
      <x:c r="G773" s="11" t="n">
        <x:v>0.0069581118274951725</x:v>
      </x:c>
      <x:c r="H773" s="11" t="n">
        <x:v>0.3107936153944548</x:v>
      </x:c>
      <x:c r="I773" s="11" t="n">
        <x:v>0.75</x:v>
      </x:c>
      <x:c r="J773" s="13" t="n">
        <x:v>20</x:v>
      </x:c>
      <x:c r="K773" s="22" t="b">
        <x:v>0</x:v>
      </x:c>
      <x:c r="L773" s="13" t="n">
        <x:v>174</x:v>
      </x:c>
      <x:c r="M773" s="13" t="n">
        <x:v>78</x:v>
      </x:c>
    </x:row>
    <x:row r="774" ht="22" customHeight="1">
      <x:c r="A774" s="17" t="str">
        <x:f>"09223000"</x:f>
        <x:v>09223000</x:v>
      </x:c>
      <x:c r="B774" s="13" t="n">
        <x:v>42</x:v>
      </x:c>
      <x:c r="C774" s="22" t="b">
        <x:v>1</x:v>
      </x:c>
      <x:c r="D774" s="11" t="n">
        <x:v>0.9930315255304419</x:v>
      </x:c>
      <x:c r="E774" s="11" t="n">
        <x:v>0.9733303428774751</x:v>
      </x:c>
      <x:c r="F774" s="11" t="n">
        <x:v>0.7603912237201446</x:v>
      </x:c>
      <x:c r="G774" s="11" t="n">
        <x:v>0.01970118265296683</x:v>
      </x:c>
      <x:c r="H774" s="11" t="n">
        <x:v>0.23264030181029738</x:v>
      </x:c>
      <x:c r="I774" s="11" t="n">
        <x:v>0</x:v>
      </x:c>
      <x:c r="J774" s="13" t="n">
        <x:v>15</x:v>
      </x:c>
      <x:c r="K774" s="22" t="b">
        <x:v>0</x:v>
      </x:c>
      <x:c r="L774" s="13" t="n">
        <x:v>64</x:v>
      </x:c>
      <x:c r="M774" s="13" t="n">
        <x:v>21</x:v>
      </x:c>
    </x:row>
    <x:row r="775" ht="22" customHeight="1">
      <x:c r="A775" s="17" t="str">
        <x:f>"09223000"</x:f>
        <x:v>09223000</x:v>
      </x:c>
      <x:c r="B775" s="13" t="n">
        <x:v>42</x:v>
      </x:c>
      <x:c r="C775" s="22" t="b">
        <x:v>0</x:v>
      </x:c>
      <x:c r="D775" s="11" t="n">
        <x:v>0.695904869182143</x:v>
      </x:c>
      <x:c r="E775" s="11" t="n">
        <x:v>0.682030588688311</x:v>
      </x:c>
      <x:c r="F775" s="11" t="n">
        <x:v>0.4262049349262138</x:v>
      </x:c>
      <x:c r="G775" s="11" t="n">
        <x:v>0.013874280493831992</x:v>
      </x:c>
      <x:c r="H775" s="11" t="n">
        <x:v>0.2696999342559292</x:v>
      </x:c>
      <x:c r="I775" s="11" t="n">
        <x:v>0.9</x:v>
      </x:c>
      <x:c r="J775" s="13" t="n">
        <x:v>20</x:v>
      </x:c>
      <x:c r="K775" s="22" t="b">
        <x:v>1</x:v>
      </x:c>
      <x:c r="L775" s="13" t="n">
        <x:v>154</x:v>
      </x:c>
      <x:c r="M775" s="13" t="n">
        <x:v>64</x:v>
      </x:c>
    </x:row>
    <x:row r="776" ht="22" customHeight="1">
      <x:c r="A776" s="17" t="str">
        <x:f>"09306242"</x:f>
        <x:v>09306242</x:v>
      </x:c>
      <x:c r="B776" s="13" t="n">
        <x:v>42</x:v>
      </x:c>
      <x:c r="C776" s="22" t="b">
        <x:v>1</x:v>
      </x:c>
      <x:c r="D776" s="11" t="n">
        <x:v>0.9493032597980469</x:v>
      </x:c>
      <x:c r="E776" s="11" t="n">
        <x:v>0.9409337574312674</x:v>
      </x:c>
      <x:c r="F776" s="11" t="n">
        <x:v>-25.5568194643433</x:v>
      </x:c>
      <x:c r="G776" s="11" t="n">
        <x:v>0.008369502366779469</x:v>
      </x:c>
      <x:c r="H776" s="11" t="n">
        <x:v>26.506122724141346</x:v>
      </x:c>
      <x:c r="I776" s="11" t="n">
        <x:v>0.85</x:v>
      </x:c>
      <x:c r="J776" s="13" t="n">
        <x:v>20</x:v>
      </x:c>
      <x:c r="K776" s="22" t="b">
        <x:v>1</x:v>
      </x:c>
      <x:c r="L776" s="13" t="n">
        <x:v>145</x:v>
      </x:c>
      <x:c r="M776" s="13" t="n">
        <x:v>57</x:v>
      </x:c>
    </x:row>
    <x:row r="777" ht="22" customHeight="1">
      <x:c r="A777" s="17" t="str">
        <x:f>"09306242"</x:f>
        <x:v>09306242</x:v>
      </x:c>
      <x:c r="B777" s="13" t="n">
        <x:v>42</x:v>
      </x:c>
      <x:c r="C777" s="22" t="b">
        <x:v>0</x:v>
      </x:c>
      <x:c r="D777" s="11" t="n">
        <x:v>-3.9341403577232095</x:v>
      </x:c>
      <x:c r="E777" s="11" t="n">
        <x:v>-2.0390087305496114</x:v>
      </x:c>
      <x:c r="F777" s="11" t="n">
        <x:v>-18.44924508371571</x:v>
      </x:c>
      <x:c r="G777" s="11" t="n">
        <x:v>-1.895131627173598</x:v>
      </x:c>
      <x:c r="H777" s="11" t="n">
        <x:v>14.5151047259925</x:v>
      </x:c>
      <x:c r="I777" s="11" t="n">
        <x:v>0.3684210526315789</x:v>
      </x:c>
      <x:c r="J777" s="13" t="n">
        <x:v>19</x:v>
      </x:c>
      <x:c r="K777" s="22" t="b">
        <x:v>0</x:v>
      </x:c>
      <x:c r="L777" s="13" t="n">
        <x:v>104</x:v>
      </x:c>
      <x:c r="M777" s="13" t="n">
        <x:v>36</x:v>
      </x:c>
    </x:row>
    <x:row r="778" ht="22" customHeight="1">
      <x:c r="A778" s="17" t="str">
        <x:f>"09312600"</x:f>
        <x:v>09312600</x:v>
      </x:c>
      <x:c r="B778" s="13" t="n">
        <x:v>42</x:v>
      </x:c>
      <x:c r="C778" s="22" t="b">
        <x:v>1</x:v>
      </x:c>
      <x:c r="D778" s="11" t="n">
        <x:v>0.9921897478868049</x:v>
      </x:c>
      <x:c r="E778" s="11" t="n">
        <x:v>0.9749692910671195</x:v>
      </x:c>
      <x:c r="F778" s="11" t="n">
        <x:v>0.5816899752618393</x:v>
      </x:c>
      <x:c r="G778" s="11" t="n">
        <x:v>0.017220456819685426</x:v>
      </x:c>
      <x:c r="H778" s="11" t="n">
        <x:v>0.4104997726249656</x:v>
      </x:c>
      <x:c r="I778" s="11"/>
      <x:c r="J778" s="13" t="n">
        <x:v>0</x:v>
      </x:c>
      <x:c r="K778" s="22" t="b">
        <x:v>0</x:v>
      </x:c>
      <x:c r="L778" s="13" t="n">
        <x:v>57</x:v>
      </x:c>
      <x:c r="M778" s="13" t="n">
        <x:v>19</x:v>
      </x:c>
    </x:row>
    <x:row r="779" ht="22" customHeight="1">
      <x:c r="A779" s="17" t="str">
        <x:f>"09312600"</x:f>
        <x:v>09312600</x:v>
      </x:c>
      <x:c r="B779" s="13" t="n">
        <x:v>42</x:v>
      </x:c>
      <x:c r="C779" s="22" t="b">
        <x:v>0</x:v>
      </x:c>
      <x:c r="D779" s="11" t="n">
        <x:v>0.29756048486602393</x:v>
      </x:c>
      <x:c r="E779" s="11" t="n">
        <x:v>0.19338588735108542</x:v>
      </x:c>
      <x:c r="F779" s="11" t="n">
        <x:v>-0.28177088155998176</x:v>
      </x:c>
      <x:c r="G779" s="11" t="n">
        <x:v>0.10417459751493852</x:v>
      </x:c>
      <x:c r="H779" s="11" t="n">
        <x:v>0.5793313664260057</x:v>
      </x:c>
      <x:c r="I779" s="11" t="n">
        <x:v>0.9</x:v>
      </x:c>
      <x:c r="J779" s="13" t="n">
        <x:v>20</x:v>
      </x:c>
      <x:c r="K779" s="22" t="b">
        <x:v>0</x:v>
      </x:c>
      <x:c r="L779" s="13" t="n">
        <x:v>149</x:v>
      </x:c>
      <x:c r="M779" s="13" t="n">
        <x:v>57</x:v>
      </x:c>
    </x:row>
    <x:row r="780" ht="22" customHeight="1">
      <x:c r="A780" s="17" t="str">
        <x:f>"09352900"</x:f>
        <x:v>09352900</x:v>
      </x:c>
      <x:c r="B780" s="13" t="n">
        <x:v>42</x:v>
      </x:c>
      <x:c r="C780" s="22" t="b">
        <x:v>1</x:v>
      </x:c>
      <x:c r="D780" s="11" t="n">
        <x:v>0.8888649237197979</x:v>
      </x:c>
      <x:c r="E780" s="11" t="n">
        <x:v>0.8794876063167542</x:v>
      </x:c>
      <x:c r="F780" s="11" t="n">
        <x:v>0.7873962757356094</x:v>
      </x:c>
      <x:c r="G780" s="11" t="n">
        <x:v>0.009377317403043706</x:v>
      </x:c>
      <x:c r="H780" s="11" t="n">
        <x:v>0.10146864798418842</x:v>
      </x:c>
      <x:c r="I780" s="11" t="n">
        <x:v>0.6666666666666666</x:v>
      </x:c>
      <x:c r="J780" s="13" t="n">
        <x:v>18</x:v>
      </x:c>
      <x:c r="K780" s="22" t="b">
        <x:v>0</x:v>
      </x:c>
      <x:c r="L780" s="13" t="n">
        <x:v>77</x:v>
      </x:c>
      <x:c r="M780" s="13" t="n">
        <x:v>25</x:v>
      </x:c>
    </x:row>
    <x:row r="781" ht="22" customHeight="1">
      <x:c r="A781" s="17" t="str">
        <x:f>"09352900"</x:f>
        <x:v>09352900</x:v>
      </x:c>
      <x:c r="B781" s="13" t="n">
        <x:v>42</x:v>
      </x:c>
      <x:c r="C781" s="22" t="b">
        <x:v>0</x:v>
      </x:c>
      <x:c r="D781" s="11" t="n">
        <x:v>0.7099698981433136</x:v>
      </x:c>
      <x:c r="E781" s="11" t="n">
        <x:v>0.6437525305884579</x:v>
      </x:c>
      <x:c r="F781" s="11" t="n">
        <x:v>0.29627466845076655</x:v>
      </x:c>
      <x:c r="G781" s="11" t="n">
        <x:v>0.06621736755485563</x:v>
      </x:c>
      <x:c r="H781" s="11" t="n">
        <x:v>0.413695229692547</x:v>
      </x:c>
      <x:c r="I781" s="11" t="n">
        <x:v>0.5</x:v>
      </x:c>
      <x:c r="J781" s="13" t="n">
        <x:v>20</x:v>
      </x:c>
      <x:c r="K781" s="22" t="b">
        <x:v>0</x:v>
      </x:c>
      <x:c r="L781" s="13" t="n">
        <x:v>114</x:v>
      </x:c>
      <x:c r="M781" s="13" t="n">
        <x:v>40</x:v>
      </x:c>
    </x:row>
    <x:row r="782" ht="22" customHeight="1">
      <x:c r="A782" s="17" t="str">
        <x:f>"09378630"</x:f>
        <x:v>09378630</x:v>
      </x:c>
      <x:c r="B782" s="13" t="n">
        <x:v>42</x:v>
      </x:c>
      <x:c r="C782" s="22" t="b">
        <x:v>1</x:v>
      </x:c>
      <x:c r="D782" s="11" t="n">
        <x:v>0.9505356207716805</x:v>
      </x:c>
      <x:c r="E782" s="11" t="n">
        <x:v>0.8524293770485035</x:v>
      </x:c>
      <x:c r="F782" s="11" t="n">
        <x:v>0.8391825551724721</x:v>
      </x:c>
      <x:c r="G782" s="11" t="n">
        <x:v>0.098106243723177</x:v>
      </x:c>
      <x:c r="H782" s="11" t="n">
        <x:v>0.11135306559920843</x:v>
      </x:c>
      <x:c r="I782" s="11" t="n">
        <x:v>0.42105263157894735</x:v>
      </x:c>
      <x:c r="J782" s="13" t="n">
        <x:v>19</x:v>
      </x:c>
      <x:c r="K782" s="22" t="b">
        <x:v>0</x:v>
      </x:c>
      <x:c r="L782" s="13" t="n">
        <x:v>108</x:v>
      </x:c>
      <x:c r="M782" s="13" t="n">
        <x:v>43</x:v>
      </x:c>
    </x:row>
    <x:row r="783" ht="22" customHeight="1">
      <x:c r="A783" s="17" t="str">
        <x:f>"09378630"</x:f>
        <x:v>09378630</x:v>
      </x:c>
      <x:c r="B783" s="13" t="n">
        <x:v>42</x:v>
      </x:c>
      <x:c r="C783" s="22" t="b">
        <x:v>0</x:v>
      </x:c>
      <x:c r="D783" s="11" t="n">
        <x:v>0.4398140111603479</x:v>
      </x:c>
      <x:c r="E783" s="11" t="n">
        <x:v>0.33829004508845106</x:v>
      </x:c>
      <x:c r="F783" s="11" t="n">
        <x:v>-5.786271418038553</x:v>
      </x:c>
      <x:c r="G783" s="11" t="n">
        <x:v>0.10152396607189684</x:v>
      </x:c>
      <x:c r="H783" s="11" t="n">
        <x:v>6.226085429198902</x:v>
      </x:c>
      <x:c r="I783" s="11" t="n">
        <x:v>0.4</x:v>
      </x:c>
      <x:c r="J783" s="13" t="n">
        <x:v>20</x:v>
      </x:c>
      <x:c r="K783" s="22" t="b">
        <x:v>0</x:v>
      </x:c>
      <x:c r="L783" s="13" t="n">
        <x:v>146</x:v>
      </x:c>
      <x:c r="M783" s="13" t="n">
        <x:v>60</x:v>
      </x:c>
    </x:row>
    <x:row r="784" ht="22" customHeight="1">
      <x:c r="A784" s="17" t="str">
        <x:f>"09386900"</x:f>
        <x:v>09386900</x:v>
      </x:c>
      <x:c r="B784" s="13" t="n">
        <x:v>42</x:v>
      </x:c>
      <x:c r="C784" s="22" t="b">
        <x:v>1</x:v>
      </x:c>
      <x:c r="D784" s="11" t="n">
        <x:v>0.7642456578345737</x:v>
      </x:c>
      <x:c r="E784" s="11" t="n">
        <x:v>0.7725335430320985</x:v>
      </x:c>
      <x:c r="F784" s="11" t="n">
        <x:v>-0.5149969516394461</x:v>
      </x:c>
      <x:c r="G784" s="11" t="n">
        <x:v>-0.00828788519752488</x:v>
      </x:c>
      <x:c r="H784" s="11" t="n">
        <x:v>1.2792426094740197</x:v>
      </x:c>
      <x:c r="I784" s="11" t="n">
        <x:v>1</x:v>
      </x:c>
      <x:c r="J784" s="13" t="n">
        <x:v>8</x:v>
      </x:c>
      <x:c r="K784" s="22" t="b">
        <x:v>1</x:v>
      </x:c>
      <x:c r="L784" s="13" t="n">
        <x:v>71</x:v>
      </x:c>
      <x:c r="M784" s="13" t="n">
        <x:v>23</x:v>
      </x:c>
    </x:row>
    <x:row r="785" ht="22" customHeight="1">
      <x:c r="A785" s="17" t="str">
        <x:f>"09386900"</x:f>
        <x:v>09386900</x:v>
      </x:c>
      <x:c r="B785" s="13" t="n">
        <x:v>42</x:v>
      </x:c>
      <x:c r="C785" s="22" t="b">
        <x:v>0</x:v>
      </x:c>
      <x:c r="D785" s="11" t="n">
        <x:v>0.14722335622870353</x:v>
      </x:c>
      <x:c r="E785" s="11" t="n">
        <x:v>0.08607318666273689</x:v>
      </x:c>
      <x:c r="F785" s="11" t="n">
        <x:v>-1.7855869039055459</x:v>
      </x:c>
      <x:c r="G785" s="11" t="n">
        <x:v>0.06115016956596664</x:v>
      </x:c>
      <x:c r="H785" s="11" t="n">
        <x:v>1.9328102601342494</x:v>
      </x:c>
      <x:c r="I785" s="11" t="n">
        <x:v>0.631578947368421</x:v>
      </x:c>
      <x:c r="J785" s="13" t="n">
        <x:v>19</x:v>
      </x:c>
      <x:c r="K785" s="22" t="b">
        <x:v>0</x:v>
      </x:c>
      <x:c r="L785" s="13" t="n">
        <x:v>128</x:v>
      </x:c>
      <x:c r="M785" s="13" t="n">
        <x:v>45</x:v>
      </x:c>
    </x:row>
    <x:row r="786" ht="22" customHeight="1">
      <x:c r="A786" s="17" t="str">
        <x:f>"09404450"</x:f>
        <x:v>09404450</x:v>
      </x:c>
      <x:c r="B786" s="13" t="n">
        <x:v>42</x:v>
      </x:c>
      <x:c r="C786" s="22" t="b">
        <x:v>1</x:v>
      </x:c>
      <x:c r="D786" s="11" t="n">
        <x:v>0.6038062639823927</x:v>
      </x:c>
      <x:c r="E786" s="11" t="n">
        <x:v>0.6018592626420913</x:v>
      </x:c>
      <x:c r="F786" s="11" t="n">
        <x:v>0.5004606384901693</x:v>
      </x:c>
      <x:c r="G786" s="11" t="n">
        <x:v>0.0019470013403013464</x:v>
      </x:c>
      <x:c r="H786" s="11" t="n">
        <x:v>0.10334562549222337</x:v>
      </x:c>
      <x:c r="I786" s="11"/>
      <x:c r="J786" s="13" t="n">
        <x:v>0</x:v>
      </x:c>
      <x:c r="K786" s="22" t="b">
        <x:v>0</x:v>
      </x:c>
      <x:c r="L786" s="13" t="n">
        <x:v>52</x:v>
      </x:c>
      <x:c r="M786" s="13" t="n">
        <x:v>18</x:v>
      </x:c>
    </x:row>
    <x:row r="787" ht="22" customHeight="1">
      <x:c r="A787" s="17" t="str">
        <x:f>"09404450"</x:f>
        <x:v>09404450</x:v>
      </x:c>
      <x:c r="B787" s="13" t="n">
        <x:v>42</x:v>
      </x:c>
      <x:c r="C787" s="22" t="b">
        <x:v>0</x:v>
      </x:c>
      <x:c r="D787" s="11" t="n">
        <x:v>0.09720063978976512</x:v>
      </x:c>
      <x:c r="E787" s="11" t="n">
        <x:v>0.08682626940965865</x:v>
      </x:c>
      <x:c r="F787" s="11" t="n">
        <x:v>0.13746007439988306</x:v>
      </x:c>
      <x:c r="G787" s="11" t="n">
        <x:v>0.010374370380106468</x:v>
      </x:c>
      <x:c r="H787" s="11" t="n">
        <x:v>-0.04025943461011794</x:v>
      </x:c>
      <x:c r="I787" s="11" t="n">
        <x:v>0</x:v>
      </x:c>
      <x:c r="J787" s="13" t="n">
        <x:v>19</x:v>
      </x:c>
      <x:c r="K787" s="22" t="b">
        <x:v>0</x:v>
      </x:c>
      <x:c r="L787" s="13" t="n">
        <x:v>111</x:v>
      </x:c>
      <x:c r="M787" s="13" t="n">
        <x:v>37</x:v>
      </x:c>
    </x:row>
    <x:row r="788" ht="22" customHeight="1">
      <x:c r="A788" s="17" t="str">
        <x:f>"09430500"</x:f>
        <x:v>09430500</x:v>
      </x:c>
      <x:c r="B788" s="13" t="n">
        <x:v>42</x:v>
      </x:c>
      <x:c r="C788" s="22" t="b">
        <x:v>1</x:v>
      </x:c>
      <x:c r="D788" s="11" t="n">
        <x:v>0.6845967784952088</x:v>
      </x:c>
      <x:c r="E788" s="11" t="n">
        <x:v>0.6863553573761577</x:v>
      </x:c>
      <x:c r="F788" s="11" t="n">
        <x:v>0.4726183567559854</x:v>
      </x:c>
      <x:c r="G788" s="11" t="n">
        <x:v>-0.00175857888094888</x:v>
      </x:c>
      <x:c r="H788" s="11" t="n">
        <x:v>0.21197842173922343</x:v>
      </x:c>
      <x:c r="I788" s="11" t="n">
        <x:v>0.29411764705882354</x:v>
      </x:c>
      <x:c r="J788" s="13" t="n">
        <x:v>17</x:v>
      </x:c>
      <x:c r="K788" s="22" t="b">
        <x:v>0</x:v>
      </x:c>
      <x:c r="L788" s="13" t="n">
        <x:v>91</x:v>
      </x:c>
      <x:c r="M788" s="13" t="n">
        <x:v>29</x:v>
      </x:c>
    </x:row>
    <x:row r="789" ht="22" customHeight="1">
      <x:c r="A789" s="17" t="str">
        <x:f>"09430500"</x:f>
        <x:v>09430500</x:v>
      </x:c>
      <x:c r="B789" s="13" t="n">
        <x:v>42</x:v>
      </x:c>
      <x:c r="C789" s="22" t="b">
        <x:v>0</x:v>
      </x:c>
      <x:c r="D789" s="11" t="n">
        <x:v>0.39083842401910907</x:v>
      </x:c>
      <x:c r="E789" s="11" t="n">
        <x:v>0.2301512414102599</x:v>
      </x:c>
      <x:c r="F789" s="11" t="n">
        <x:v>0.1722384598980894</x:v>
      </x:c>
      <x:c r="G789" s="11" t="n">
        <x:v>0.16068718260884918</x:v>
      </x:c>
      <x:c r="H789" s="11" t="n">
        <x:v>0.21859996412101967</x:v>
      </x:c>
      <x:c r="I789" s="11" t="n">
        <x:v>0.2631578947368421</x:v>
      </x:c>
      <x:c r="J789" s="13" t="n">
        <x:v>19</x:v>
      </x:c>
      <x:c r="K789" s="22" t="b">
        <x:v>0</x:v>
      </x:c>
      <x:c r="L789" s="13" t="n">
        <x:v>113</x:v>
      </x:c>
      <x:c r="M789" s="13" t="n">
        <x:v>37</x:v>
      </x:c>
    </x:row>
    <x:row r="790" ht="22" customHeight="1">
      <x:c r="A790" s="17" t="str">
        <x:f>"09430600"</x:f>
        <x:v>09430600</x:v>
      </x:c>
      <x:c r="B790" s="13" t="n">
        <x:v>42</x:v>
      </x:c>
      <x:c r="C790" s="22" t="b">
        <x:v>1</x:v>
      </x:c>
      <x:c r="D790" s="11" t="n">
        <x:v>0.27777108084713575</x:v>
      </x:c>
      <x:c r="E790" s="11" t="n">
        <x:v>0.29316351907123384</x:v>
      </x:c>
      <x:c r="F790" s="11" t="n">
        <x:v>0.3149438984349193</x:v>
      </x:c>
      <x:c r="G790" s="11" t="n">
        <x:v>-0.015392438224098082</x:v>
      </x:c>
      <x:c r="H790" s="11" t="n">
        <x:v>-0.03717281758778357</x:v>
      </x:c>
      <x:c r="I790" s="11" t="n">
        <x:v>0.058823529411764705</x:v>
      </x:c>
      <x:c r="J790" s="13" t="n">
        <x:v>17</x:v>
      </x:c>
      <x:c r="K790" s="22" t="b">
        <x:v>0</x:v>
      </x:c>
      <x:c r="L790" s="13" t="n">
        <x:v>91</x:v>
      </x:c>
      <x:c r="M790" s="13" t="n">
        <x:v>29</x:v>
      </x:c>
    </x:row>
    <x:row r="791" ht="22" customHeight="1">
      <x:c r="A791" s="17" t="str">
        <x:f>"09430600"</x:f>
        <x:v>09430600</x:v>
      </x:c>
      <x:c r="B791" s="13" t="n">
        <x:v>42</x:v>
      </x:c>
      <x:c r="C791" s="22" t="b">
        <x:v>0</x:v>
      </x:c>
      <x:c r="D791" s="11" t="n">
        <x:v>0.11381559237483696</x:v>
      </x:c>
      <x:c r="E791" s="11" t="n">
        <x:v>0.11868518127574101</x:v>
      </x:c>
      <x:c r="F791" s="11" t="n">
        <x:v>-0.010919941593634963</x:v>
      </x:c>
      <x:c r="G791" s="11" t="n">
        <x:v>-0.004869588900904054</x:v>
      </x:c>
      <x:c r="H791" s="11" t="n">
        <x:v>0.12473553396847192</x:v>
      </x:c>
      <x:c r="I791" s="11" t="n">
        <x:v>0.8947368421052632</x:v>
      </x:c>
      <x:c r="J791" s="13" t="n">
        <x:v>19</x:v>
      </x:c>
      <x:c r="K791" s="22" t="b">
        <x:v>1</x:v>
      </x:c>
      <x:c r="L791" s="13" t="n">
        <x:v>109</x:v>
      </x:c>
      <x:c r="M791" s="13" t="n">
        <x:v>36</x:v>
      </x:c>
    </x:row>
    <x:row r="792" ht="22" customHeight="1">
      <x:c r="A792" s="17" t="str">
        <x:f>"09492400"</x:f>
        <x:v>09492400</x:v>
      </x:c>
      <x:c r="B792" s="13" t="n">
        <x:v>42</x:v>
      </x:c>
      <x:c r="C792" s="22" t="b">
        <x:v>1</x:v>
      </x:c>
      <x:c r="D792" s="11" t="n">
        <x:v>0.9600175499638987</x:v>
      </x:c>
      <x:c r="E792" s="11" t="n">
        <x:v>0.9342860790682362</x:v>
      </x:c>
      <x:c r="F792" s="11" t="n">
        <x:v>0.4923837367422582</x:v>
      </x:c>
      <x:c r="G792" s="11" t="n">
        <x:v>0.02573147089566241</x:v>
      </x:c>
      <x:c r="H792" s="11" t="n">
        <x:v>0.46763381322164044</x:v>
      </x:c>
      <x:c r="I792" s="11" t="n">
        <x:v>1</x:v>
      </x:c>
      <x:c r="J792" s="13" t="n">
        <x:v>8</x:v>
      </x:c>
      <x:c r="K792" s="22" t="b">
        <x:v>1</x:v>
      </x:c>
      <x:c r="L792" s="13" t="n">
        <x:v>56</x:v>
      </x:c>
      <x:c r="M792" s="13" t="n">
        <x:v>19</x:v>
      </x:c>
    </x:row>
    <x:row r="793" ht="22" customHeight="1">
      <x:c r="A793" s="17" t="str">
        <x:f>"09492400"</x:f>
        <x:v>09492400</x:v>
      </x:c>
      <x:c r="B793" s="13" t="n">
        <x:v>42</x:v>
      </x:c>
      <x:c r="C793" s="22" t="b">
        <x:v>0</x:v>
      </x:c>
      <x:c r="D793" s="11" t="n">
        <x:v>0.698491852403073</x:v>
      </x:c>
      <x:c r="E793" s="11" t="n">
        <x:v>0.6182051979659876</x:v>
      </x:c>
      <x:c r="F793" s="11" t="n">
        <x:v>-2.728985695276175</x:v>
      </x:c>
      <x:c r="G793" s="11" t="n">
        <x:v>0.08028665443708538</x:v>
      </x:c>
      <x:c r="H793" s="11" t="n">
        <x:v>3.4274775476792483</x:v>
      </x:c>
      <x:c r="I793" s="11" t="n">
        <x:v>1</x:v>
      </x:c>
      <x:c r="J793" s="13" t="n">
        <x:v>15</x:v>
      </x:c>
      <x:c r="K793" s="22" t="b">
        <x:v>0</x:v>
      </x:c>
      <x:c r="L793" s="13" t="n">
        <x:v>137</x:v>
      </x:c>
      <x:c r="M793" s="13" t="n">
        <x:v>49</x:v>
      </x:c>
    </x:row>
    <x:row r="794" ht="22" customHeight="1">
      <x:c r="A794" s="17" t="str">
        <x:f>"09494000"</x:f>
        <x:v>09494000</x:v>
      </x:c>
      <x:c r="B794" s="13" t="n">
        <x:v>42</x:v>
      </x:c>
      <x:c r="C794" s="22" t="b">
        <x:v>1</x:v>
      </x:c>
      <x:c r="D794" s="11" t="n">
        <x:v>0.8962775402193071</x:v>
      </x:c>
      <x:c r="E794" s="11" t="n">
        <x:v>0.8839406266207938</x:v>
      </x:c>
      <x:c r="F794" s="11" t="n">
        <x:v>0.1079641600658392</x:v>
      </x:c>
      <x:c r="G794" s="11" t="n">
        <x:v>0.0123369135985133</x:v>
      </x:c>
      <x:c r="H794" s="11" t="n">
        <x:v>0.7883133801534679</x:v>
      </x:c>
      <x:c r="I794" s="11" t="n">
        <x:v>1</x:v>
      </x:c>
      <x:c r="J794" s="13" t="n">
        <x:v>20</x:v>
      </x:c>
      <x:c r="K794" s="22" t="b">
        <x:v>1</x:v>
      </x:c>
      <x:c r="L794" s="13" t="n">
        <x:v>114</x:v>
      </x:c>
      <x:c r="M794" s="13" t="n">
        <x:v>37</x:v>
      </x:c>
    </x:row>
    <x:row r="795" ht="22" customHeight="1">
      <x:c r="A795" s="17" t="str">
        <x:f>"09494000"</x:f>
        <x:v>09494000</x:v>
      </x:c>
      <x:c r="B795" s="13" t="n">
        <x:v>42</x:v>
      </x:c>
      <x:c r="C795" s="22" t="b">
        <x:v>0</x:v>
      </x:c>
      <x:c r="D795" s="11" t="n">
        <x:v>0.616287829833063</x:v>
      </x:c>
      <x:c r="E795" s="11" t="n">
        <x:v>0.4319872277732635</x:v>
      </x:c>
      <x:c r="F795" s="11" t="n">
        <x:v>-3.448565914542563</x:v>
      </x:c>
      <x:c r="G795" s="11" t="n">
        <x:v>0.18430060205979948</x:v>
      </x:c>
      <x:c r="H795" s="11" t="n">
        <x:v>4.064853744375625</x:v>
      </x:c>
      <x:c r="I795" s="11" t="n">
        <x:v>0.2631578947368421</x:v>
      </x:c>
      <x:c r="J795" s="13" t="n">
        <x:v>19</x:v>
      </x:c>
      <x:c r="K795" s="22" t="b">
        <x:v>0</x:v>
      </x:c>
      <x:c r="L795" s="13" t="n">
        <x:v>131</x:v>
      </x:c>
      <x:c r="M795" s="13" t="n">
        <x:v>51</x:v>
      </x:c>
    </x:row>
    <x:row r="796" ht="22" customHeight="1">
      <x:c r="A796" s="17" t="str">
        <x:f>"09497980"</x:f>
        <x:v>09497980</x:v>
      </x:c>
      <x:c r="B796" s="13" t="n">
        <x:v>42</x:v>
      </x:c>
      <x:c r="C796" s="22" t="b">
        <x:v>1</x:v>
      </x:c>
      <x:c r="D796" s="11" t="n">
        <x:v>0.3124778760469863</x:v>
      </x:c>
      <x:c r="E796" s="11" t="n">
        <x:v>0.3083718469796223</x:v>
      </x:c>
      <x:c r="F796" s="11" t="n">
        <x:v>-0.024149732727677398</x:v>
      </x:c>
      <x:c r="G796" s="11" t="n">
        <x:v>0.004106029067364014</x:v>
      </x:c>
      <x:c r="H796" s="11" t="n">
        <x:v>0.3366276087746637</x:v>
      </x:c>
      <x:c r="I796" s="11" t="n">
        <x:v>0.65</x:v>
      </x:c>
      <x:c r="J796" s="13" t="n">
        <x:v>20</x:v>
      </x:c>
      <x:c r="K796" s="22" t="b">
        <x:v>0</x:v>
      </x:c>
      <x:c r="L796" s="13" t="n">
        <x:v>173</x:v>
      </x:c>
      <x:c r="M796" s="13" t="n">
        <x:v>77</x:v>
      </x:c>
    </x:row>
    <x:row r="797" ht="22" customHeight="1">
      <x:c r="A797" s="17" t="str">
        <x:f>"09497980"</x:f>
        <x:v>09497980</x:v>
      </x:c>
      <x:c r="B797" s="13" t="n">
        <x:v>42</x:v>
      </x:c>
      <x:c r="C797" s="22" t="b">
        <x:v>0</x:v>
      </x:c>
      <x:c r="D797" s="11" t="n">
        <x:v>0.39379566186192316</x:v>
      </x:c>
      <x:c r="E797" s="11" t="n">
        <x:v>0.33575586235673416</x:v>
      </x:c>
      <x:c r="F797" s="11" t="n">
        <x:v>-1.9424439522126882</x:v>
      </x:c>
      <x:c r="G797" s="11" t="n">
        <x:v>0.058039799505189005</x:v>
      </x:c>
      <x:c r="H797" s="11" t="n">
        <x:v>2.3362396140746116</x:v>
      </x:c>
      <x:c r="I797" s="11" t="n">
        <x:v>1</x:v>
      </x:c>
      <x:c r="J797" s="13" t="n">
        <x:v>13</x:v>
      </x:c>
      <x:c r="K797" s="22" t="b">
        <x:v>0</x:v>
      </x:c>
      <x:c r="L797" s="13" t="n">
        <x:v>82</x:v>
      </x:c>
      <x:c r="M797" s="13" t="n">
        <x:v>26</x:v>
      </x:c>
    </x:row>
    <x:row r="798" ht="22" customHeight="1">
      <x:c r="A798" s="17" t="str">
        <x:f>"09505350"</x:f>
        <x:v>09505350</x:v>
      </x:c>
      <x:c r="B798" s="13" t="n">
        <x:v>42</x:v>
      </x:c>
      <x:c r="C798" s="22" t="b">
        <x:v>1</x:v>
      </x:c>
      <x:c r="D798" s="11" t="n">
        <x:v>0.5074953736953718</x:v>
      </x:c>
      <x:c r="E798" s="11" t="n">
        <x:v>0.4543433888994042</x:v>
      </x:c>
      <x:c r="F798" s="11" t="n">
        <x:v>0.42001856734420695</x:v>
      </x:c>
      <x:c r="G798" s="11" t="n">
        <x:v>0.05315198479596761</x:v>
      </x:c>
      <x:c r="H798" s="11" t="n">
        <x:v>0.08747680635116484</x:v>
      </x:c>
      <x:c r="I798" s="11" t="n">
        <x:v>0</x:v>
      </x:c>
      <x:c r="J798" s="13" t="n">
        <x:v>14</x:v>
      </x:c>
      <x:c r="K798" s="22" t="b">
        <x:v>0</x:v>
      </x:c>
      <x:c r="L798" s="13" t="n">
        <x:v>90</x:v>
      </x:c>
      <x:c r="M798" s="13" t="n">
        <x:v>28</x:v>
      </x:c>
    </x:row>
    <x:row r="799" ht="22" customHeight="1">
      <x:c r="A799" s="17" t="str">
        <x:f>"09505350"</x:f>
        <x:v>09505350</x:v>
      </x:c>
      <x:c r="B799" s="13" t="n">
        <x:v>42</x:v>
      </x:c>
      <x:c r="C799" s="22" t="b">
        <x:v>0</x:v>
      </x:c>
      <x:c r="D799" s="11" t="n">
        <x:v>0.35992140060271305</x:v>
      </x:c>
      <x:c r="E799" s="11" t="n">
        <x:v>0.3322777928887569</x:v>
      </x:c>
      <x:c r="F799" s="11" t="n">
        <x:v>-1.4294956843264912</x:v>
      </x:c>
      <x:c r="G799" s="11" t="n">
        <x:v>0.02764360771395613</x:v>
      </x:c>
      <x:c r="H799" s="11" t="n">
        <x:v>1.7894170849292044</x:v>
      </x:c>
      <x:c r="I799" s="11" t="n">
        <x:v>0.5789473684210527</x:v>
      </x:c>
      <x:c r="J799" s="13" t="n">
        <x:v>19</x:v>
      </x:c>
      <x:c r="K799" s="22" t="b">
        <x:v>0</x:v>
      </x:c>
      <x:c r="L799" s="13" t="n">
        <x:v>111</x:v>
      </x:c>
      <x:c r="M799" s="13" t="n">
        <x:v>38</x:v>
      </x:c>
    </x:row>
    <x:row r="800" ht="22" customHeight="1">
      <x:c r="A800" s="17" t="str">
        <x:f>"09505800"</x:f>
        <x:v>09505800</x:v>
      </x:c>
      <x:c r="B800" s="13" t="n">
        <x:v>42</x:v>
      </x:c>
      <x:c r="C800" s="22" t="b">
        <x:v>1</x:v>
      </x:c>
      <x:c r="D800" s="11" t="n">
        <x:v>0.2839681633946426</x:v>
      </x:c>
      <x:c r="E800" s="11" t="n">
        <x:v>0.391533824124345</x:v>
      </x:c>
      <x:c r="F800" s="11" t="n">
        <x:v>-1.6351585411699543</x:v>
      </x:c>
      <x:c r="G800" s="11" t="n">
        <x:v>-0.10756566072970242</x:v>
      </x:c>
      <x:c r="H800" s="11" t="n">
        <x:v>1.9191267045645968</x:v>
      </x:c>
      <x:c r="I800" s="11"/>
      <x:c r="J800" s="13" t="n">
        <x:v>0</x:v>
      </x:c>
      <x:c r="K800" s="22" t="b">
        <x:v>0</x:v>
      </x:c>
      <x:c r="L800" s="13" t="n">
        <x:v>89</x:v>
      </x:c>
      <x:c r="M800" s="13" t="n">
        <x:v>28</x:v>
      </x:c>
    </x:row>
    <x:row r="801" ht="22" customHeight="1">
      <x:c r="A801" s="17" t="str">
        <x:f>"09505800"</x:f>
        <x:v>09505800</x:v>
      </x:c>
      <x:c r="B801" s="13" t="n">
        <x:v>42</x:v>
      </x:c>
      <x:c r="C801" s="22" t="b">
        <x:v>0</x:v>
      </x:c>
      <x:c r="D801" s="11" t="n">
        <x:v>0.15117409688402172</x:v>
      </x:c>
      <x:c r="E801" s="11" t="n">
        <x:v>0.13628948196505364</x:v>
      </x:c>
      <x:c r="F801" s="11" t="n">
        <x:v>-4.265034418100542</x:v>
      </x:c>
      <x:c r="G801" s="11" t="n">
        <x:v>0.014884614918968087</x:v>
      </x:c>
      <x:c r="H801" s="11" t="n">
        <x:v>4.416208514984564</x:v>
      </x:c>
      <x:c r="I801" s="11" t="n">
        <x:v>0.75</x:v>
      </x:c>
      <x:c r="J801" s="13" t="n">
        <x:v>20</x:v>
      </x:c>
      <x:c r="K801" s="22" t="b">
        <x:v>0</x:v>
      </x:c>
      <x:c r="L801" s="13" t="n">
        <x:v>125</x:v>
      </x:c>
      <x:c r="M801" s="13" t="n">
        <x:v>43</x:v>
      </x:c>
    </x:row>
    <x:row r="802" ht="22" customHeight="1">
      <x:c r="A802" s="17" t="str">
        <x:f>"09508300"</x:f>
        <x:v>09508300</x:v>
      </x:c>
      <x:c r="B802" s="13" t="n">
        <x:v>42</x:v>
      </x:c>
      <x:c r="C802" s="22" t="b">
        <x:v>1</x:v>
      </x:c>
      <x:c r="D802" s="11" t="n">
        <x:v>0.2818284822530176</x:v>
      </x:c>
      <x:c r="E802" s="11" t="n">
        <x:v>0.26757825745340824</x:v>
      </x:c>
      <x:c r="F802" s="11" t="n">
        <x:v>0.28335885866523025</x:v>
      </x:c>
      <x:c r="G802" s="11" t="n">
        <x:v>0.014250224799609357</x:v>
      </x:c>
      <x:c r="H802" s="11" t="n">
        <x:v>-0.0015303764122126529</x:v>
      </x:c>
      <x:c r="I802" s="11" t="n">
        <x:v>1</x:v>
      </x:c>
      <x:c r="J802" s="13" t="n">
        <x:v>17</x:v>
      </x:c>
      <x:c r="K802" s="22" t="b">
        <x:v>0</x:v>
      </x:c>
      <x:c r="L802" s="13" t="n">
        <x:v>94</x:v>
      </x:c>
      <x:c r="M802" s="13" t="n">
        <x:v>30</x:v>
      </x:c>
    </x:row>
    <x:row r="803" ht="22" customHeight="1">
      <x:c r="A803" s="17" t="str">
        <x:f>"09508300"</x:f>
        <x:v>09508300</x:v>
      </x:c>
      <x:c r="B803" s="13" t="n">
        <x:v>42</x:v>
      </x:c>
      <x:c r="C803" s="22" t="b">
        <x:v>0</x:v>
      </x:c>
      <x:c r="D803" s="11" t="n">
        <x:v>0.25401124906214</x:v>
      </x:c>
      <x:c r="E803" s="11" t="n">
        <x:v>0.1740418813294643</x:v>
      </x:c>
      <x:c r="F803" s="11" t="n">
        <x:v>0.20403023008190324</x:v>
      </x:c>
      <x:c r="G803" s="11" t="n">
        <x:v>0.07996936773267571</x:v>
      </x:c>
      <x:c r="H803" s="11" t="n">
        <x:v>0.04998101898023677</x:v>
      </x:c>
      <x:c r="I803" s="11"/>
      <x:c r="J803" s="13" t="n">
        <x:v>0</x:v>
      </x:c>
      <x:c r="K803" s="22" t="b">
        <x:v>0</x:v>
      </x:c>
      <x:c r="L803" s="13" t="n">
        <x:v>65</x:v>
      </x:c>
      <x:c r="M803" s="13" t="n">
        <x:v>22</x:v>
      </x:c>
    </x:row>
    <x:row r="804" ht="22" customHeight="1">
      <x:c r="A804" s="17" t="str">
        <x:f>"09510200"</x:f>
        <x:v>09510200</x:v>
      </x:c>
      <x:c r="B804" s="13" t="n">
        <x:v>42</x:v>
      </x:c>
      <x:c r="C804" s="22" t="b">
        <x:v>1</x:v>
      </x:c>
      <x:c r="D804" s="11" t="n">
        <x:v>0.3467998770196078</x:v>
      </x:c>
      <x:c r="E804" s="11" t="n">
        <x:v>0.33899317452342215</x:v>
      </x:c>
      <x:c r="F804" s="11" t="n">
        <x:v>0.3037808790615285</x:v>
      </x:c>
      <x:c r="G804" s="11" t="n">
        <x:v>0.007806702496185647</x:v>
      </x:c>
      <x:c r="H804" s="11" t="n">
        <x:v>0.043018997958079286</x:v>
      </x:c>
      <x:c r="I804" s="11" t="n">
        <x:v>0.1</x:v>
      </x:c>
      <x:c r="J804" s="13" t="n">
        <x:v>20</x:v>
      </x:c>
      <x:c r="K804" s="22" t="b">
        <x:v>0</x:v>
      </x:c>
      <x:c r="L804" s="13" t="n">
        <x:v>126</x:v>
      </x:c>
      <x:c r="M804" s="13" t="n">
        <x:v>44</x:v>
      </x:c>
    </x:row>
    <x:row r="805" ht="22" customHeight="1">
      <x:c r="A805" s="17" t="str">
        <x:f>"09510200"</x:f>
        <x:v>09510200</x:v>
      </x:c>
      <x:c r="B805" s="13" t="n">
        <x:v>42</x:v>
      </x:c>
      <x:c r="C805" s="22" t="b">
        <x:v>0</x:v>
      </x:c>
      <x:c r="D805" s="11" t="n">
        <x:v>0.2615355316282757</x:v>
      </x:c>
      <x:c r="E805" s="11" t="n">
        <x:v>0.3390268945274536</x:v>
      </x:c>
      <x:c r="F805" s="11" t="n">
        <x:v>-0.18879449341139165</x:v>
      </x:c>
      <x:c r="G805" s="11" t="n">
        <x:v>-0.0774913628991779</x:v>
      </x:c>
      <x:c r="H805" s="11" t="n">
        <x:v>0.45033002503966735</x:v>
      </x:c>
      <x:c r="I805" s="11"/>
      <x:c r="J805" s="13" t="n">
        <x:v>0</x:v>
      </x:c>
      <x:c r="K805" s="22" t="b">
        <x:v>0</x:v>
      </x:c>
      <x:c r="L805" s="13" t="n">
        <x:v>81</x:v>
      </x:c>
      <x:c r="M805" s="13" t="n">
        <x:v>26</x:v>
      </x:c>
    </x:row>
    <x:row r="806" ht="22" customHeight="1">
      <x:c r="A806" s="17" t="str">
        <x:f>"09513780"</x:f>
        <x:v>09513780</x:v>
      </x:c>
      <x:c r="B806" s="13" t="n">
        <x:v>42</x:v>
      </x:c>
      <x:c r="C806" s="22" t="b">
        <x:v>1</x:v>
      </x:c>
      <x:c r="D806" s="11" t="n">
        <x:v>0.07002740287123366</x:v>
      </x:c>
      <x:c r="E806" s="11" t="n">
        <x:v>0.0717384229077701</x:v>
      </x:c>
      <x:c r="F806" s="11" t="n">
        <x:v>0.07646556526958248</x:v>
      </x:c>
      <x:c r="G806" s="11" t="n">
        <x:v>-0.001711020036536448</x:v>
      </x:c>
      <x:c r="H806" s="11" t="n">
        <x:v>-0.006438162398348823</x:v>
      </x:c>
      <x:c r="I806" s="11" t="n">
        <x:v>0.5</x:v>
      </x:c>
      <x:c r="J806" s="13" t="n">
        <x:v>20</x:v>
      </x:c>
      <x:c r="K806" s="22" t="b">
        <x:v>0</x:v>
      </x:c>
      <x:c r="L806" s="13" t="n">
        <x:v>129</x:v>
      </x:c>
      <x:c r="M806" s="13" t="n">
        <x:v>45</x:v>
      </x:c>
    </x:row>
    <x:row r="807" ht="22" customHeight="1">
      <x:c r="A807" s="17" t="str">
        <x:f>"09513780"</x:f>
        <x:v>09513780</x:v>
      </x:c>
      <x:c r="B807" s="13" t="n">
        <x:v>42</x:v>
      </x:c>
      <x:c r="C807" s="22" t="b">
        <x:v>0</x:v>
      </x:c>
      <x:c r="D807" s="11" t="n">
        <x:v>0.050619062116835534</x:v>
      </x:c>
      <x:c r="E807" s="11" t="n">
        <x:v>0.07182750287541873</x:v>
      </x:c>
      <x:c r="F807" s="11" t="n">
        <x:v>0.10675038913735724</x:v>
      </x:c>
      <x:c r="G807" s="11" t="n">
        <x:v>-0.02120844075858319</x:v>
      </x:c>
      <x:c r="H807" s="11" t="n">
        <x:v>-0.056131327020521704</x:v>
      </x:c>
      <x:c r="I807" s="11" t="n">
        <x:v>0.25</x:v>
      </x:c>
      <x:c r="J807" s="13" t="n">
        <x:v>20</x:v>
      </x:c>
      <x:c r="K807" s="22" t="b">
        <x:v>0</x:v>
      </x:c>
      <x:c r="L807" s="13" t="n">
        <x:v>78</x:v>
      </x:c>
      <x:c r="M807" s="13" t="n">
        <x:v>25</x:v>
      </x:c>
    </x:row>
    <x:row r="808" ht="22" customHeight="1">
      <x:c r="A808" s="17" t="str">
        <x:f>"10172700"</x:f>
        <x:v>10172700</x:v>
      </x:c>
      <x:c r="B808" s="13" t="n">
        <x:v>42</x:v>
      </x:c>
      <x:c r="C808" s="22" t="b">
        <x:v>1</x:v>
      </x:c>
      <x:c r="D808" s="11" t="n">
        <x:v>0.9182431519226116</x:v>
      </x:c>
      <x:c r="E808" s="11" t="n">
        <x:v>0.8725658935371654</x:v>
      </x:c>
      <x:c r="F808" s="11" t="n">
        <x:v>-0.8056282471468224</x:v>
      </x:c>
      <x:c r="G808" s="11" t="n">
        <x:v>0.04567725838544623</x:v>
      </x:c>
      <x:c r="H808" s="11" t="n">
        <x:v>1.7238713990694339</x:v>
      </x:c>
      <x:c r="I808" s="11" t="n">
        <x:v>1</x:v>
      </x:c>
      <x:c r="J808" s="13" t="n">
        <x:v>14</x:v>
      </x:c>
      <x:c r="K808" s="22" t="b">
        <x:v>1</x:v>
      </x:c>
      <x:c r="L808" s="13" t="n">
        <x:v>60</x:v>
      </x:c>
      <x:c r="M808" s="13" t="n">
        <x:v>20</x:v>
      </x:c>
    </x:row>
    <x:row r="809" ht="22" customHeight="1">
      <x:c r="A809" s="17" t="str">
        <x:f>"10172700"</x:f>
        <x:v>10172700</x:v>
      </x:c>
      <x:c r="B809" s="13" t="n">
        <x:v>42</x:v>
      </x:c>
      <x:c r="C809" s="22" t="b">
        <x:v>0</x:v>
      </x:c>
      <x:c r="D809" s="11" t="n">
        <x:v>0.13171025802951286</x:v>
      </x:c>
      <x:c r="E809" s="11" t="n">
        <x:v>-0.7747053780271305</x:v>
      </x:c>
      <x:c r="F809" s="11" t="n">
        <x:v>-0.8510188988760905</x:v>
      </x:c>
      <x:c r="G809" s="11" t="n">
        <x:v>0.9064156360566433</x:v>
      </x:c>
      <x:c r="H809" s="11" t="n">
        <x:v>0.9827291569056034</x:v>
      </x:c>
      <x:c r="I809" s="11" t="n">
        <x:v>0.85</x:v>
      </x:c>
      <x:c r="J809" s="13" t="n">
        <x:v>20</x:v>
      </x:c>
      <x:c r="K809" s="22" t="b">
        <x:v>0</x:v>
      </x:c>
      <x:c r="L809" s="13" t="n">
        <x:v>110</x:v>
      </x:c>
      <x:c r="M809" s="13" t="n">
        <x:v>36</x:v>
      </x:c>
    </x:row>
    <x:row r="810" ht="22" customHeight="1">
      <x:c r="A810" s="17" t="str">
        <x:f>"10172800"</x:f>
        <x:v>10172800</x:v>
      </x:c>
      <x:c r="B810" s="13" t="n">
        <x:v>42</x:v>
      </x:c>
      <x:c r="C810" s="22" t="b">
        <x:v>1</x:v>
      </x:c>
      <x:c r="D810" s="11" t="n">
        <x:v>0.9843571521120705</x:v>
      </x:c>
      <x:c r="E810" s="11" t="n">
        <x:v>0.9770629620363402</x:v>
      </x:c>
      <x:c r="F810" s="11" t="n">
        <x:v>0.7049322799877292</x:v>
      </x:c>
      <x:c r="G810" s="11" t="n">
        <x:v>0.007294190075730289</x:v>
      </x:c>
      <x:c r="H810" s="11" t="n">
        <x:v>0.2794248721243413</x:v>
      </x:c>
      <x:c r="I810" s="11" t="n">
        <x:v>1</x:v>
      </x:c>
      <x:c r="J810" s="13" t="n">
        <x:v>7</x:v>
      </x:c>
      <x:c r="K810" s="22" t="b">
        <x:v>1</x:v>
      </x:c>
      <x:c r="L810" s="13" t="n">
        <x:v>98</x:v>
      </x:c>
      <x:c r="M810" s="13" t="n">
        <x:v>31</x:v>
      </x:c>
    </x:row>
    <x:row r="811" ht="22" customHeight="1">
      <x:c r="A811" s="17" t="str">
        <x:f>"10172800"</x:f>
        <x:v>10172800</x:v>
      </x:c>
      <x:c r="B811" s="13" t="n">
        <x:v>42</x:v>
      </x:c>
      <x:c r="C811" s="22" t="b">
        <x:v>0</x:v>
      </x:c>
      <x:c r="D811" s="11" t="n">
        <x:v>0.6335109150517413</x:v>
      </x:c>
      <x:c r="E811" s="11" t="n">
        <x:v>0.6511164514281941</x:v>
      </x:c>
      <x:c r="F811" s="11" t="n">
        <x:v>0.6222620291622908</x:v>
      </x:c>
      <x:c r="G811" s="11" t="n">
        <x:v>-0.01760553637645279</x:v>
      </x:c>
      <x:c r="H811" s="11" t="n">
        <x:v>0.0112488858894505</x:v>
      </x:c>
      <x:c r="I811" s="11" t="n">
        <x:v>0.95</x:v>
      </x:c>
      <x:c r="J811" s="13" t="n">
        <x:v>20</x:v>
      </x:c>
      <x:c r="K811" s="22" t="b">
        <x:v>0</x:v>
      </x:c>
      <x:c r="L811" s="13" t="n">
        <x:v>127</x:v>
      </x:c>
      <x:c r="M811" s="13" t="n">
        <x:v>45</x:v>
      </x:c>
    </x:row>
    <x:row r="812" ht="22" customHeight="1">
      <x:c r="A812" s="17" t="str">
        <x:f>"10173450"</x:f>
        <x:v>10173450</x:v>
      </x:c>
      <x:c r="B812" s="13" t="n">
        <x:v>42</x:v>
      </x:c>
      <x:c r="C812" s="22" t="b">
        <x:v>1</x:v>
      </x:c>
      <x:c r="D812" s="11" t="n">
        <x:v>0.9915314056608552</x:v>
      </x:c>
      <x:c r="E812" s="11" t="n">
        <x:v>0.9785656399729079</x:v>
      </x:c>
      <x:c r="F812" s="11" t="n">
        <x:v>0.9234690045605964</x:v>
      </x:c>
      <x:c r="G812" s="11" t="n">
        <x:v>0.012965765687947273</x:v>
      </x:c>
      <x:c r="H812" s="11" t="n">
        <x:v>0.06806240110025874</x:v>
      </x:c>
      <x:c r="I812" s="11" t="n">
        <x:v>1</x:v>
      </x:c>
      <x:c r="J812" s="13" t="n">
        <x:v>16</x:v>
      </x:c>
      <x:c r="K812" s="22" t="b">
        <x:v>1</x:v>
      </x:c>
      <x:c r="L812" s="13" t="n">
        <x:v>34</x:v>
      </x:c>
      <x:c r="M812" s="13" t="n">
        <x:v>13</x:v>
      </x:c>
    </x:row>
    <x:row r="813" ht="22" customHeight="1">
      <x:c r="A813" s="17" t="str">
        <x:f>"10173450"</x:f>
        <x:v>10173450</x:v>
      </x:c>
      <x:c r="B813" s="13" t="n">
        <x:v>42</x:v>
      </x:c>
      <x:c r="C813" s="22" t="b">
        <x:v>0</x:v>
      </x:c>
      <x:c r="D813" s="11" t="n">
        <x:v>0.4856108208000379</x:v>
      </x:c>
      <x:c r="E813" s="11" t="n">
        <x:v>0.711200729563263</x:v>
      </x:c>
      <x:c r="F813" s="11" t="n">
        <x:v>0.19742454465721226</x:v>
      </x:c>
      <x:c r="G813" s="11" t="n">
        <x:v>-0.22558990876322504</x:v>
      </x:c>
      <x:c r="H813" s="11" t="n">
        <x:v>0.28818627614282566</x:v>
      </x:c>
      <x:c r="I813" s="11" t="n">
        <x:v>1</x:v>
      </x:c>
      <x:c r="J813" s="13" t="n">
        <x:v>20</x:v>
      </x:c>
      <x:c r="K813" s="22" t="b">
        <x:v>1</x:v>
      </x:c>
      <x:c r="L813" s="13" t="n">
        <x:v>143</x:v>
      </x:c>
      <x:c r="M813" s="13" t="n">
        <x:v>56</x:v>
      </x:c>
    </x:row>
    <x:row r="814" ht="22" customHeight="1">
      <x:c r="A814" s="17" t="str">
        <x:f>"10205030"</x:f>
        <x:v>10205030</x:v>
      </x:c>
      <x:c r="B814" s="13" t="n">
        <x:v>42</x:v>
      </x:c>
      <x:c r="C814" s="22" t="b">
        <x:v>1</x:v>
      </x:c>
      <x:c r="D814" s="11" t="n">
        <x:v>0.9848020688557857</x:v>
      </x:c>
      <x:c r="E814" s="11" t="n">
        <x:v>0.9303986786754486</x:v>
      </x:c>
      <x:c r="F814" s="11" t="n">
        <x:v>0.14353951848926072</x:v>
      </x:c>
      <x:c r="G814" s="11" t="n">
        <x:v>0.05440339018033713</x:v>
      </x:c>
      <x:c r="H814" s="11" t="n">
        <x:v>0.841262550366525</x:v>
      </x:c>
      <x:c r="I814" s="11"/>
      <x:c r="J814" s="13" t="n">
        <x:v>0</x:v>
      </x:c>
      <x:c r="K814" s="22" t="b">
        <x:v>0</x:v>
      </x:c>
      <x:c r="L814" s="13" t="n">
        <x:v>54</x:v>
      </x:c>
      <x:c r="M814" s="13" t="n">
        <x:v>18</x:v>
      </x:c>
    </x:row>
    <x:row r="815" ht="22" customHeight="1">
      <x:c r="A815" s="17" t="str">
        <x:f>"10205030"</x:f>
        <x:v>10205030</x:v>
      </x:c>
      <x:c r="B815" s="13" t="n">
        <x:v>42</x:v>
      </x:c>
      <x:c r="C815" s="22" t="b">
        <x:v>0</x:v>
      </x:c>
      <x:c r="D815" s="11" t="n">
        <x:v>0.7390182358160755</x:v>
      </x:c>
      <x:c r="E815" s="11" t="n">
        <x:v>0.7061551071250805</x:v>
      </x:c>
      <x:c r="F815" s="11" t="n">
        <x:v>-4.58091516143544</x:v>
      </x:c>
      <x:c r="G815" s="11" t="n">
        <x:v>0.03286312869099506</x:v>
      </x:c>
      <x:c r="H815" s="11" t="n">
        <x:v>5.319933397251516</x:v>
      </x:c>
      <x:c r="I815" s="11" t="n">
        <x:v>0.8947368421052632</x:v>
      </x:c>
      <x:c r="J815" s="13" t="n">
        <x:v>19</x:v>
      </x:c>
      <x:c r="K815" s="22" t="b">
        <x:v>1</x:v>
      </x:c>
      <x:c r="L815" s="13" t="n">
        <x:v>104</x:v>
      </x:c>
      <x:c r="M815" s="13" t="n">
        <x:v>34</x:v>
      </x:c>
    </x:row>
    <x:row r="816" ht="22" customHeight="1">
      <x:c r="A816" s="17" t="str">
        <x:f>"10234500"</x:f>
        <x:v>10234500</x:v>
      </x:c>
      <x:c r="B816" s="13" t="n">
        <x:v>42</x:v>
      </x:c>
      <x:c r="C816" s="22" t="b">
        <x:v>1</x:v>
      </x:c>
      <x:c r="D816" s="11" t="n">
        <x:v>0.9645894318509707</x:v>
      </x:c>
      <x:c r="E816" s="11" t="n">
        <x:v>0.9574288087291963</x:v>
      </x:c>
      <x:c r="F816" s="11" t="n">
        <x:v>0.4913696859797978</x:v>
      </x:c>
      <x:c r="G816" s="11" t="n">
        <x:v>0.0071606231217743455</x:v>
      </x:c>
      <x:c r="H816" s="11" t="n">
        <x:v>0.4732197458711729</x:v>
      </x:c>
      <x:c r="I816" s="11" t="n">
        <x:v>1</x:v>
      </x:c>
      <x:c r="J816" s="13" t="n">
        <x:v>20</x:v>
      </x:c>
      <x:c r="K816" s="22" t="b">
        <x:v>1</x:v>
      </x:c>
      <x:c r="L816" s="13" t="n">
        <x:v>147</x:v>
      </x:c>
      <x:c r="M816" s="13" t="n">
        <x:v>56</x:v>
      </x:c>
    </x:row>
    <x:row r="817" ht="22" customHeight="1">
      <x:c r="A817" s="17" t="str">
        <x:f>"10234500"</x:f>
        <x:v>10234500</x:v>
      </x:c>
      <x:c r="B817" s="13" t="n">
        <x:v>42</x:v>
      </x:c>
      <x:c r="C817" s="22" t="b">
        <x:v>0</x:v>
      </x:c>
      <x:c r="D817" s="11" t="n">
        <x:v>0.7800844601022221</x:v>
      </x:c>
      <x:c r="E817" s="11" t="n">
        <x:v>0.7689060448487407</x:v>
      </x:c>
      <x:c r="F817" s="11" t="n">
        <x:v>-0.29652499263003507</x:v>
      </x:c>
      <x:c r="G817" s="11" t="n">
        <x:v>0.0111784152534814</x:v>
      </x:c>
      <x:c r="H817" s="11" t="n">
        <x:v>1.0766094527322572</x:v>
      </x:c>
      <x:c r="I817" s="11" t="n">
        <x:v>0.7777777777777778</x:v>
      </x:c>
      <x:c r="J817" s="13" t="n">
        <x:v>18</x:v>
      </x:c>
      <x:c r="K817" s="22" t="b">
        <x:v>0</x:v>
      </x:c>
      <x:c r="L817" s="13" t="n">
        <x:v>122</x:v>
      </x:c>
      <x:c r="M817" s="13" t="n">
        <x:v>41</x:v>
      </x:c>
    </x:row>
    <x:row r="818" ht="22" customHeight="1">
      <x:c r="A818" s="17" t="str">
        <x:f>"10242000"</x:f>
        <x:v>10242000</x:v>
      </x:c>
      <x:c r="B818" s="13" t="n">
        <x:v>42</x:v>
      </x:c>
      <x:c r="C818" s="22" t="b">
        <x:v>1</x:v>
      </x:c>
      <x:c r="D818" s="11" t="n">
        <x:v>0.9462283775940952</x:v>
      </x:c>
      <x:c r="E818" s="11" t="n">
        <x:v>0.9171253273666568</x:v>
      </x:c>
      <x:c r="F818" s="11" t="n">
        <x:v>0.20398575517298412</x:v>
      </x:c>
      <x:c r="G818" s="11" t="n">
        <x:v>0.02910305022743842</x:v>
      </x:c>
      <x:c r="H818" s="11" t="n">
        <x:v>0.742242622421111</x:v>
      </x:c>
      <x:c r="I818" s="11" t="n">
        <x:v>1</x:v>
      </x:c>
      <x:c r="J818" s="13" t="n">
        <x:v>8</x:v>
      </x:c>
      <x:c r="K818" s="22" t="b">
        <x:v>1</x:v>
      </x:c>
      <x:c r="L818" s="13" t="n">
        <x:v>60</x:v>
      </x:c>
      <x:c r="M818" s="13" t="n">
        <x:v>20</x:v>
      </x:c>
    </x:row>
    <x:row r="819" ht="22" customHeight="1">
      <x:c r="A819" s="17" t="str">
        <x:f>"10242000"</x:f>
        <x:v>10242000</x:v>
      </x:c>
      <x:c r="B819" s="13" t="n">
        <x:v>42</x:v>
      </x:c>
      <x:c r="C819" s="22" t="b">
        <x:v>0</x:v>
      </x:c>
      <x:c r="D819" s="11" t="n">
        <x:v>0.7575254267680549</x:v>
      </x:c>
      <x:c r="E819" s="11" t="n">
        <x:v>0.6276226803372664</x:v>
      </x:c>
      <x:c r="F819" s="11" t="n">
        <x:v>-0.04588101953997992</x:v>
      </x:c>
      <x:c r="G819" s="11" t="n">
        <x:v>0.12990274643078847</x:v>
      </x:c>
      <x:c r="H819" s="11" t="n">
        <x:v>0.8034064463080348</x:v>
      </x:c>
      <x:c r="I819" s="11" t="n">
        <x:v>1</x:v>
      </x:c>
      <x:c r="J819" s="13" t="n">
        <x:v>18</x:v>
      </x:c>
      <x:c r="K819" s="22" t="b">
        <x:v>0</x:v>
      </x:c>
      <x:c r="L819" s="13" t="n">
        <x:v>127</x:v>
      </x:c>
      <x:c r="M819" s="13" t="n">
        <x:v>46</x:v>
      </x:c>
    </x:row>
    <x:row r="820" ht="22" customHeight="1">
      <x:c r="A820" s="17" t="str">
        <x:f>"10244950"</x:f>
        <x:v>10244950</x:v>
      </x:c>
      <x:c r="B820" s="13" t="n">
        <x:v>42</x:v>
      </x:c>
      <x:c r="C820" s="22" t="b">
        <x:v>1</x:v>
      </x:c>
      <x:c r="D820" s="11" t="n">
        <x:v>0.9950706459568767</x:v>
      </x:c>
      <x:c r="E820" s="11" t="n">
        <x:v>0.9791360059917186</x:v>
      </x:c>
      <x:c r="F820" s="11" t="n">
        <x:v>0.4361006728236303</x:v>
      </x:c>
      <x:c r="G820" s="11" t="n">
        <x:v>0.015934639965158093</x:v>
      </x:c>
      <x:c r="H820" s="11" t="n">
        <x:v>0.5589699731332464</x:v>
      </x:c>
      <x:c r="I820" s="11" t="n">
        <x:v>0.7142857142857143</x:v>
      </x:c>
      <x:c r="J820" s="13" t="n">
        <x:v>14</x:v>
      </x:c>
      <x:c r="K820" s="22" t="b">
        <x:v>0</x:v>
      </x:c>
      <x:c r="L820" s="13" t="n">
        <x:v>79</x:v>
      </x:c>
      <x:c r="M820" s="13" t="n">
        <x:v>26</x:v>
      </x:c>
    </x:row>
    <x:row r="821" ht="22" customHeight="1">
      <x:c r="A821" s="17" t="str">
        <x:f>"10244950"</x:f>
        <x:v>10244950</x:v>
      </x:c>
      <x:c r="B821" s="13" t="n">
        <x:v>42</x:v>
      </x:c>
      <x:c r="C821" s="22" t="b">
        <x:v>0</x:v>
      </x:c>
      <x:c r="D821" s="11" t="n">
        <x:v>0.14056084163993365</x:v>
      </x:c>
      <x:c r="E821" s="11" t="n">
        <x:v>0.2758778498348925</x:v>
      </x:c>
      <x:c r="F821" s="11" t="n">
        <x:v>-2.0082106633155417</x:v>
      </x:c>
      <x:c r="G821" s="11" t="n">
        <x:v>-0.13531700819495884</x:v>
      </x:c>
      <x:c r="H821" s="11" t="n">
        <x:v>2.148771504955475</x:v>
      </x:c>
      <x:c r="I821" s="11" t="n">
        <x:v>0.65</x:v>
      </x:c>
      <x:c r="J821" s="13" t="n">
        <x:v>20</x:v>
      </x:c>
      <x:c r="K821" s="22" t="b">
        <x:v>0</x:v>
      </x:c>
      <x:c r="L821" s="13" t="n">
        <x:v>132</x:v>
      </x:c>
      <x:c r="M821" s="13" t="n">
        <x:v>47</x:v>
      </x:c>
    </x:row>
    <x:row r="822" ht="22" customHeight="1">
      <x:c r="A822" s="17" t="str">
        <x:f>"10249300"</x:f>
        <x:v>10249300</x:v>
      </x:c>
      <x:c r="B822" s="13" t="n">
        <x:v>42</x:v>
      </x:c>
      <x:c r="C822" s="22" t="b">
        <x:v>1</x:v>
      </x:c>
      <x:c r="D822" s="11" t="n">
        <x:v>0.9822668530797186</x:v>
      </x:c>
      <x:c r="E822" s="11" t="n">
        <x:v>0.8379810787388566</x:v>
      </x:c>
      <x:c r="F822" s="11" t="n">
        <x:v>0.5597513455180527</x:v>
      </x:c>
      <x:c r="G822" s="11" t="n">
        <x:v>0.14428577434086198</x:v>
      </x:c>
      <x:c r="H822" s="11" t="n">
        <x:v>0.4225155075616659</x:v>
      </x:c>
      <x:c r="I822" s="11" t="n">
        <x:v>1</x:v>
      </x:c>
      <x:c r="J822" s="13" t="n">
        <x:v>8</x:v>
      </x:c>
      <x:c r="K822" s="22" t="b">
        <x:v>0</x:v>
      </x:c>
      <x:c r="L822" s="13" t="n">
        <x:v>60</x:v>
      </x:c>
      <x:c r="M822" s="13" t="n">
        <x:v>20</x:v>
      </x:c>
    </x:row>
    <x:row r="823" ht="22" customHeight="1">
      <x:c r="A823" s="17" t="str">
        <x:f>"10249300"</x:f>
        <x:v>10249300</x:v>
      </x:c>
      <x:c r="B823" s="13" t="n">
        <x:v>42</x:v>
      </x:c>
      <x:c r="C823" s="22" t="b">
        <x:v>0</x:v>
      </x:c>
      <x:c r="D823" s="11" t="n">
        <x:v>0.4849136881252397</x:v>
      </x:c>
      <x:c r="E823" s="11" t="n">
        <x:v>0.17622557077586842</x:v>
      </x:c>
      <x:c r="F823" s="11" t="n">
        <x:v>-0.05794629869802104</x:v>
      </x:c>
      <x:c r="G823" s="11" t="n">
        <x:v>0.3086881173493713</x:v>
      </x:c>
      <x:c r="H823" s="11" t="n">
        <x:v>0.5428599868232608</x:v>
      </x:c>
      <x:c r="I823" s="11" t="n">
        <x:v>1</x:v>
      </x:c>
      <x:c r="J823" s="13" t="n">
        <x:v>20</x:v>
      </x:c>
      <x:c r="K823" s="22" t="b">
        <x:v>0</x:v>
      </x:c>
      <x:c r="L823" s="13" t="n">
        <x:v>129</x:v>
      </x:c>
      <x:c r="M823" s="13" t="n">
        <x:v>45</x:v>
      </x:c>
    </x:row>
    <x:row r="824" ht="22" customHeight="1">
      <x:c r="A824" s="17" t="str">
        <x:f>"10258500"</x:f>
        <x:v>10258500</x:v>
      </x:c>
      <x:c r="B824" s="13" t="n">
        <x:v>42</x:v>
      </x:c>
      <x:c r="C824" s="22" t="b">
        <x:v>1</x:v>
      </x:c>
      <x:c r="D824" s="11" t="n">
        <x:v>0.3671107323965569</x:v>
      </x:c>
      <x:c r="E824" s="11" t="n">
        <x:v>0.3472986087391938</x:v>
      </x:c>
      <x:c r="F824" s="11" t="n">
        <x:v>-0.8860827224107384</x:v>
      </x:c>
      <x:c r="G824" s="11" t="n">
        <x:v>0.019812123657363068</x:v>
      </x:c>
      <x:c r="H824" s="11" t="n">
        <x:v>1.2531934548072954</x:v>
      </x:c>
      <x:c r="I824" s="11" t="n">
        <x:v>1</x:v>
      </x:c>
      <x:c r="J824" s="13" t="n">
        <x:v>18</x:v>
      </x:c>
      <x:c r="K824" s="22" t="b">
        <x:v>1</x:v>
      </x:c>
      <x:c r="L824" s="13" t="n">
        <x:v>79</x:v>
      </x:c>
      <x:c r="M824" s="13" t="n">
        <x:v>26</x:v>
      </x:c>
    </x:row>
    <x:row r="825" ht="22" customHeight="1">
      <x:c r="A825" s="17" t="str">
        <x:f>"10258500"</x:f>
        <x:v>10258500</x:v>
      </x:c>
      <x:c r="B825" s="13" t="n">
        <x:v>42</x:v>
      </x:c>
      <x:c r="C825" s="22" t="b">
        <x:v>0</x:v>
      </x:c>
      <x:c r="D825" s="11" t="n">
        <x:v>0.06051484874224755</x:v>
      </x:c>
      <x:c r="E825" s="11" t="n">
        <x:v>-0.01401827880508244</x:v>
      </x:c>
      <x:c r="F825" s="11" t="n">
        <x:v>-1.3578632100870665</x:v>
      </x:c>
      <x:c r="G825" s="11" t="n">
        <x:v>0.07453312754732999</x:v>
      </x:c>
      <x:c r="H825" s="11" t="n">
        <x:v>1.418378058829314</x:v>
      </x:c>
      <x:c r="I825" s="11" t="n">
        <x:v>0.75</x:v>
      </x:c>
      <x:c r="J825" s="13" t="n">
        <x:v>20</x:v>
      </x:c>
      <x:c r="K825" s="22" t="b">
        <x:v>0</x:v>
      </x:c>
      <x:c r="L825" s="13" t="n">
        <x:v>108</x:v>
      </x:c>
      <x:c r="M825" s="13" t="n">
        <x:v>37</x:v>
      </x:c>
    </x:row>
    <x:row r="826" ht="22" customHeight="1">
      <x:c r="A826" s="17" t="str">
        <x:f>"10259000"</x:f>
        <x:v>10259000</x:v>
      </x:c>
      <x:c r="B826" s="13" t="n">
        <x:v>42</x:v>
      </x:c>
      <x:c r="C826" s="22" t="b">
        <x:v>1</x:v>
      </x:c>
      <x:c r="D826" s="11" t="n">
        <x:v>0.5238174625619043</x:v>
      </x:c>
      <x:c r="E826" s="11" t="n">
        <x:v>0.4303587239415888</x:v>
      </x:c>
      <x:c r="F826" s="11" t="n">
        <x:v>-1.3370509602783587</x:v>
      </x:c>
      <x:c r="G826" s="11" t="n">
        <x:v>0.0934587386203155</x:v>
      </x:c>
      <x:c r="H826" s="11" t="n">
        <x:v>1.860868422840263</x:v>
      </x:c>
      <x:c r="I826" s="11" t="n">
        <x:v>1</x:v>
      </x:c>
      <x:c r="J826" s="13" t="n">
        <x:v>20</x:v>
      </x:c>
      <x:c r="K826" s="22" t="b">
        <x:v>0</x:v>
      </x:c>
      <x:c r="L826" s="13" t="n">
        <x:v>108</x:v>
      </x:c>
      <x:c r="M826" s="13" t="n">
        <x:v>36</x:v>
      </x:c>
    </x:row>
    <x:row r="827" ht="22" customHeight="1">
      <x:c r="A827" s="17" t="str">
        <x:f>"10259000"</x:f>
        <x:v>10259000</x:v>
      </x:c>
      <x:c r="B827" s="13" t="n">
        <x:v>42</x:v>
      </x:c>
      <x:c r="C827" s="22" t="b">
        <x:v>0</x:v>
      </x:c>
      <x:c r="D827" s="11" t="n">
        <x:v>0.20196466838505445</x:v>
      </x:c>
      <x:c r="E827" s="11" t="n">
        <x:v>0.016807361560458034</x:v>
      </x:c>
      <x:c r="F827" s="11" t="n">
        <x:v>-1.5000881352445692</x:v>
      </x:c>
      <x:c r="G827" s="11" t="n">
        <x:v>0.1851573068245964</x:v>
      </x:c>
      <x:c r="H827" s="11" t="n">
        <x:v>1.7020528036296236</x:v>
      </x:c>
      <x:c r="I827" s="11" t="n">
        <x:v>0.85</x:v>
      </x:c>
      <x:c r="J827" s="13" t="n">
        <x:v>20</x:v>
      </x:c>
      <x:c r="K827" s="22" t="b">
        <x:v>0</x:v>
      </x:c>
      <x:c r="L827" s="13" t="n">
        <x:v>124</x:v>
      </x:c>
      <x:c r="M827" s="13" t="n">
        <x:v>43</x:v>
      </x:c>
    </x:row>
    <x:row r="828" ht="22" customHeight="1">
      <x:c r="A828" s="17" t="str">
        <x:f>"10259200"</x:f>
        <x:v>10259200</x:v>
      </x:c>
      <x:c r="B828" s="13" t="n">
        <x:v>42</x:v>
      </x:c>
      <x:c r="C828" s="22" t="b">
        <x:v>1</x:v>
      </x:c>
      <x:c r="D828" s="11" t="n">
        <x:v>0.03682570784215178</x:v>
      </x:c>
      <x:c r="E828" s="11" t="n">
        <x:v>-0.05563700464908283</x:v>
      </x:c>
      <x:c r="F828" s="11" t="n">
        <x:v>0.019732050525551048</x:v>
      </x:c>
      <x:c r="G828" s="11" t="n">
        <x:v>0.09246271249123461</x:v>
      </x:c>
      <x:c r="H828" s="11" t="n">
        <x:v>0.01709365731660073</x:v>
      </x:c>
      <x:c r="I828" s="11" t="n">
        <x:v>1</x:v>
      </x:c>
      <x:c r="J828" s="13" t="n">
        <x:v>15</x:v>
      </x:c>
      <x:c r="K828" s="22" t="b">
        <x:v>0</x:v>
      </x:c>
      <x:c r="L828" s="13" t="n">
        <x:v>102</x:v>
      </x:c>
      <x:c r="M828" s="13" t="n">
        <x:v>33</x:v>
      </x:c>
    </x:row>
    <x:row r="829" ht="22" customHeight="1">
      <x:c r="A829" s="17" t="str">
        <x:f>"10259200"</x:f>
        <x:v>10259200</x:v>
      </x:c>
      <x:c r="B829" s="13" t="n">
        <x:v>42</x:v>
      </x:c>
      <x:c r="C829" s="22" t="b">
        <x:v>0</x:v>
      </x:c>
      <x:c r="D829" s="11" t="n">
        <x:v>-0.10711809095498426</x:v>
      </x:c>
      <x:c r="E829" s="11" t="n">
        <x:v>-0.20103268276131514</x:v>
      </x:c>
      <x:c r="F829" s="11" t="n">
        <x:v>0.05071946116871395</x:v>
      </x:c>
      <x:c r="G829" s="11" t="n">
        <x:v>0.09391459180633088</x:v>
      </x:c>
      <x:c r="H829" s="11" t="n">
        <x:v>-0.1578375521236982</x:v>
      </x:c>
      <x:c r="I829" s="11" t="n">
        <x:v>1</x:v>
      </x:c>
      <x:c r="J829" s="13" t="n">
        <x:v>12</x:v>
      </x:c>
      <x:c r="K829" s="22" t="b">
        <x:v>0</x:v>
      </x:c>
      <x:c r="L829" s="13" t="n">
        <x:v>85</x:v>
      </x:c>
      <x:c r="M829" s="13" t="n">
        <x:v>27</x:v>
      </x:c>
    </x:row>
    <x:row r="830" ht="22" customHeight="1">
      <x:c r="A830" s="17" t="str">
        <x:f>"10263500"</x:f>
        <x:v>10263500</x:v>
      </x:c>
      <x:c r="B830" s="13" t="n">
        <x:v>42</x:v>
      </x:c>
      <x:c r="C830" s="22" t="b">
        <x:v>1</x:v>
      </x:c>
      <x:c r="D830" s="11" t="n">
        <x:v>0.5644498414731274</x:v>
      </x:c>
      <x:c r="E830" s="11" t="n">
        <x:v>0.4895163775824172</x:v>
      </x:c>
      <x:c r="F830" s="11" t="n">
        <x:v>-0.6922759567670105</x:v>
      </x:c>
      <x:c r="G830" s="11" t="n">
        <x:v>0.0749334638907102</x:v>
      </x:c>
      <x:c r="H830" s="11" t="n">
        <x:v>1.2567257982401379</x:v>
      </x:c>
      <x:c r="I830" s="11"/>
      <x:c r="J830" s="13" t="n">
        <x:v>0</x:v>
      </x:c>
      <x:c r="K830" s="22" t="b">
        <x:v>0</x:v>
      </x:c>
      <x:c r="L830" s="13" t="n">
        <x:v>74</x:v>
      </x:c>
      <x:c r="M830" s="13" t="n">
        <x:v>24</x:v>
      </x:c>
    </x:row>
    <x:row r="831" ht="22" customHeight="1">
      <x:c r="A831" s="17" t="str">
        <x:f>"10263500"</x:f>
        <x:v>10263500</x:v>
      </x:c>
      <x:c r="B831" s="13" t="n">
        <x:v>42</x:v>
      </x:c>
      <x:c r="C831" s="22" t="b">
        <x:v>0</x:v>
      </x:c>
      <x:c r="D831" s="11" t="n">
        <x:v>0.21661196496939883</x:v>
      </x:c>
      <x:c r="E831" s="11" t="n">
        <x:v>-0.050761350011141015</x:v>
      </x:c>
      <x:c r="F831" s="11" t="n">
        <x:v>0.04530299177071062</x:v>
      </x:c>
      <x:c r="G831" s="11" t="n">
        <x:v>0.26737331498053984</x:v>
      </x:c>
      <x:c r="H831" s="11" t="n">
        <x:v>0.1713089731986882</x:v>
      </x:c>
      <x:c r="I831" s="11" t="n">
        <x:v>0.8</x:v>
      </x:c>
      <x:c r="J831" s="13" t="n">
        <x:v>20</x:v>
      </x:c>
      <x:c r="K831" s="22" t="b">
        <x:v>0</x:v>
      </x:c>
      <x:c r="L831" s="13" t="n">
        <x:v>111</x:v>
      </x:c>
      <x:c r="M831" s="13" t="n">
        <x:v>38</x:v>
      </x:c>
    </x:row>
    <x:row r="832" ht="22" customHeight="1">
      <x:c r="A832" s="17" t="str">
        <x:f>"10316500"</x:f>
        <x:v>10316500</x:v>
      </x:c>
      <x:c r="B832" s="13" t="n">
        <x:v>42</x:v>
      </x:c>
      <x:c r="C832" s="22" t="b">
        <x:v>1</x:v>
      </x:c>
      <x:c r="D832" s="11" t="n">
        <x:v>0.9804184113517332</x:v>
      </x:c>
      <x:c r="E832" s="11" t="n">
        <x:v>0.9737991778689585</x:v>
      </x:c>
      <x:c r="F832" s="11" t="n">
        <x:v>0.8888371555082717</x:v>
      </x:c>
      <x:c r="G832" s="11" t="n">
        <x:v>0.006619233482774711</x:v>
      </x:c>
      <x:c r="H832" s="11" t="n">
        <x:v>0.09158125584346155</x:v>
      </x:c>
      <x:c r="I832" s="11"/>
      <x:c r="J832" s="13" t="n">
        <x:v>0</x:v>
      </x:c>
      <x:c r="K832" s="22" t="b">
        <x:v>0</x:v>
      </x:c>
      <x:c r="L832" s="13" t="n">
        <x:v>40</x:v>
      </x:c>
      <x:c r="M832" s="13" t="n">
        <x:v>15</x:v>
      </x:c>
    </x:row>
    <x:row r="833" ht="22" customHeight="1">
      <x:c r="A833" s="17" t="str">
        <x:f>"10316500"</x:f>
        <x:v>10316500</x:v>
      </x:c>
      <x:c r="B833" s="13" t="n">
        <x:v>42</x:v>
      </x:c>
      <x:c r="C833" s="22" t="b">
        <x:v>0</x:v>
      </x:c>
      <x:c r="D833" s="11" t="n">
        <x:v>0.6449305618190424</x:v>
      </x:c>
      <x:c r="E833" s="11" t="n">
        <x:v>0.6159461124222525</x:v>
      </x:c>
      <x:c r="F833" s="11" t="n">
        <x:v>0.03781965933204101</x:v>
      </x:c>
      <x:c r="G833" s="11" t="n">
        <x:v>0.028984449396789902</x:v>
      </x:c>
      <x:c r="H833" s="11" t="n">
        <x:v>0.6071109024870014</x:v>
      </x:c>
      <x:c r="I833" s="11" t="n">
        <x:v>0.8421052631578947</x:v>
      </x:c>
      <x:c r="J833" s="13" t="n">
        <x:v>19</x:v>
      </x:c>
      <x:c r="K833" s="22" t="b">
        <x:v>1</x:v>
      </x:c>
      <x:c r="L833" s="13" t="n">
        <x:v>163</x:v>
      </x:c>
      <x:c r="M833" s="13" t="n">
        <x:v>68</x:v>
      </x:c>
    </x:row>
    <x:row r="834" ht="22" customHeight="1">
      <x:c r="A834" s="17" t="str">
        <x:f>"10329500"</x:f>
        <x:v>10329500</x:v>
      </x:c>
      <x:c r="B834" s="13" t="n">
        <x:v>42</x:v>
      </x:c>
      <x:c r="C834" s="22" t="b">
        <x:v>1</x:v>
      </x:c>
      <x:c r="D834" s="11" t="n">
        <x:v>0.9204452439945104</x:v>
      </x:c>
      <x:c r="E834" s="11" t="n">
        <x:v>0.900465904058719</x:v>
      </x:c>
      <x:c r="F834" s="11" t="n">
        <x:v>-0.08638910862407823</x:v>
      </x:c>
      <x:c r="G834" s="11" t="n">
        <x:v>0.019979339935791485</x:v>
      </x:c>
      <x:c r="H834" s="11" t="n">
        <x:v>1.0068343526185886</x:v>
      </x:c>
      <x:c r="I834" s="11" t="n">
        <x:v>1</x:v>
      </x:c>
      <x:c r="J834" s="13" t="n">
        <x:v>15</x:v>
      </x:c>
      <x:c r="K834" s="22" t="b">
        <x:v>1</x:v>
      </x:c>
      <x:c r="L834" s="13" t="n">
        <x:v>75</x:v>
      </x:c>
      <x:c r="M834" s="13" t="n">
        <x:v>25</x:v>
      </x:c>
    </x:row>
    <x:row r="835" ht="22" customHeight="1">
      <x:c r="A835" s="17" t="str">
        <x:f>"10329500"</x:f>
        <x:v>10329500</x:v>
      </x:c>
      <x:c r="B835" s="13" t="n">
        <x:v>42</x:v>
      </x:c>
      <x:c r="C835" s="22" t="b">
        <x:v>0</x:v>
      </x:c>
      <x:c r="D835" s="11" t="n">
        <x:v>0.2972155722090667</x:v>
      </x:c>
      <x:c r="E835" s="11" t="n">
        <x:v>0.48643536192514236</x:v>
      </x:c>
      <x:c r="F835" s="11" t="n">
        <x:v>-2.8567213464613657</x:v>
      </x:c>
      <x:c r="G835" s="11" t="n">
        <x:v>-0.18921978971607567</x:v>
      </x:c>
      <x:c r="H835" s="11" t="n">
        <x:v>3.1539369186704325</x:v>
      </x:c>
      <x:c r="I835" s="11" t="n">
        <x:v>1</x:v>
      </x:c>
      <x:c r="J835" s="13" t="n">
        <x:v>20</x:v>
      </x:c>
      <x:c r="K835" s="22" t="b">
        <x:v>1</x:v>
      </x:c>
      <x:c r="L835" s="13" t="n">
        <x:v>130</x:v>
      </x:c>
      <x:c r="M835" s="13" t="n">
        <x:v>45</x:v>
      </x:c>
    </x:row>
    <x:row r="836" ht="22" customHeight="1">
      <x:c r="A836" s="17" t="str">
        <x:f>"10336660"</x:f>
        <x:v>10336660</x:v>
      </x:c>
      <x:c r="B836" s="13" t="n">
        <x:v>42</x:v>
      </x:c>
      <x:c r="C836" s="22" t="b">
        <x:v>1</x:v>
      </x:c>
      <x:c r="D836" s="11" t="n">
        <x:v>0.9381932427201549</x:v>
      </x:c>
      <x:c r="E836" s="11" t="n">
        <x:v>0.8994544989343376</x:v>
      </x:c>
      <x:c r="F836" s="11" t="n">
        <x:v>0.5588007726183613</x:v>
      </x:c>
      <x:c r="G836" s="11" t="n">
        <x:v>0.03873874378581732</x:v>
      </x:c>
      <x:c r="H836" s="11" t="n">
        <x:v>0.37939247010179367</x:v>
      </x:c>
      <x:c r="I836" s="11" t="n">
        <x:v>1</x:v>
      </x:c>
      <x:c r="J836" s="13" t="n">
        <x:v>18</x:v>
      </x:c>
      <x:c r="K836" s="22" t="b">
        <x:v>1</x:v>
      </x:c>
      <x:c r="L836" s="13" t="n">
        <x:v>63</x:v>
      </x:c>
      <x:c r="M836" s="13" t="n">
        <x:v>21</x:v>
      </x:c>
    </x:row>
    <x:row r="837" ht="22" customHeight="1">
      <x:c r="A837" s="17" t="str">
        <x:f>"10336660"</x:f>
        <x:v>10336660</x:v>
      </x:c>
      <x:c r="B837" s="13" t="n">
        <x:v>42</x:v>
      </x:c>
      <x:c r="C837" s="22" t="b">
        <x:v>0</x:v>
      </x:c>
      <x:c r="D837" s="11" t="n">
        <x:v>0.43398351940566493</x:v>
      </x:c>
      <x:c r="E837" s="11" t="n">
        <x:v>0.38641926209862665</x:v>
      </x:c>
      <x:c r="F837" s="11" t="n">
        <x:v>-0.6214864562985716</x:v>
      </x:c>
      <x:c r="G837" s="11" t="n">
        <x:v>0.04756425730703828</x:v>
      </x:c>
      <x:c r="H837" s="11" t="n">
        <x:v>1.0554699757042365</x:v>
      </x:c>
      <x:c r="I837" s="11" t="n">
        <x:v>1</x:v>
      </x:c>
      <x:c r="J837" s="13" t="n">
        <x:v>18</x:v>
      </x:c>
      <x:c r="K837" s="22" t="b">
        <x:v>1</x:v>
      </x:c>
      <x:c r="L837" s="13" t="n">
        <x:v>119</x:v>
      </x:c>
      <x:c r="M837" s="13" t="n">
        <x:v>41</x:v>
      </x:c>
    </x:row>
    <x:row r="838" ht="22" customHeight="1">
      <x:c r="A838" s="17" t="str">
        <x:f>"10343500"</x:f>
        <x:v>10343500</x:v>
      </x:c>
      <x:c r="B838" s="13" t="n">
        <x:v>42</x:v>
      </x:c>
      <x:c r="C838" s="22" t="b">
        <x:v>1</x:v>
      </x:c>
      <x:c r="D838" s="11" t="n">
        <x:v>0.9536265640334882</x:v>
      </x:c>
      <x:c r="E838" s="11" t="n">
        <x:v>0.924469946179846</x:v>
      </x:c>
      <x:c r="F838" s="11" t="n">
        <x:v>0.4274655549745229</x:v>
      </x:c>
      <x:c r="G838" s="11" t="n">
        <x:v>0.029156617853642208</x:v>
      </x:c>
      <x:c r="H838" s="11" t="n">
        <x:v>0.5261610090589653</x:v>
      </x:c>
      <x:c r="I838" s="11" t="n">
        <x:v>1</x:v>
      </x:c>
      <x:c r="J838" s="13" t="n">
        <x:v>20</x:v>
      </x:c>
      <x:c r="K838" s="22" t="b">
        <x:v>1</x:v>
      </x:c>
      <x:c r="L838" s="13" t="n">
        <x:v>72</x:v>
      </x:c>
      <x:c r="M838" s="13" t="n">
        <x:v>24</x:v>
      </x:c>
    </x:row>
    <x:row r="839" ht="22" customHeight="1">
      <x:c r="A839" s="17" t="str">
        <x:f>"10343500"</x:f>
        <x:v>10343500</x:v>
      </x:c>
      <x:c r="B839" s="13" t="n">
        <x:v>42</x:v>
      </x:c>
      <x:c r="C839" s="22" t="b">
        <x:v>0</x:v>
      </x:c>
      <x:c r="D839" s="11" t="n">
        <x:v>0.45654190900281044</x:v>
      </x:c>
      <x:c r="E839" s="11" t="n">
        <x:v>0.4393228191433699</x:v>
      </x:c>
      <x:c r="F839" s="11" t="n">
        <x:v>-2.9715498224647567</x:v>
      </x:c>
      <x:c r="G839" s="11" t="n">
        <x:v>0.01721908985944054</x:v>
      </x:c>
      <x:c r="H839" s="11" t="n">
        <x:v>3.428091731467567</x:v>
      </x:c>
      <x:c r="I839" s="11" t="n">
        <x:v>0.7368421052631579</x:v>
      </x:c>
      <x:c r="J839" s="13" t="n">
        <x:v>19</x:v>
      </x:c>
      <x:c r="K839" s="22" t="b">
        <x:v>0</x:v>
      </x:c>
      <x:c r="L839" s="13" t="n">
        <x:v>118</x:v>
      </x:c>
      <x:c r="M839" s="13" t="n">
        <x:v>40</x:v>
      </x:c>
    </x:row>
    <x:row r="840" ht="22" customHeight="1">
      <x:c r="A840" s="17" t="str">
        <x:f>"10396000"</x:f>
        <x:v>10396000</x:v>
      </x:c>
      <x:c r="B840" s="13" t="n">
        <x:v>42</x:v>
      </x:c>
      <x:c r="C840" s="22" t="b">
        <x:v>1</x:v>
      </x:c>
      <x:c r="D840" s="11" t="n">
        <x:v>0.9148414042614778</x:v>
      </x:c>
      <x:c r="E840" s="11" t="n">
        <x:v>0.8073511563559759</x:v>
      </x:c>
      <x:c r="F840" s="11" t="n">
        <x:v>0.8072078199223676</x:v>
      </x:c>
      <x:c r="G840" s="11" t="n">
        <x:v>0.10749024790550188</x:v>
      </x:c>
      <x:c r="H840" s="11" t="n">
        <x:v>0.10763358433911019</x:v>
      </x:c>
      <x:c r="I840" s="11" t="n">
        <x:v>0.7894736842105263</x:v>
      </x:c>
      <x:c r="J840" s="13" t="n">
        <x:v>19</x:v>
      </x:c>
      <x:c r="K840" s="22" t="b">
        <x:v>0</x:v>
      </x:c>
      <x:c r="L840" s="13" t="n">
        <x:v>85</x:v>
      </x:c>
      <x:c r="M840" s="13" t="n">
        <x:v>27</x:v>
      </x:c>
    </x:row>
    <x:row r="841" ht="22" customHeight="1">
      <x:c r="A841" s="17" t="str">
        <x:f>"10396000"</x:f>
        <x:v>10396000</x:v>
      </x:c>
      <x:c r="B841" s="13" t="n">
        <x:v>42</x:v>
      </x:c>
      <x:c r="C841" s="22" t="b">
        <x:v>0</x:v>
      </x:c>
      <x:c r="D841" s="11" t="n">
        <x:v>0.61916989416706</x:v>
      </x:c>
      <x:c r="E841" s="11" t="n">
        <x:v>0.6788252298127662</x:v>
      </x:c>
      <x:c r="F841" s="11" t="n">
        <x:v>0.11255297888960203</x:v>
      </x:c>
      <x:c r="G841" s="11" t="n">
        <x:v>-0.05965533564570613</x:v>
      </x:c>
      <x:c r="H841" s="11" t="n">
        <x:v>0.506616915277458</x:v>
      </x:c>
      <x:c r="I841" s="11" t="n">
        <x:v>0.65</x:v>
      </x:c>
      <x:c r="J841" s="13" t="n">
        <x:v>20</x:v>
      </x:c>
      <x:c r="K841" s="22" t="b">
        <x:v>0</x:v>
      </x:c>
      <x:c r="L841" s="13" t="n">
        <x:v>125</x:v>
      </x:c>
      <x:c r="M841" s="13" t="n">
        <x:v>47</x:v>
      </x:c>
    </x:row>
    <x:row r="842" ht="22" customHeight="1">
      <x:c r="A842" s="17" t="str">
        <x:f>"11098000"</x:f>
        <x:v>11098000</x:v>
      </x:c>
      <x:c r="B842" s="13" t="n">
        <x:v>42</x:v>
      </x:c>
      <x:c r="C842" s="22" t="b">
        <x:v>1</x:v>
      </x:c>
      <x:c r="D842" s="11" t="n">
        <x:v>-0.1510505901411503</x:v>
      </x:c>
      <x:c r="E842" s="11" t="n">
        <x:v>-1.6164849696527468</x:v>
      </x:c>
      <x:c r="F842" s="11" t="n">
        <x:v>-0.7156698502719221</x:v>
      </x:c>
      <x:c r="G842" s="11" t="n">
        <x:v>1.4654343795115965</x:v>
      </x:c>
      <x:c r="H842" s="11" t="n">
        <x:v>0.5646192601307718</x:v>
      </x:c>
      <x:c r="I842" s="11" t="n">
        <x:v>0.42105263157894735</x:v>
      </x:c>
      <x:c r="J842" s="13" t="n">
        <x:v>19</x:v>
      </x:c>
      <x:c r="K842" s="22" t="b">
        <x:v>0</x:v>
      </x:c>
      <x:c r="L842" s="13" t="n">
        <x:v>76</x:v>
      </x:c>
      <x:c r="M842" s="13" t="n">
        <x:v>25</x:v>
      </x:c>
    </x:row>
    <x:row r="843" ht="22" customHeight="1">
      <x:c r="A843" s="17" t="str">
        <x:f>"11098000"</x:f>
        <x:v>11098000</x:v>
      </x:c>
      <x:c r="B843" s="13" t="n">
        <x:v>42</x:v>
      </x:c>
      <x:c r="C843" s="22" t="b">
        <x:v>0</x:v>
      </x:c>
      <x:c r="D843" s="11" t="n">
        <x:v>-0.1881606439629837</x:v>
      </x:c>
      <x:c r="E843" s="11" t="n">
        <x:v>-1.0331222478002204</x:v>
      </x:c>
      <x:c r="F843" s="11" t="n">
        <x:v>-0.261382500325372</x:v>
      </x:c>
      <x:c r="G843" s="11" t="n">
        <x:v>0.8449616038372367</x:v>
      </x:c>
      <x:c r="H843" s="11" t="n">
        <x:v>0.07322185636238832</x:v>
      </x:c>
      <x:c r="I843" s="11" t="n">
        <x:v>0</x:v>
      </x:c>
      <x:c r="J843" s="13" t="n">
        <x:v>20</x:v>
      </x:c>
      <x:c r="K843" s="22" t="b">
        <x:v>0</x:v>
      </x:c>
      <x:c r="L843" s="13" t="n">
        <x:v>105</x:v>
      </x:c>
      <x:c r="M843" s="13" t="n">
        <x:v>34</x:v>
      </x:c>
    </x:row>
    <x:row r="844" ht="22" customHeight="1">
      <x:c r="A844" s="17" t="str">
        <x:f>"11124500"</x:f>
        <x:v>11124500</x:v>
      </x:c>
      <x:c r="B844" s="13" t="n">
        <x:v>42</x:v>
      </x:c>
      <x:c r="C844" s="22" t="b">
        <x:v>1</x:v>
      </x:c>
      <x:c r="D844" s="11" t="n">
        <x:v>0.33852588019003793</x:v>
      </x:c>
      <x:c r="E844" s="11" t="n">
        <x:v>0.3065003016709982</x:v>
      </x:c>
      <x:c r="F844" s="11" t="n">
        <x:v>-0.19539336498381177</x:v>
      </x:c>
      <x:c r="G844" s="11" t="n">
        <x:v>0.032025578519039755</x:v>
      </x:c>
      <x:c r="H844" s="11" t="n">
        <x:v>0.5339192451738497</x:v>
      </x:c>
      <x:c r="I844" s="11" t="n">
        <x:v>1</x:v>
      </x:c>
      <x:c r="J844" s="13" t="n">
        <x:v>20</x:v>
      </x:c>
      <x:c r="K844" s="22" t="b">
        <x:v>1</x:v>
      </x:c>
      <x:c r="L844" s="13" t="n">
        <x:v>90</x:v>
      </x:c>
      <x:c r="M844" s="13" t="n">
        <x:v>28</x:v>
      </x:c>
    </x:row>
    <x:row r="845" ht="22" customHeight="1">
      <x:c r="A845" s="17" t="str">
        <x:f>"11124500"</x:f>
        <x:v>11124500</x:v>
      </x:c>
      <x:c r="B845" s="13" t="n">
        <x:v>42</x:v>
      </x:c>
      <x:c r="C845" s="22" t="b">
        <x:v>0</x:v>
      </x:c>
      <x:c r="D845" s="11" t="n">
        <x:v>-0.053343990936679964</x:v>
      </x:c>
      <x:c r="E845" s="11" t="n">
        <x:v>-0.1025176279137694</x:v>
      </x:c>
      <x:c r="F845" s="11" t="n">
        <x:v>-3.6750868574028956</x:v>
      </x:c>
      <x:c r="G845" s="11" t="n">
        <x:v>0.04917363697708943</x:v>
      </x:c>
      <x:c r="H845" s="11" t="n">
        <x:v>3.6217428664662155</x:v>
      </x:c>
      <x:c r="I845" s="11" t="n">
        <x:v>1</x:v>
      </x:c>
      <x:c r="J845" s="13" t="n">
        <x:v>20</x:v>
      </x:c>
      <x:c r="K845" s="22" t="b">
        <x:v>1</x:v>
      </x:c>
      <x:c r="L845" s="13" t="n">
        <x:v>139</x:v>
      </x:c>
      <x:c r="M845" s="13" t="n">
        <x:v>51</x:v>
      </x:c>
    </x:row>
    <x:row r="846" ht="22" customHeight="1">
      <x:c r="A846" s="17" t="str">
        <x:f>"11141280"</x:f>
        <x:v>11141280</x:v>
      </x:c>
      <x:c r="B846" s="13" t="n">
        <x:v>42</x:v>
      </x:c>
      <x:c r="C846" s="22" t="b">
        <x:v>1</x:v>
      </x:c>
      <x:c r="D846" s="11" t="n">
        <x:v>0.4057666563647403</x:v>
      </x:c>
      <x:c r="E846" s="11" t="n">
        <x:v>0.3089966438235392</x:v>
      </x:c>
      <x:c r="F846" s="11" t="n">
        <x:v>0.33353100819321957</x:v>
      </x:c>
      <x:c r="G846" s="11" t="n">
        <x:v>0.0967700125412011</x:v>
      </x:c>
      <x:c r="H846" s="11" t="n">
        <x:v>0.07223564817152073</x:v>
      </x:c>
      <x:c r="I846" s="11" t="n">
        <x:v>0</x:v>
      </x:c>
      <x:c r="J846" s="13" t="n">
        <x:v>20</x:v>
      </x:c>
      <x:c r="K846" s="22" t="b">
        <x:v>0</x:v>
      </x:c>
      <x:c r="L846" s="13" t="n">
        <x:v>138</x:v>
      </x:c>
      <x:c r="M846" s="13" t="n">
        <x:v>50</x:v>
      </x:c>
    </x:row>
    <x:row r="847" ht="22" customHeight="1">
      <x:c r="A847" s="17" t="str">
        <x:f>"11141280"</x:f>
        <x:v>11141280</x:v>
      </x:c>
      <x:c r="B847" s="13" t="n">
        <x:v>42</x:v>
      </x:c>
      <x:c r="C847" s="22" t="b">
        <x:v>0</x:v>
      </x:c>
      <x:c r="D847" s="11" t="n">
        <x:v>0.09895202295646777</x:v>
      </x:c>
      <x:c r="E847" s="11" t="n">
        <x:v>-0.07830399476136285</x:v>
      </x:c>
      <x:c r="F847" s="11" t="n">
        <x:v>-0.9088158702436568</x:v>
      </x:c>
      <x:c r="G847" s="11" t="n">
        <x:v>0.17725601771783062</x:v>
      </x:c>
      <x:c r="H847" s="11" t="n">
        <x:v>1.0077678932001246</x:v>
      </x:c>
      <x:c r="I847" s="11" t="n">
        <x:v>0.25</x:v>
      </x:c>
      <x:c r="J847" s="13" t="n">
        <x:v>20</x:v>
      </x:c>
      <x:c r="K847" s="22" t="b">
        <x:v>0</x:v>
      </x:c>
      <x:c r="L847" s="13" t="n">
        <x:v>159</x:v>
      </x:c>
      <x:c r="M847" s="13" t="n">
        <x:v>65</x:v>
      </x:c>
    </x:row>
    <x:row r="848" ht="22" customHeight="1">
      <x:c r="A848" s="17" t="str">
        <x:f>"11143000"</x:f>
        <x:v>11143000</x:v>
      </x:c>
      <x:c r="B848" s="13" t="n">
        <x:v>42</x:v>
      </x:c>
      <x:c r="C848" s="22" t="b">
        <x:v>1</x:v>
      </x:c>
      <x:c r="D848" s="11" t="n">
        <x:v>0.7499630543369363</x:v>
      </x:c>
      <x:c r="E848" s="11" t="n">
        <x:v>0.6783443506960827</x:v>
      </x:c>
      <x:c r="F848" s="11" t="n">
        <x:v>0.6185320977775193</x:v>
      </x:c>
      <x:c r="G848" s="11" t="n">
        <x:v>0.07161870364085365</x:v>
      </x:c>
      <x:c r="H848" s="11" t="n">
        <x:v>0.13143095655941706</x:v>
      </x:c>
      <x:c r="I848" s="11" t="n">
        <x:v>0.9333333333333333</x:v>
      </x:c>
      <x:c r="J848" s="13" t="n">
        <x:v>15</x:v>
      </x:c>
      <x:c r="K848" s="22" t="b">
        <x:v>0</x:v>
      </x:c>
      <x:c r="L848" s="13" t="n">
        <x:v>102</x:v>
      </x:c>
      <x:c r="M848" s="13" t="n">
        <x:v>33</x:v>
      </x:c>
    </x:row>
    <x:row r="849" ht="22" customHeight="1">
      <x:c r="A849" s="17" t="str">
        <x:f>"11143000"</x:f>
        <x:v>11143000</x:v>
      </x:c>
      <x:c r="B849" s="13" t="n">
        <x:v>42</x:v>
      </x:c>
      <x:c r="C849" s="22" t="b">
        <x:v>0</x:v>
      </x:c>
      <x:c r="D849" s="11" t="n">
        <x:v>0.12549028424287</x:v>
      </x:c>
      <x:c r="E849" s="11" t="n">
        <x:v>0.28203500785843705</x:v>
      </x:c>
      <x:c r="F849" s="11" t="n">
        <x:v>-0.6029294834287671</x:v>
      </x:c>
      <x:c r="G849" s="11" t="n">
        <x:v>-0.15654472361556704</x:v>
      </x:c>
      <x:c r="H849" s="11" t="n">
        <x:v>0.7284197676716371</x:v>
      </x:c>
      <x:c r="I849" s="11" t="n">
        <x:v>0.3</x:v>
      </x:c>
      <x:c r="J849" s="13" t="n">
        <x:v>20</x:v>
      </x:c>
      <x:c r="K849" s="22" t="b">
        <x:v>0</x:v>
      </x:c>
      <x:c r="L849" s="13" t="n">
        <x:v>166</x:v>
      </x:c>
      <x:c r="M849" s="13" t="n">
        <x:v>74</x:v>
      </x:c>
    </x:row>
    <x:row r="850" ht="22" customHeight="1">
      <x:c r="A850" s="17" t="str">
        <x:f>"11148900"</x:f>
        <x:v>11148900</x:v>
      </x:c>
      <x:c r="B850" s="13" t="n">
        <x:v>42</x:v>
      </x:c>
      <x:c r="C850" s="22" t="b">
        <x:v>1</x:v>
      </x:c>
      <x:c r="D850" s="11" t="n">
        <x:v>0.4317380244725598</x:v>
      </x:c>
      <x:c r="E850" s="11" t="n">
        <x:v>0.38281575491126074</x:v>
      </x:c>
      <x:c r="F850" s="11" t="n">
        <x:v>0.39940289656847905</x:v>
      </x:c>
      <x:c r="G850" s="11" t="n">
        <x:v>0.04892226956129908</x:v>
      </x:c>
      <x:c r="H850" s="11" t="n">
        <x:v>0.032335127904080774</x:v>
      </x:c>
      <x:c r="I850" s="11" t="n">
        <x:v>1</x:v>
      </x:c>
      <x:c r="J850" s="13" t="n">
        <x:v>20</x:v>
      </x:c>
      <x:c r="K850" s="22" t="b">
        <x:v>1</x:v>
      </x:c>
      <x:c r="L850" s="13" t="n">
        <x:v>172</x:v>
      </x:c>
      <x:c r="M850" s="13" t="n">
        <x:v>76</x:v>
      </x:c>
    </x:row>
    <x:row r="851" ht="22" customHeight="1">
      <x:c r="A851" s="17" t="str">
        <x:f>"11148900"</x:f>
        <x:v>11148900</x:v>
      </x:c>
      <x:c r="B851" s="13" t="n">
        <x:v>42</x:v>
      </x:c>
      <x:c r="C851" s="22" t="b">
        <x:v>0</x:v>
      </x:c>
      <x:c r="D851" s="11" t="n">
        <x:v>0.2721424053701452</x:v>
      </x:c>
      <x:c r="E851" s="11" t="n">
        <x:v>0.22351840891987973</x:v>
      </x:c>
      <x:c r="F851" s="11" t="n">
        <x:v>0.20821393728644533</x:v>
      </x:c>
      <x:c r="G851" s="11" t="n">
        <x:v>0.048623996450265494</x:v>
      </x:c>
      <x:c r="H851" s="11" t="n">
        <x:v>0.0639284680836999</x:v>
      </x:c>
      <x:c r="I851" s="11" t="n">
        <x:v>0</x:v>
      </x:c>
      <x:c r="J851" s="13" t="n">
        <x:v>20</x:v>
      </x:c>
      <x:c r="K851" s="22" t="b">
        <x:v>0</x:v>
      </x:c>
      <x:c r="L851" s="13" t="n">
        <x:v>137</x:v>
      </x:c>
      <x:c r="M851" s="13" t="n">
        <x:v>49</x:v>
      </x:c>
    </x:row>
    <x:row r="852" ht="22" customHeight="1">
      <x:c r="A852" s="17" t="str">
        <x:f>"11151300"</x:f>
        <x:v>11151300</x:v>
      </x:c>
      <x:c r="B852" s="13" t="n">
        <x:v>42</x:v>
      </x:c>
      <x:c r="C852" s="22" t="b">
        <x:v>1</x:v>
      </x:c>
      <x:c r="D852" s="11" t="n">
        <x:v>0.23301973867837422</x:v>
      </x:c>
      <x:c r="E852" s="11" t="n">
        <x:v>0.16666171348410552</x:v>
      </x:c>
      <x:c r="F852" s="11" t="n">
        <x:v>0.21763820652671284</x:v>
      </x:c>
      <x:c r="G852" s="11" t="n">
        <x:v>0.0663580251942687</x:v>
      </x:c>
      <x:c r="H852" s="11" t="n">
        <x:v>0.015381532151661381</x:v>
      </x:c>
      <x:c r="I852" s="11" t="n">
        <x:v>0.4</x:v>
      </x:c>
      <x:c r="J852" s="13" t="n">
        <x:v>20</x:v>
      </x:c>
      <x:c r="K852" s="22" t="b">
        <x:v>0</x:v>
      </x:c>
      <x:c r="L852" s="13" t="n">
        <x:v>95</x:v>
      </x:c>
      <x:c r="M852" s="13" t="n">
        <x:v>31</x:v>
      </x:c>
    </x:row>
    <x:row r="853" ht="22" customHeight="1">
      <x:c r="A853" s="17" t="str">
        <x:f>"11151300"</x:f>
        <x:v>11151300</x:v>
      </x:c>
      <x:c r="B853" s="13" t="n">
        <x:v>42</x:v>
      </x:c>
      <x:c r="C853" s="22" t="b">
        <x:v>0</x:v>
      </x:c>
      <x:c r="D853" s="11" t="n">
        <x:v>0.15726745146227517</x:v>
      </x:c>
      <x:c r="E853" s="11" t="n">
        <x:v>0.04644592075353415</x:v>
      </x:c>
      <x:c r="F853" s="11" t="n">
        <x:v>0.15199545035560547</x:v>
      </x:c>
      <x:c r="G853" s="11" t="n">
        <x:v>0.11082153070874101</x:v>
      </x:c>
      <x:c r="H853" s="11" t="n">
        <x:v>0.005272001106669699</x:v>
      </x:c>
      <x:c r="I853" s="11" t="n">
        <x:v>1</x:v>
      </x:c>
      <x:c r="J853" s="13" t="n">
        <x:v>20</x:v>
      </x:c>
      <x:c r="K853" s="22" t="b">
        <x:v>0</x:v>
      </x:c>
      <x:c r="L853" s="13" t="n">
        <x:v>113</x:v>
      </x:c>
      <x:c r="M853" s="13" t="n">
        <x:v>37</x:v>
      </x:c>
    </x:row>
    <x:row r="854" ht="22" customHeight="1">
      <x:c r="A854" s="17" t="str">
        <x:f>"11162500"</x:f>
        <x:v>11162500</x:v>
      </x:c>
      <x:c r="B854" s="13" t="n">
        <x:v>42</x:v>
      </x:c>
      <x:c r="C854" s="22" t="b">
        <x:v>1</x:v>
      </x:c>
      <x:c r="D854" s="11" t="n">
        <x:v>0.48747927076975006</x:v>
      </x:c>
      <x:c r="E854" s="11" t="n">
        <x:v>0.49602087765492364</x:v>
      </x:c>
      <x:c r="F854" s="11" t="n">
        <x:v>0.28446630833803166</x:v>
      </x:c>
      <x:c r="G854" s="11" t="n">
        <x:v>-0.00854160688517358</x:v>
      </x:c>
      <x:c r="H854" s="11" t="n">
        <x:v>0.2030129624317184</x:v>
      </x:c>
      <x:c r="I854" s="11" t="n">
        <x:v>1</x:v>
      </x:c>
      <x:c r="J854" s="13" t="n">
        <x:v>19</x:v>
      </x:c>
      <x:c r="K854" s="22" t="b">
        <x:v>1</x:v>
      </x:c>
      <x:c r="L854" s="13" t="n">
        <x:v>139</x:v>
      </x:c>
      <x:c r="M854" s="13" t="n">
        <x:v>51</x:v>
      </x:c>
    </x:row>
    <x:row r="855" ht="22" customHeight="1">
      <x:c r="A855" s="17" t="str">
        <x:f>"11162500"</x:f>
        <x:v>11162500</x:v>
      </x:c>
      <x:c r="B855" s="13" t="n">
        <x:v>42</x:v>
      </x:c>
      <x:c r="C855" s="22" t="b">
        <x:v>0</x:v>
      </x:c>
      <x:c r="D855" s="11" t="n">
        <x:v>0.3087725369456724</x:v>
      </x:c>
      <x:c r="E855" s="11" t="n">
        <x:v>0.2230778739420506</x:v>
      </x:c>
      <x:c r="F855" s="11" t="n">
        <x:v>0.1241888594735121</x:v>
      </x:c>
      <x:c r="G855" s="11" t="n">
        <x:v>0.08569466300362183</x:v>
      </x:c>
      <x:c r="H855" s="11" t="n">
        <x:v>0.1845836774721603</x:v>
      </x:c>
      <x:c r="I855" s="11" t="n">
        <x:v>1</x:v>
      </x:c>
      <x:c r="J855" s="13" t="n">
        <x:v>18</x:v>
      </x:c>
      <x:c r="K855" s="22" t="b">
        <x:v>0</x:v>
      </x:c>
      <x:c r="L855" s="13" t="n">
        <x:v>92</x:v>
      </x:c>
      <x:c r="M855" s="13" t="n">
        <x:v>30</x:v>
      </x:c>
    </x:row>
    <x:row r="856" ht="22" customHeight="1">
      <x:c r="A856" s="17" t="str">
        <x:f>"11176400"</x:f>
        <x:v>11176400</x:v>
      </x:c>
      <x:c r="B856" s="13" t="n">
        <x:v>42</x:v>
      </x:c>
      <x:c r="C856" s="22" t="b">
        <x:v>1</x:v>
      </x:c>
      <x:c r="D856" s="11" t="n">
        <x:v>0.2771172653616367</x:v>
      </x:c>
      <x:c r="E856" s="11" t="n">
        <x:v>0.24470163289153424</x:v>
      </x:c>
      <x:c r="F856" s="11" t="n">
        <x:v>-0.2064991358377004</x:v>
      </x:c>
      <x:c r="G856" s="11" t="n">
        <x:v>0.032415632470102484</x:v>
      </x:c>
      <x:c r="H856" s="11" t="n">
        <x:v>0.48361640119933713</x:v>
      </x:c>
      <x:c r="I856" s="11" t="n">
        <x:v>0.3</x:v>
      </x:c>
      <x:c r="J856" s="13" t="n">
        <x:v>20</x:v>
      </x:c>
      <x:c r="K856" s="22" t="b">
        <x:v>0</x:v>
      </x:c>
      <x:c r="L856" s="13" t="n">
        <x:v>143</x:v>
      </x:c>
      <x:c r="M856" s="13" t="n">
        <x:v>54</x:v>
      </x:c>
    </x:row>
    <x:row r="857" ht="22" customHeight="1">
      <x:c r="A857" s="17" t="str">
        <x:f>"11176400"</x:f>
        <x:v>11176400</x:v>
      </x:c>
      <x:c r="B857" s="13" t="n">
        <x:v>42</x:v>
      </x:c>
      <x:c r="C857" s="22" t="b">
        <x:v>0</x:v>
      </x:c>
      <x:c r="D857" s="11" t="n">
        <x:v>-0.6232168539441689</x:v>
      </x:c>
      <x:c r="E857" s="11" t="n">
        <x:v>-0.002913640623888103</x:v>
      </x:c>
      <x:c r="F857" s="11" t="n">
        <x:v>-1.4210383993936047</x:v>
      </x:c>
      <x:c r="G857" s="11" t="n">
        <x:v>-0.6203032133202808</x:v>
      </x:c>
      <x:c r="H857" s="11" t="n">
        <x:v>0.7978215454494357</x:v>
      </x:c>
      <x:c r="I857" s="11" t="n">
        <x:v>0.85</x:v>
      </x:c>
      <x:c r="J857" s="13" t="n">
        <x:v>20</x:v>
      </x:c>
      <x:c r="K857" s="22" t="b">
        <x:v>1</x:v>
      </x:c>
      <x:c r="L857" s="13" t="n">
        <x:v>120</x:v>
      </x:c>
      <x:c r="M857" s="13" t="n">
        <x:v>41</x:v>
      </x:c>
    </x:row>
    <x:row r="858" ht="22" customHeight="1">
      <x:c r="A858" s="17" t="str">
        <x:f>"11180500"</x:f>
        <x:v>11180500</x:v>
      </x:c>
      <x:c r="B858" s="13" t="n">
        <x:v>42</x:v>
      </x:c>
      <x:c r="C858" s="22" t="b">
        <x:v>1</x:v>
      </x:c>
      <x:c r="D858" s="11" t="n">
        <x:v>0.35787800391314595</x:v>
      </x:c>
      <x:c r="E858" s="11" t="n">
        <x:v>0.36684163385183466</x:v>
      </x:c>
      <x:c r="F858" s="11" t="n">
        <x:v>0.22099857762596586</x:v>
      </x:c>
      <x:c r="G858" s="11" t="n">
        <x:v>-0.00896362993868871</x:v>
      </x:c>
      <x:c r="H858" s="11" t="n">
        <x:v>0.13687942628718008</x:v>
      </x:c>
      <x:c r="I858" s="11" t="n">
        <x:v>0.4</x:v>
      </x:c>
      <x:c r="J858" s="13" t="n">
        <x:v>20</x:v>
      </x:c>
      <x:c r="K858" s="22" t="b">
        <x:v>0</x:v>
      </x:c>
      <x:c r="L858" s="13" t="n">
        <x:v>123</x:v>
      </x:c>
      <x:c r="M858" s="13" t="n">
        <x:v>42</x:v>
      </x:c>
    </x:row>
    <x:row r="859" ht="22" customHeight="1">
      <x:c r="A859" s="17" t="str">
        <x:f>"11180500"</x:f>
        <x:v>11180500</x:v>
      </x:c>
      <x:c r="B859" s="13" t="n">
        <x:v>42</x:v>
      </x:c>
      <x:c r="C859" s="22" t="b">
        <x:v>0</x:v>
      </x:c>
      <x:c r="D859" s="11" t="n">
        <x:v>0.2724150393288005</x:v>
      </x:c>
      <x:c r="E859" s="11" t="n">
        <x:v>0.3294912247639942</x:v>
      </x:c>
      <x:c r="F859" s="11" t="n">
        <x:v>0.19681513386264715</x:v>
      </x:c>
      <x:c r="G859" s="11" t="n">
        <x:v>-0.05707618543519366</x:v>
      </x:c>
      <x:c r="H859" s="11" t="n">
        <x:v>0.07559990546615336</x:v>
      </x:c>
      <x:c r="I859" s="11" t="n">
        <x:v>1</x:v>
      </x:c>
      <x:c r="J859" s="13" t="n">
        <x:v>15</x:v>
      </x:c>
      <x:c r="K859" s="22" t="b">
        <x:v>1</x:v>
      </x:c>
      <x:c r="L859" s="13" t="n">
        <x:v>94</x:v>
      </x:c>
      <x:c r="M859" s="13" t="n">
        <x:v>30</x:v>
      </x:c>
    </x:row>
    <x:row r="860" ht="22" customHeight="1">
      <x:c r="A860" s="17" t="str">
        <x:f>"11180960"</x:f>
        <x:v>11180960</x:v>
      </x:c>
      <x:c r="B860" s="13" t="n">
        <x:v>42</x:v>
      </x:c>
      <x:c r="C860" s="22" t="b">
        <x:v>1</x:v>
      </x:c>
      <x:c r="D860" s="11" t="n">
        <x:v>0.2802040696400654</x:v>
      </x:c>
      <x:c r="E860" s="11" t="n">
        <x:v>0.2731087432352899</x:v>
      </x:c>
      <x:c r="F860" s="11" t="n">
        <x:v>0.09006253091783079</x:v>
      </x:c>
      <x:c r="G860" s="11" t="n">
        <x:v>0.007095326404775504</x:v>
      </x:c>
      <x:c r="H860" s="11" t="n">
        <x:v>0.1901415387222346</x:v>
      </x:c>
      <x:c r="I860" s="11" t="n">
        <x:v>1</x:v>
      </x:c>
      <x:c r="J860" s="13" t="n">
        <x:v>18</x:v>
      </x:c>
      <x:c r="K860" s="22" t="b">
        <x:v>1</x:v>
      </x:c>
      <x:c r="L860" s="13" t="n">
        <x:v>114</x:v>
      </x:c>
      <x:c r="M860" s="13" t="n">
        <x:v>37</x:v>
      </x:c>
    </x:row>
    <x:row r="861" ht="22" customHeight="1">
      <x:c r="A861" s="17" t="str">
        <x:f>"11180960"</x:f>
        <x:v>11180960</x:v>
      </x:c>
      <x:c r="B861" s="13" t="n">
        <x:v>42</x:v>
      </x:c>
      <x:c r="C861" s="22" t="b">
        <x:v>0</x:v>
      </x:c>
      <x:c r="D861" s="11" t="n">
        <x:v>0.15168702250747457</x:v>
      </x:c>
      <x:c r="E861" s="11" t="n">
        <x:v>0.1737829468985458</x:v>
      </x:c>
      <x:c r="F861" s="11" t="n">
        <x:v>-0.5910479385070408</x:v>
      </x:c>
      <x:c r="G861" s="11" t="n">
        <x:v>-0.02209592439107122</x:v>
      </x:c>
      <x:c r="H861" s="11" t="n">
        <x:v>0.7427349610145154</x:v>
      </x:c>
      <x:c r="I861" s="11"/>
      <x:c r="J861" s="13" t="n">
        <x:v>0</x:v>
      </x:c>
      <x:c r="K861" s="22" t="b">
        <x:v>0</x:v>
      </x:c>
      <x:c r="L861" s="13" t="n">
        <x:v>86</x:v>
      </x:c>
      <x:c r="M861" s="13" t="n">
        <x:v>27</x:v>
      </x:c>
    </x:row>
    <x:row r="862" ht="22" customHeight="1">
      <x:c r="A862" s="17" t="str">
        <x:f>"11224500"</x:f>
        <x:v>11224500</x:v>
      </x:c>
      <x:c r="B862" s="13" t="n">
        <x:v>42</x:v>
      </x:c>
      <x:c r="C862" s="22" t="b">
        <x:v>1</x:v>
      </x:c>
      <x:c r="D862" s="11" t="n">
        <x:v>0.2511402277764666</x:v>
      </x:c>
      <x:c r="E862" s="11" t="n">
        <x:v>0.13001905800455138</x:v>
      </x:c>
      <x:c r="F862" s="11" t="n">
        <x:v>0.17616449690699798</x:v>
      </x:c>
      <x:c r="G862" s="11" t="n">
        <x:v>0.12112116977191523</x:v>
      </x:c>
      <x:c r="H862" s="11" t="n">
        <x:v>0.07497573086946863</x:v>
      </x:c>
      <x:c r="I862" s="11" t="n">
        <x:v>1</x:v>
      </x:c>
      <x:c r="J862" s="13" t="n">
        <x:v>8</x:v>
      </x:c>
      <x:c r="K862" s="22" t="b">
        <x:v>0</x:v>
      </x:c>
      <x:c r="L862" s="13" t="n">
        <x:v>85</x:v>
      </x:c>
      <x:c r="M862" s="13" t="n">
        <x:v>28</x:v>
      </x:c>
    </x:row>
    <x:row r="863" ht="22" customHeight="1">
      <x:c r="A863" s="17" t="str">
        <x:f>"11224500"</x:f>
        <x:v>11224500</x:v>
      </x:c>
      <x:c r="B863" s="13" t="n">
        <x:v>42</x:v>
      </x:c>
      <x:c r="C863" s="22" t="b">
        <x:v>0</x:v>
      </x:c>
      <x:c r="D863" s="11" t="n">
        <x:v>-0.6618050003375644</x:v>
      </x:c>
      <x:c r="E863" s="11" t="n">
        <x:v>-0.6954601521305248</x:v>
      </x:c>
      <x:c r="F863" s="11" t="n">
        <x:v>-1.124399929594396</x:v>
      </x:c>
      <x:c r="G863" s="11" t="n">
        <x:v>0.033655151792960414</x:v>
      </x:c>
      <x:c r="H863" s="11" t="n">
        <x:v>0.46259492925683166</x:v>
      </x:c>
      <x:c r="I863" s="11" t="n">
        <x:v>0.9</x:v>
      </x:c>
      <x:c r="J863" s="13" t="n">
        <x:v>20</x:v>
      </x:c>
      <x:c r="K863" s="22" t="b">
        <x:v>1</x:v>
      </x:c>
      <x:c r="L863" s="13" t="n">
        <x:v>126</x:v>
      </x:c>
      <x:c r="M863" s="13" t="n">
        <x:v>44</x:v>
      </x:c>
    </x:row>
    <x:row r="864" ht="22" customHeight="1">
      <x:c r="A864" s="17" t="str">
        <x:f>"11230500"</x:f>
        <x:v>11230500</x:v>
      </x:c>
      <x:c r="B864" s="13" t="n">
        <x:v>42</x:v>
      </x:c>
      <x:c r="C864" s="22" t="b">
        <x:v>1</x:v>
      </x:c>
      <x:c r="D864" s="11" t="n">
        <x:v>0.9733506122252622</x:v>
      </x:c>
      <x:c r="E864" s="11" t="n">
        <x:v>0.9692107743345968</x:v>
      </x:c>
      <x:c r="F864" s="11" t="n">
        <x:v>0.6872041059794256</x:v>
      </x:c>
      <x:c r="G864" s="11" t="n">
        <x:v>0.00413983789066541</x:v>
      </x:c>
      <x:c r="H864" s="11" t="n">
        <x:v>0.2861465062458366</x:v>
      </x:c>
      <x:c r="I864" s="11" t="n">
        <x:v>1</x:v>
      </x:c>
      <x:c r="J864" s="13" t="n">
        <x:v>9</x:v>
      </x:c>
      <x:c r="K864" s="22" t="b">
        <x:v>1</x:v>
      </x:c>
      <x:c r="L864" s="13" t="n">
        <x:v>54</x:v>
      </x:c>
      <x:c r="M864" s="13" t="n">
        <x:v>18</x:v>
      </x:c>
    </x:row>
    <x:row r="865" ht="22" customHeight="1">
      <x:c r="A865" s="17" t="str">
        <x:f>"11230500"</x:f>
        <x:v>11230500</x:v>
      </x:c>
      <x:c r="B865" s="13" t="n">
        <x:v>42</x:v>
      </x:c>
      <x:c r="C865" s="22" t="b">
        <x:v>0</x:v>
      </x:c>
      <x:c r="D865" s="11" t="n">
        <x:v>0.6126154351903347</x:v>
      </x:c>
      <x:c r="E865" s="11" t="n">
        <x:v>0.6836687687014327</x:v>
      </x:c>
      <x:c r="F865" s="11" t="n">
        <x:v>0.428560001728189</x:v>
      </x:c>
      <x:c r="G865" s="11" t="n">
        <x:v>-0.071053333511098</x:v>
      </x:c>
      <x:c r="H865" s="11" t="n">
        <x:v>0.1840554334621457</x:v>
      </x:c>
      <x:c r="I865" s="11" t="n">
        <x:v>0.7</x:v>
      </x:c>
      <x:c r="J865" s="13" t="n">
        <x:v>20</x:v>
      </x:c>
      <x:c r="K865" s="22" t="b">
        <x:v>0</x:v>
      </x:c>
      <x:c r="L865" s="13" t="n">
        <x:v>176</x:v>
      </x:c>
      <x:c r="M865" s="13" t="n">
        <x:v>80</x:v>
      </x:c>
    </x:row>
    <x:row r="866" ht="22" customHeight="1">
      <x:c r="A866" s="17" t="str">
        <x:f>"11237500"</x:f>
        <x:v>11237500</x:v>
      </x:c>
      <x:c r="B866" s="13" t="n">
        <x:v>42</x:v>
      </x:c>
      <x:c r="C866" s="22" t="b">
        <x:v>1</x:v>
      </x:c>
      <x:c r="D866" s="11" t="n">
        <x:v>0.972456495993243</x:v>
      </x:c>
      <x:c r="E866" s="11" t="n">
        <x:v>0.9604172493508184</x:v>
      </x:c>
      <x:c r="F866" s="11" t="n">
        <x:v>0.7887085828092361</x:v>
      </x:c>
      <x:c r="G866" s="11" t="n">
        <x:v>0.012039246642424617</x:v>
      </x:c>
      <x:c r="H866" s="11" t="n">
        <x:v>0.18374791318400696</x:v>
      </x:c>
      <x:c r="I866" s="11" t="n">
        <x:v>1</x:v>
      </x:c>
      <x:c r="J866" s="13" t="n">
        <x:v>13</x:v>
      </x:c>
      <x:c r="K866" s="22" t="b">
        <x:v>1</x:v>
      </x:c>
      <x:c r="L866" s="13" t="n">
        <x:v>43</x:v>
      </x:c>
      <x:c r="M866" s="13" t="n">
        <x:v>16</x:v>
      </x:c>
    </x:row>
    <x:row r="867" ht="22" customHeight="1">
      <x:c r="A867" s="17" t="str">
        <x:f>"11237500"</x:f>
        <x:v>11237500</x:v>
      </x:c>
      <x:c r="B867" s="13" t="n">
        <x:v>42</x:v>
      </x:c>
      <x:c r="C867" s="22" t="b">
        <x:v>0</x:v>
      </x:c>
      <x:c r="D867" s="11" t="n">
        <x:v>0.6727009357492193</x:v>
      </x:c>
      <x:c r="E867" s="11" t="n">
        <x:v>0.6156761895339611</x:v>
      </x:c>
      <x:c r="F867" s="11" t="n">
        <x:v>0.18402784463893862</x:v>
      </x:c>
      <x:c r="G867" s="11" t="n">
        <x:v>0.057024746215258215</x:v>
      </x:c>
      <x:c r="H867" s="11" t="n">
        <x:v>0.4886730911102807</x:v>
      </x:c>
      <x:c r="I867" s="11" t="n">
        <x:v>1</x:v>
      </x:c>
      <x:c r="J867" s="13" t="n">
        <x:v>18</x:v>
      </x:c>
      <x:c r="K867" s="22" t="b">
        <x:v>0</x:v>
      </x:c>
      <x:c r="L867" s="13" t="n">
        <x:v>115</x:v>
      </x:c>
      <x:c r="M867" s="13" t="n">
        <x:v>38</x:v>
      </x:c>
    </x:row>
    <x:row r="868" ht="22" customHeight="1">
      <x:c r="A868" s="17" t="str">
        <x:f>"11253310"</x:f>
        <x:v>11253310</x:v>
      </x:c>
      <x:c r="B868" s="13" t="n">
        <x:v>42</x:v>
      </x:c>
      <x:c r="C868" s="22" t="b">
        <x:v>1</x:v>
      </x:c>
      <x:c r="D868" s="11" t="n">
        <x:v>0.26964750728358544</x:v>
      </x:c>
      <x:c r="E868" s="11" t="n">
        <x:v>0.09496096570301182</x:v>
      </x:c>
      <x:c r="F868" s="11" t="n">
        <x:v>0.2270588670258431</x:v>
      </x:c>
      <x:c r="G868" s="11" t="n">
        <x:v>0.17468654158057362</x:v>
      </x:c>
      <x:c r="H868" s="11" t="n">
        <x:v>0.04258864025774234</x:v>
      </x:c>
      <x:c r="I868" s="11" t="n">
        <x:v>0</x:v>
      </x:c>
      <x:c r="J868" s="13" t="n">
        <x:v>14</x:v>
      </x:c>
      <x:c r="K868" s="22" t="b">
        <x:v>0</x:v>
      </x:c>
      <x:c r="L868" s="13" t="n">
        <x:v>82</x:v>
      </x:c>
      <x:c r="M868" s="13" t="n">
        <x:v>26</x:v>
      </x:c>
    </x:row>
    <x:row r="869" ht="22" customHeight="1">
      <x:c r="A869" s="17" t="str">
        <x:f>"11253310"</x:f>
        <x:v>11253310</x:v>
      </x:c>
      <x:c r="B869" s="13" t="n">
        <x:v>42</x:v>
      </x:c>
      <x:c r="C869" s="22" t="b">
        <x:v>0</x:v>
      </x:c>
      <x:c r="D869" s="11" t="n">
        <x:v>-0.0617639948670321</x:v>
      </x:c>
      <x:c r="E869" s="11" t="n">
        <x:v>-0.25777840181236966</x:v>
      </x:c>
      <x:c r="F869" s="11" t="n">
        <x:v>-0.055652015731538995</x:v>
      </x:c>
      <x:c r="G869" s="11" t="n">
        <x:v>0.19601440694533756</x:v>
      </x:c>
      <x:c r="H869" s="11" t="n">
        <x:v>-0.006111979135493106</x:v>
      </x:c>
      <x:c r="I869" s="11" t="n">
        <x:v>1</x:v>
      </x:c>
      <x:c r="J869" s="13" t="n">
        <x:v>18</x:v>
      </x:c>
      <x:c r="K869" s="22" t="b">
        <x:v>0</x:v>
      </x:c>
      <x:c r="L869" s="13" t="n">
        <x:v>119</x:v>
      </x:c>
      <x:c r="M869" s="13" t="n">
        <x:v>41</x:v>
      </x:c>
    </x:row>
    <x:row r="870" ht="22" customHeight="1">
      <x:c r="A870" s="17" t="str">
        <x:f>"11264500"</x:f>
        <x:v>11264500</x:v>
      </x:c>
      <x:c r="B870" s="13" t="n">
        <x:v>42</x:v>
      </x:c>
      <x:c r="C870" s="22" t="b">
        <x:v>1</x:v>
      </x:c>
      <x:c r="D870" s="11" t="n">
        <x:v>0.9724088198649362</x:v>
      </x:c>
      <x:c r="E870" s="11" t="n">
        <x:v>0.9429337702902354</x:v>
      </x:c>
      <x:c r="F870" s="11" t="n">
        <x:v>0.9141663395688867</x:v>
      </x:c>
      <x:c r="G870" s="11" t="n">
        <x:v>0.029475049574700818</x:v>
      </x:c>
      <x:c r="H870" s="11" t="n">
        <x:v>0.058242480296049504</x:v>
      </x:c>
      <x:c r="I870" s="11" t="n">
        <x:v>1</x:v>
      </x:c>
      <x:c r="J870" s="13" t="n">
        <x:v>9</x:v>
      </x:c>
      <x:c r="K870" s="22" t="b">
        <x:v>1</x:v>
      </x:c>
      <x:c r="L870" s="13" t="n">
        <x:v>43</x:v>
      </x:c>
      <x:c r="M870" s="13" t="n">
        <x:v>16</x:v>
      </x:c>
    </x:row>
    <x:row r="871" ht="22" customHeight="1">
      <x:c r="A871" s="17" t="str">
        <x:f>"11264500"</x:f>
        <x:v>11264500</x:v>
      </x:c>
      <x:c r="B871" s="13" t="n">
        <x:v>42</x:v>
      </x:c>
      <x:c r="C871" s="22" t="b">
        <x:v>0</x:v>
      </x:c>
      <x:c r="D871" s="11" t="n">
        <x:v>0.658115773260998</x:v>
      </x:c>
      <x:c r="E871" s="11" t="n">
        <x:v>0.6871239115760213</x:v>
      </x:c>
      <x:c r="F871" s="11" t="n">
        <x:v>0.22196666230850703</x:v>
      </x:c>
      <x:c r="G871" s="11" t="n">
        <x:v>-0.029008138315023246</x:v>
      </x:c>
      <x:c r="H871" s="11" t="n">
        <x:v>0.436149110952491</x:v>
      </x:c>
      <x:c r="I871" s="11" t="n">
        <x:v>0.65</x:v>
      </x:c>
      <x:c r="J871" s="13" t="n">
        <x:v>20</x:v>
      </x:c>
      <x:c r="K871" s="22" t="b">
        <x:v>0</x:v>
      </x:c>
      <x:c r="L871" s="13" t="n">
        <x:v>175</x:v>
      </x:c>
      <x:c r="M871" s="13" t="n">
        <x:v>85</x:v>
      </x:c>
    </x:row>
    <x:row r="872" ht="22" customHeight="1">
      <x:c r="A872" s="17" t="str">
        <x:f>"11266500"</x:f>
        <x:v>11266500</x:v>
      </x:c>
      <x:c r="B872" s="13" t="n">
        <x:v>42</x:v>
      </x:c>
      <x:c r="C872" s="22" t="b">
        <x:v>1</x:v>
      </x:c>
      <x:c r="D872" s="11" t="n">
        <x:v>0.9764452390712252</x:v>
      </x:c>
      <x:c r="E872" s="11" t="n">
        <x:v>0.9445588239922036</x:v>
      </x:c>
      <x:c r="F872" s="11" t="n">
        <x:v>0.9259649438254199</x:v>
      </x:c>
      <x:c r="G872" s="11" t="n">
        <x:v>0.03188641507902157</x:v>
      </x:c>
      <x:c r="H872" s="11" t="n">
        <x:v>0.05048029524580522</x:v>
      </x:c>
      <x:c r="I872" s="11"/>
      <x:c r="J872" s="13" t="n">
        <x:v>0</x:v>
      </x:c>
      <x:c r="K872" s="22" t="b">
        <x:v>0</x:v>
      </x:c>
      <x:c r="L872" s="13" t="n">
        <x:v>63</x:v>
      </x:c>
      <x:c r="M872" s="13" t="n">
        <x:v>21</x:v>
      </x:c>
    </x:row>
    <x:row r="873" ht="22" customHeight="1">
      <x:c r="A873" s="17" t="str">
        <x:f>"11266500"</x:f>
        <x:v>11266500</x:v>
      </x:c>
      <x:c r="B873" s="13" t="n">
        <x:v>42</x:v>
      </x:c>
      <x:c r="C873" s="22" t="b">
        <x:v>0</x:v>
      </x:c>
      <x:c r="D873" s="11" t="n">
        <x:v>0.7044256144189487</x:v>
      </x:c>
      <x:c r="E873" s="11" t="n">
        <x:v>0.6363939366666125</x:v>
      </x:c>
      <x:c r="F873" s="11" t="n">
        <x:v>0.22074343503690375</x:v>
      </x:c>
      <x:c r="G873" s="11" t="n">
        <x:v>0.0680316777523362</x:v>
      </x:c>
      <x:c r="H873" s="11" t="n">
        <x:v>0.48368217938204494</x:v>
      </x:c>
      <x:c r="I873" s="11" t="n">
        <x:v>0.45</x:v>
      </x:c>
      <x:c r="J873" s="13" t="n">
        <x:v>20</x:v>
      </x:c>
      <x:c r="K873" s="22" t="b">
        <x:v>0</x:v>
      </x:c>
      <x:c r="L873" s="13" t="n">
        <x:v>128</x:v>
      </x:c>
      <x:c r="M873" s="13" t="n">
        <x:v>45</x:v>
      </x:c>
    </x:row>
    <x:row r="874" ht="22" customHeight="1">
      <x:c r="A874" s="17" t="str">
        <x:f>"11274500"</x:f>
        <x:v>11274500</x:v>
      </x:c>
      <x:c r="B874" s="13" t="n">
        <x:v>42</x:v>
      </x:c>
      <x:c r="C874" s="22" t="b">
        <x:v>1</x:v>
      </x:c>
      <x:c r="D874" s="11" t="n">
        <x:v>0.3598380349807353</x:v>
      </x:c>
      <x:c r="E874" s="11" t="n">
        <x:v>0.3395584886705896</x:v>
      </x:c>
      <x:c r="F874" s="11" t="n">
        <x:v>0.1794521163208319</x:v>
      </x:c>
      <x:c r="G874" s="11" t="n">
        <x:v>0.020279546310145724</x:v>
      </x:c>
      <x:c r="H874" s="11" t="n">
        <x:v>0.1803859186599034</x:v>
      </x:c>
      <x:c r="I874" s="11" t="n">
        <x:v>0</x:v>
      </x:c>
      <x:c r="J874" s="13" t="n">
        <x:v>6</x:v>
      </x:c>
      <x:c r="K874" s="22" t="b">
        <x:v>0</x:v>
      </x:c>
      <x:c r="L874" s="13" t="n">
        <x:v>97</x:v>
      </x:c>
      <x:c r="M874" s="13" t="n">
        <x:v>31</x:v>
      </x:c>
    </x:row>
    <x:row r="875" ht="22" customHeight="1">
      <x:c r="A875" s="17" t="str">
        <x:f>"11274500"</x:f>
        <x:v>11274500</x:v>
      </x:c>
      <x:c r="B875" s="13" t="n">
        <x:v>42</x:v>
      </x:c>
      <x:c r="C875" s="22" t="b">
        <x:v>0</x:v>
      </x:c>
      <x:c r="D875" s="11" t="n">
        <x:v>0.2828283851146218</x:v>
      </x:c>
      <x:c r="E875" s="11" t="n">
        <x:v>0.1287996450510216</x:v>
      </x:c>
      <x:c r="F875" s="11" t="n">
        <x:v>-0.0031279226217664213</x:v>
      </x:c>
      <x:c r="G875" s="11" t="n">
        <x:v>0.15402874006360023</x:v>
      </x:c>
      <x:c r="H875" s="11" t="n">
        <x:v>0.28595630773638825</x:v>
      </x:c>
      <x:c r="I875" s="11" t="n">
        <x:v>0.05263157894736842</x:v>
      </x:c>
      <x:c r="J875" s="13" t="n">
        <x:v>19</x:v>
      </x:c>
      <x:c r="K875" s="22" t="b">
        <x:v>0</x:v>
      </x:c>
      <x:c r="L875" s="13" t="n">
        <x:v>114</x:v>
      </x:c>
      <x:c r="M875" s="13" t="n">
        <x:v>37</x:v>
      </x:c>
    </x:row>
    <x:row r="876" ht="22" customHeight="1">
      <x:c r="A876" s="17" t="str">
        <x:f>"11274630"</x:f>
        <x:v>11274630</x:v>
      </x:c>
      <x:c r="B876" s="13" t="n">
        <x:v>42</x:v>
      </x:c>
      <x:c r="C876" s="22" t="b">
        <x:v>1</x:v>
      </x:c>
      <x:c r="D876" s="11" t="n">
        <x:v>0.4609233052524563</x:v>
      </x:c>
      <x:c r="E876" s="11" t="n">
        <x:v>0.4090725540274194</x:v>
      </x:c>
      <x:c r="F876" s="11" t="n">
        <x:v>0.09240264693318712</x:v>
      </x:c>
      <x:c r="G876" s="11" t="n">
        <x:v>0.051850751225036906</x:v>
      </x:c>
      <x:c r="H876" s="11" t="n">
        <x:v>0.36852065831926917</x:v>
      </x:c>
      <x:c r="I876" s="11" t="n">
        <x:v>0.8235294117647058</x:v>
      </x:c>
      <x:c r="J876" s="13" t="n">
        <x:v>17</x:v>
      </x:c>
      <x:c r="K876" s="22" t="b">
        <x:v>0</x:v>
      </x:c>
      <x:c r="L876" s="13" t="n">
        <x:v>103</x:v>
      </x:c>
      <x:c r="M876" s="13" t="n">
        <x:v>34</x:v>
      </x:c>
    </x:row>
    <x:row r="877" ht="22" customHeight="1">
      <x:c r="A877" s="17" t="str">
        <x:f>"11274630"</x:f>
        <x:v>11274630</x:v>
      </x:c>
      <x:c r="B877" s="13" t="n">
        <x:v>42</x:v>
      </x:c>
      <x:c r="C877" s="22" t="b">
        <x:v>0</x:v>
      </x:c>
      <x:c r="D877" s="11" t="n">
        <x:v>0.04572824679783605</x:v>
      </x:c>
      <x:c r="E877" s="11" t="n">
        <x:v>-0.13704826801962633</x:v>
      </x:c>
      <x:c r="F877" s="11" t="n">
        <x:v>-2.095382635121867</x:v>
      </x:c>
      <x:c r="G877" s="11" t="n">
        <x:v>0.18277651481746238</x:v>
      </x:c>
      <x:c r="H877" s="11" t="n">
        <x:v>2.141110881919703</x:v>
      </x:c>
      <x:c r="I877" s="11" t="n">
        <x:v>1</x:v>
      </x:c>
      <x:c r="J877" s="13" t="n">
        <x:v>17</x:v>
      </x:c>
      <x:c r="K877" s="22" t="b">
        <x:v>0</x:v>
      </x:c>
      <x:c r="L877" s="13" t="n">
        <x:v>94</x:v>
      </x:c>
      <x:c r="M877" s="13" t="n">
        <x:v>30</x:v>
      </x:c>
    </x:row>
    <x:row r="878" ht="22" customHeight="1">
      <x:c r="A878" s="17" t="str">
        <x:f>"11284400"</x:f>
        <x:v>11284400</x:v>
      </x:c>
      <x:c r="B878" s="13" t="n">
        <x:v>42</x:v>
      </x:c>
      <x:c r="C878" s="22" t="b">
        <x:v>1</x:v>
      </x:c>
      <x:c r="D878" s="11" t="n">
        <x:v>0.247626077831006</x:v>
      </x:c>
      <x:c r="E878" s="11" t="n">
        <x:v>0.1784834106808585</x:v>
      </x:c>
      <x:c r="F878" s="11" t="n">
        <x:v>0.1434338266087649</x:v>
      </x:c>
      <x:c r="G878" s="11" t="n">
        <x:v>0.0691426671501475</x:v>
      </x:c>
      <x:c r="H878" s="11" t="n">
        <x:v>0.10419225122224107</x:v>
      </x:c>
      <x:c r="I878" s="11" t="n">
        <x:v>0</x:v>
      </x:c>
      <x:c r="J878" s="13" t="n">
        <x:v>9</x:v>
      </x:c>
      <x:c r="K878" s="22" t="b">
        <x:v>0</x:v>
      </x:c>
      <x:c r="L878" s="13" t="n">
        <x:v>84</x:v>
      </x:c>
      <x:c r="M878" s="13" t="n">
        <x:v>27</x:v>
      </x:c>
    </x:row>
    <x:row r="879" ht="22" customHeight="1">
      <x:c r="A879" s="17" t="str">
        <x:f>"11284400"</x:f>
        <x:v>11284400</x:v>
      </x:c>
      <x:c r="B879" s="13" t="n">
        <x:v>42</x:v>
      </x:c>
      <x:c r="C879" s="22" t="b">
        <x:v>0</x:v>
      </x:c>
      <x:c r="D879" s="11" t="n">
        <x:v>0.1864458326982804</x:v>
      </x:c>
      <x:c r="E879" s="11" t="n">
        <x:v>0.08620596579657158</x:v>
      </x:c>
      <x:c r="F879" s="11" t="n">
        <x:v>-0.3784832545175869</x:v>
      </x:c>
      <x:c r="G879" s="11" t="n">
        <x:v>0.10023986690170883</x:v>
      </x:c>
      <x:c r="H879" s="11" t="n">
        <x:v>0.5649290872158673</x:v>
      </x:c>
      <x:c r="I879" s="11" t="n">
        <x:v>0.4</x:v>
      </x:c>
      <x:c r="J879" s="13" t="n">
        <x:v>20</x:v>
      </x:c>
      <x:c r="K879" s="22" t="b">
        <x:v>0</x:v>
      </x:c>
      <x:c r="L879" s="13" t="n">
        <x:v>122</x:v>
      </x:c>
      <x:c r="M879" s="13" t="n">
        <x:v>41</x:v>
      </x:c>
    </x:row>
    <x:row r="880" ht="22" customHeight="1">
      <x:c r="A880" s="17" t="str">
        <x:f>"11381500"</x:f>
        <x:v>11381500</x:v>
      </x:c>
      <x:c r="B880" s="13" t="n">
        <x:v>42</x:v>
      </x:c>
      <x:c r="C880" s="22" t="b">
        <x:v>1</x:v>
      </x:c>
      <x:c r="D880" s="11" t="n">
        <x:v>0.5501317336856585</x:v>
      </x:c>
      <x:c r="E880" s="11" t="n">
        <x:v>0.44015095839806295</x:v>
      </x:c>
      <x:c r="F880" s="11" t="n">
        <x:v>0.31058669782637904</x:v>
      </x:c>
      <x:c r="G880" s="11" t="n">
        <x:v>0.10998077528759553</x:v>
      </x:c>
      <x:c r="H880" s="11" t="n">
        <x:v>0.23954503585927944</x:v>
      </x:c>
      <x:c r="I880" s="11" t="n">
        <x:v>1</x:v>
      </x:c>
      <x:c r="J880" s="13" t="n">
        <x:v>10</x:v>
      </x:c>
      <x:c r="K880" s="22" t="b">
        <x:v>0</x:v>
      </x:c>
      <x:c r="L880" s="13" t="n">
        <x:v>109</x:v>
      </x:c>
      <x:c r="M880" s="13" t="n">
        <x:v>36</x:v>
      </x:c>
    </x:row>
    <x:row r="881" ht="22" customHeight="1">
      <x:c r="A881" s="17" t="str">
        <x:f>"11381500"</x:f>
        <x:v>11381500</x:v>
      </x:c>
      <x:c r="B881" s="13" t="n">
        <x:v>42</x:v>
      </x:c>
      <x:c r="C881" s="22" t="b">
        <x:v>0</x:v>
      </x:c>
      <x:c r="D881" s="11" t="n">
        <x:v>0.4147664874977026</x:v>
      </x:c>
      <x:c r="E881" s="11" t="n">
        <x:v>0.35050395031046666</x:v>
      </x:c>
      <x:c r="F881" s="11" t="n">
        <x:v>0.10816719232472138</x:v>
      </x:c>
      <x:c r="G881" s="11" t="n">
        <x:v>0.06426253718723596</x:v>
      </x:c>
      <x:c r="H881" s="11" t="n">
        <x:v>0.30659929517298123</x:v>
      </x:c>
      <x:c r="I881" s="11" t="n">
        <x:v>0.8</x:v>
      </x:c>
      <x:c r="J881" s="13" t="n">
        <x:v>20</x:v>
      </x:c>
      <x:c r="K881" s="22" t="b">
        <x:v>0</x:v>
      </x:c>
      <x:c r="L881" s="13" t="n">
        <x:v>132</x:v>
      </x:c>
      <x:c r="M881" s="13" t="n">
        <x:v>47</x:v>
      </x:c>
    </x:row>
    <x:row r="882" ht="22" customHeight="1">
      <x:c r="A882" s="17" t="str">
        <x:f>"11383500"</x:f>
        <x:v>11383500</x:v>
      </x:c>
      <x:c r="B882" s="13" t="n">
        <x:v>42</x:v>
      </x:c>
      <x:c r="C882" s="22" t="b">
        <x:v>1</x:v>
      </x:c>
      <x:c r="D882" s="11" t="n">
        <x:v>0.6758130780090257</x:v>
      </x:c>
      <x:c r="E882" s="11" t="n">
        <x:v>0.6442844021506987</x:v>
      </x:c>
      <x:c r="F882" s="11" t="n">
        <x:v>-0.2943866845946439</x:v>
      </x:c>
      <x:c r="G882" s="11" t="n">
        <x:v>0.03152867585832697</x:v>
      </x:c>
      <x:c r="H882" s="11" t="n">
        <x:v>0.9701997626036696</x:v>
      </x:c>
      <x:c r="I882" s="11" t="n">
        <x:v>0.9411764705882353</x:v>
      </x:c>
      <x:c r="J882" s="13" t="n">
        <x:v>17</x:v>
      </x:c>
      <x:c r="K882" s="22" t="b">
        <x:v>1</x:v>
      </x:c>
      <x:c r="L882" s="13" t="n">
        <x:v>133</x:v>
      </x:c>
      <x:c r="M882" s="13" t="n">
        <x:v>47</x:v>
      </x:c>
    </x:row>
    <x:row r="883" ht="22" customHeight="1">
      <x:c r="A883" s="17" t="str">
        <x:f>"11383500"</x:f>
        <x:v>11383500</x:v>
      </x:c>
      <x:c r="B883" s="13" t="n">
        <x:v>42</x:v>
      </x:c>
      <x:c r="C883" s="22" t="b">
        <x:v>0</x:v>
      </x:c>
      <x:c r="D883" s="11" t="n">
        <x:v>0.3342996873350075</x:v>
      </x:c>
      <x:c r="E883" s="11" t="n">
        <x:v>0.3719453155414333</x:v>
      </x:c>
      <x:c r="F883" s="11" t="n">
        <x:v>0.06812107828860026</x:v>
      </x:c>
      <x:c r="G883" s="11" t="n">
        <x:v>-0.03764562820642581</x:v>
      </x:c>
      <x:c r="H883" s="11" t="n">
        <x:v>0.2661786090464072</x:v>
      </x:c>
      <x:c r="I883" s="11" t="n">
        <x:v>0.8</x:v>
      </x:c>
      <x:c r="J883" s="13" t="n">
        <x:v>20</x:v>
      </x:c>
      <x:c r="K883" s="22" t="b">
        <x:v>1</x:v>
      </x:c>
      <x:c r="L883" s="13" t="n">
        <x:v>155</x:v>
      </x:c>
      <x:c r="M883" s="13" t="n">
        <x:v>62</x:v>
      </x:c>
    </x:row>
    <x:row r="884" ht="22" customHeight="1">
      <x:c r="A884" s="17" t="str">
        <x:f>"11451100"</x:f>
        <x:v>11451100</x:v>
      </x:c>
      <x:c r="B884" s="13" t="n">
        <x:v>42</x:v>
      </x:c>
      <x:c r="C884" s="22" t="b">
        <x:v>1</x:v>
      </x:c>
      <x:c r="D884" s="11" t="n">
        <x:v>0.5526242983790222</x:v>
      </x:c>
      <x:c r="E884" s="11" t="n">
        <x:v>0.5246241655315115</x:v>
      </x:c>
      <x:c r="F884" s="11" t="n">
        <x:v>0.06088274850257347</x:v>
      </x:c>
      <x:c r="G884" s="11" t="n">
        <x:v>0.028000132847510684</x:v>
      </x:c>
      <x:c r="H884" s="11" t="n">
        <x:v>0.4917415498764487</x:v>
      </x:c>
      <x:c r="I884" s="11" t="n">
        <x:v>0.85</x:v>
      </x:c>
      <x:c r="J884" s="13" t="n">
        <x:v>20</x:v>
      </x:c>
      <x:c r="K884" s="22" t="b">
        <x:v>1</x:v>
      </x:c>
      <x:c r="L884" s="13" t="n">
        <x:v>100</x:v>
      </x:c>
      <x:c r="M884" s="13" t="n">
        <x:v>33</x:v>
      </x:c>
    </x:row>
    <x:row r="885" ht="22" customHeight="1">
      <x:c r="A885" s="17" t="str">
        <x:f>"11451100"</x:f>
        <x:v>11451100</x:v>
      </x:c>
      <x:c r="B885" s="13" t="n">
        <x:v>42</x:v>
      </x:c>
      <x:c r="C885" s="22" t="b">
        <x:v>0</x:v>
      </x:c>
      <x:c r="D885" s="11" t="n">
        <x:v>0.016410095860260876</x:v>
      </x:c>
      <x:c r="E885" s="11" t="n">
        <x:v>0.06564264432567035</x:v>
      </x:c>
      <x:c r="F885" s="11" t="n">
        <x:v>-1.9486513400473937</x:v>
      </x:c>
      <x:c r="G885" s="11" t="n">
        <x:v>-0.049232548465409476</x:v>
      </x:c>
      <x:c r="H885" s="11" t="n">
        <x:v>1.9650614359076546</x:v>
      </x:c>
      <x:c r="I885" s="11" t="n">
        <x:v>0.7894736842105263</x:v>
      </x:c>
      <x:c r="J885" s="13" t="n">
        <x:v>19</x:v>
      </x:c>
      <x:c r="K885" s="22" t="b">
        <x:v>0</x:v>
      </x:c>
      <x:c r="L885" s="13" t="n">
        <x:v>128</x:v>
      </x:c>
      <x:c r="M885" s="13" t="n">
        <x:v>45</x:v>
      </x:c>
    </x:row>
    <x:row r="886" ht="22" customHeight="1">
      <x:c r="A886" s="17" t="str">
        <x:f>"11468500"</x:f>
        <x:v>11468500</x:v>
      </x:c>
      <x:c r="B886" s="13" t="n">
        <x:v>42</x:v>
      </x:c>
      <x:c r="C886" s="22" t="b">
        <x:v>1</x:v>
      </x:c>
      <x:c r="D886" s="11" t="n">
        <x:v>0.7805345745782177</x:v>
      </x:c>
      <x:c r="E886" s="11" t="n">
        <x:v>0.7208255730580514</x:v>
      </x:c>
      <x:c r="F886" s="11" t="n">
        <x:v>0.6645205675671353</x:v>
      </x:c>
      <x:c r="G886" s="11" t="n">
        <x:v>0.05970900152016634</x:v>
      </x:c>
      <x:c r="H886" s="11" t="n">
        <x:v>0.11601400701108244</x:v>
      </x:c>
      <x:c r="I886" s="11" t="n">
        <x:v>1</x:v>
      </x:c>
      <x:c r="J886" s="13" t="n">
        <x:v>18</x:v>
      </x:c>
      <x:c r="K886" s="22" t="b">
        <x:v>0</x:v>
      </x:c>
      <x:c r="L886" s="13" t="n">
        <x:v>104</x:v>
      </x:c>
      <x:c r="M886" s="13" t="n">
        <x:v>34</x:v>
      </x:c>
    </x:row>
    <x:row r="887" ht="22" customHeight="1">
      <x:c r="A887" s="17" t="str">
        <x:f>"11468500"</x:f>
        <x:v>11468500</x:v>
      </x:c>
      <x:c r="B887" s="13" t="n">
        <x:v>42</x:v>
      </x:c>
      <x:c r="C887" s="22" t="b">
        <x:v>0</x:v>
      </x:c>
      <x:c r="D887" s="11" t="n">
        <x:v>0.5716332611997761</x:v>
      </x:c>
      <x:c r="E887" s="11" t="n">
        <x:v>0.4207153504302028</x:v>
      </x:c>
      <x:c r="F887" s="11" t="n">
        <x:v>-0.3750342356726606</x:v>
      </x:c>
      <x:c r="G887" s="11" t="n">
        <x:v>0.15091791076957328</x:v>
      </x:c>
      <x:c r="H887" s="11" t="n">
        <x:v>0.9466674968724367</x:v>
      </x:c>
      <x:c r="I887" s="11" t="n">
        <x:v>0.95</x:v>
      </x:c>
      <x:c r="J887" s="13" t="n">
        <x:v>20</x:v>
      </x:c>
      <x:c r="K887" s="22" t="b">
        <x:v>0</x:v>
      </x:c>
      <x:c r="L887" s="13" t="n">
        <x:v>167</x:v>
      </x:c>
      <x:c r="M887" s="13" t="n">
        <x:v>72</x:v>
      </x:c>
    </x:row>
    <x:row r="888" ht="22" customHeight="1">
      <x:c r="A888" s="17" t="str">
        <x:f>"11473900"</x:f>
        <x:v>11473900</x:v>
      </x:c>
      <x:c r="B888" s="13" t="n">
        <x:v>42</x:v>
      </x:c>
      <x:c r="C888" s="22" t="b">
        <x:v>1</x:v>
      </x:c>
      <x:c r="D888" s="11" t="n">
        <x:v>0.6277016523261413</x:v>
      </x:c>
      <x:c r="E888" s="11" t="n">
        <x:v>0.5744242071799133</x:v>
      </x:c>
      <x:c r="F888" s="11" t="n">
        <x:v>-0.38434654725315576</x:v>
      </x:c>
      <x:c r="G888" s="11" t="n">
        <x:v>0.05327744514622801</x:v>
      </x:c>
      <x:c r="H888" s="11" t="n">
        <x:v>1.0120481995792971</x:v>
      </x:c>
      <x:c r="I888" s="11" t="n">
        <x:v>1</x:v>
      </x:c>
      <x:c r="J888" s="13" t="n">
        <x:v>19</x:v>
      </x:c>
      <x:c r="K888" s="22" t="b">
        <x:v>0</x:v>
      </x:c>
      <x:c r="L888" s="13" t="n">
        <x:v>130</x:v>
      </x:c>
      <x:c r="M888" s="13" t="n">
        <x:v>45</x:v>
      </x:c>
    </x:row>
    <x:row r="889" ht="22" customHeight="1">
      <x:c r="A889" s="17" t="str">
        <x:f>"11473900"</x:f>
        <x:v>11473900</x:v>
      </x:c>
      <x:c r="B889" s="13" t="n">
        <x:v>42</x:v>
      </x:c>
      <x:c r="C889" s="22" t="b">
        <x:v>0</x:v>
      </x:c>
      <x:c r="D889" s="11" t="n">
        <x:v>0.1563779795452035</x:v>
      </x:c>
      <x:c r="E889" s="11" t="n">
        <x:v>-2.937669035586853</x:v>
      </x:c>
      <x:c r="F889" s="11" t="n">
        <x:v>-0.1650464172635151</x:v>
      </x:c>
      <x:c r="G889" s="11" t="n">
        <x:v>3.0940470151320567</x:v>
      </x:c>
      <x:c r="H889" s="11" t="n">
        <x:v>0.3214243968087186</x:v>
      </x:c>
      <x:c r="I889" s="11" t="n">
        <x:v>0.6875</x:v>
      </x:c>
      <x:c r="J889" s="13" t="n">
        <x:v>16</x:v>
      </x:c>
      <x:c r="K889" s="22" t="b">
        <x:v>0</x:v>
      </x:c>
      <x:c r="L889" s="13" t="n">
        <x:v>99</x:v>
      </x:c>
      <x:c r="M889" s="13" t="n">
        <x:v>32</x:v>
      </x:c>
    </x:row>
    <x:row r="890" ht="22" customHeight="1">
      <x:c r="A890" s="17" t="str">
        <x:f>"11475560"</x:f>
        <x:v>11475560</x:v>
      </x:c>
      <x:c r="B890" s="13" t="n">
        <x:v>42</x:v>
      </x:c>
      <x:c r="C890" s="22" t="b">
        <x:v>1</x:v>
      </x:c>
      <x:c r="D890" s="11" t="n">
        <x:v>0.7646130446498474</x:v>
      </x:c>
      <x:c r="E890" s="11" t="n">
        <x:v>0.7091788964316534</x:v>
      </x:c>
      <x:c r="F890" s="11" t="n">
        <x:v>0.6366208647341889</x:v>
      </x:c>
      <x:c r="G890" s="11" t="n">
        <x:v>0.055434148218193924</x:v>
      </x:c>
      <x:c r="H890" s="11" t="n">
        <x:v>0.12799217991565848</x:v>
      </x:c>
      <x:c r="I890" s="11"/>
      <x:c r="J890" s="13" t="n">
        <x:v>0</x:v>
      </x:c>
      <x:c r="K890" s="22" t="b">
        <x:v>0</x:v>
      </x:c>
      <x:c r="L890" s="13" t="n">
        <x:v>53</x:v>
      </x:c>
      <x:c r="M890" s="13" t="n">
        <x:v>18</x:v>
      </x:c>
    </x:row>
    <x:row r="891" ht="22" customHeight="1">
      <x:c r="A891" s="17" t="str">
        <x:f>"11475560"</x:f>
        <x:v>11475560</x:v>
      </x:c>
      <x:c r="B891" s="13" t="n">
        <x:v>42</x:v>
      </x:c>
      <x:c r="C891" s="22" t="b">
        <x:v>0</x:v>
      </x:c>
      <x:c r="D891" s="11" t="n">
        <x:v>0.4517841782016123</x:v>
      </x:c>
      <x:c r="E891" s="11" t="n">
        <x:v>-0.10011149240309103</x:v>
      </x:c>
      <x:c r="F891" s="11" t="n">
        <x:v>0.46329769550113464</x:v>
      </x:c>
      <x:c r="G891" s="11" t="n">
        <x:v>0.5518956706047033</x:v>
      </x:c>
      <x:c r="H891" s="11" t="n">
        <x:v>-0.011513517299522324</x:v>
      </x:c>
      <x:c r="I891" s="11" t="n">
        <x:v>0.47368421052631576</x:v>
      </x:c>
      <x:c r="J891" s="13" t="n">
        <x:v>19</x:v>
      </x:c>
      <x:c r="K891" s="22" t="b">
        <x:v>0</x:v>
      </x:c>
      <x:c r="L891" s="13" t="n">
        <x:v>72</x:v>
      </x:c>
      <x:c r="M891" s="13" t="n">
        <x:v>24</x:v>
      </x:c>
    </x:row>
    <x:row r="892" ht="22" customHeight="1">
      <x:c r="A892" s="17" t="str">
        <x:f>"11476600"</x:f>
        <x:v>11476600</x:v>
      </x:c>
      <x:c r="B892" s="13" t="n">
        <x:v>42</x:v>
      </x:c>
      <x:c r="C892" s="22" t="b">
        <x:v>1</x:v>
      </x:c>
      <x:c r="D892" s="11" t="n">
        <x:v>0.8085473122382654</x:v>
      </x:c>
      <x:c r="E892" s="11" t="n">
        <x:v>0.8131617665426893</x:v>
      </x:c>
      <x:c r="F892" s="11" t="n">
        <x:v>0.4073720708431595</x:v>
      </x:c>
      <x:c r="G892" s="11" t="n">
        <x:v>-0.004614454304423976</x:v>
      </x:c>
      <x:c r="H892" s="11" t="n">
        <x:v>0.40117524139510585</x:v>
      </x:c>
      <x:c r="I892" s="11" t="n">
        <x:v>0</x:v>
      </x:c>
      <x:c r="J892" s="13" t="n">
        <x:v>13</x:v>
      </x:c>
      <x:c r="K892" s="22" t="b">
        <x:v>0</x:v>
      </x:c>
      <x:c r="L892" s="13" t="n">
        <x:v>111</x:v>
      </x:c>
      <x:c r="M892" s="13" t="n">
        <x:v>37</x:v>
      </x:c>
    </x:row>
    <x:row r="893" ht="22" customHeight="1">
      <x:c r="A893" s="17" t="str">
        <x:f>"11476600"</x:f>
        <x:v>11476600</x:v>
      </x:c>
      <x:c r="B893" s="13" t="n">
        <x:v>42</x:v>
      </x:c>
      <x:c r="C893" s="22" t="b">
        <x:v>0</x:v>
      </x:c>
      <x:c r="D893" s="11" t="n">
        <x:v>0.5415518931624146</x:v>
      </x:c>
      <x:c r="E893" s="11" t="n">
        <x:v>0.3685728007728247</x:v>
      </x:c>
      <x:c r="F893" s="11" t="n">
        <x:v>0.3694857803463949</x:v>
      </x:c>
      <x:c r="G893" s="11" t="n">
        <x:v>0.17297909238958986</x:v>
      </x:c>
      <x:c r="H893" s="11" t="n">
        <x:v>0.1720661128160197</x:v>
      </x:c>
      <x:c r="I893" s="11" t="n">
        <x:v>1</x:v>
      </x:c>
      <x:c r="J893" s="13" t="n">
        <x:v>20</x:v>
      </x:c>
      <x:c r="K893" s="22" t="b">
        <x:v>0</x:v>
      </x:c>
      <x:c r="L893" s="13" t="n">
        <x:v>164</x:v>
      </x:c>
      <x:c r="M893" s="13" t="n">
        <x:v>69</x:v>
      </x:c>
    </x:row>
    <x:row r="894" ht="22" customHeight="1">
      <x:c r="A894" s="17" t="str">
        <x:f>"11478500"</x:f>
        <x:v>11478500</x:v>
      </x:c>
      <x:c r="B894" s="13" t="n">
        <x:v>42</x:v>
      </x:c>
      <x:c r="C894" s="22" t="b">
        <x:v>1</x:v>
      </x:c>
      <x:c r="D894" s="11" t="n">
        <x:v>0.6802881362438017</x:v>
      </x:c>
      <x:c r="E894" s="11" t="n">
        <x:v>0.6745565916995813</x:v>
      </x:c>
      <x:c r="F894" s="11" t="n">
        <x:v>0.3600285692427245</x:v>
      </x:c>
      <x:c r="G894" s="11" t="n">
        <x:v>0.005731544544220424</x:v>
      </x:c>
      <x:c r="H894" s="11" t="n">
        <x:v>0.32025956700107716</x:v>
      </x:c>
      <x:c r="I894" s="11" t="n">
        <x:v>0.8125</x:v>
      </x:c>
      <x:c r="J894" s="13" t="n">
        <x:v>16</x:v>
      </x:c>
      <x:c r="K894" s="22" t="b">
        <x:v>1</x:v>
      </x:c>
      <x:c r="L894" s="13" t="n">
        <x:v>89</x:v>
      </x:c>
      <x:c r="M894" s="13" t="n">
        <x:v>28</x:v>
      </x:c>
    </x:row>
    <x:row r="895" ht="22" customHeight="1">
      <x:c r="A895" s="17" t="str">
        <x:f>"11478500"</x:f>
        <x:v>11478500</x:v>
      </x:c>
      <x:c r="B895" s="13" t="n">
        <x:v>42</x:v>
      </x:c>
      <x:c r="C895" s="22" t="b">
        <x:v>0</x:v>
      </x:c>
      <x:c r="D895" s="11" t="n">
        <x:v>0.48656412193734333</x:v>
      </x:c>
      <x:c r="E895" s="11" t="n">
        <x:v>0.2275897904529227</x:v>
      </x:c>
      <x:c r="F895" s="11" t="n">
        <x:v>0.43895170672149475</x:v>
      </x:c>
      <x:c r="G895" s="11" t="n">
        <x:v>0.2589743314844206</x:v>
      </x:c>
      <x:c r="H895" s="11" t="n">
        <x:v>0.04761241521584858</x:v>
      </x:c>
      <x:c r="I895" s="11" t="n">
        <x:v>0.47368421052631576</x:v>
      </x:c>
      <x:c r="J895" s="13" t="n">
        <x:v>19</x:v>
      </x:c>
      <x:c r="K895" s="22" t="b">
        <x:v>0</x:v>
      </x:c>
      <x:c r="L895" s="13" t="n">
        <x:v>117</x:v>
      </x:c>
      <x:c r="M895" s="13" t="n">
        <x:v>39</x:v>
      </x:c>
    </x:row>
    <x:row r="896" ht="22" customHeight="1">
      <x:c r="A896" s="17" t="str">
        <x:f>"11481200"</x:f>
        <x:v>11481200</x:v>
      </x:c>
      <x:c r="B896" s="13" t="n">
        <x:v>42</x:v>
      </x:c>
      <x:c r="C896" s="22" t="b">
        <x:v>1</x:v>
      </x:c>
      <x:c r="D896" s="11" t="n">
        <x:v>0.6556364780731213</x:v>
      </x:c>
      <x:c r="E896" s="11" t="n">
        <x:v>0.5923244429855017</x:v>
      </x:c>
      <x:c r="F896" s="11" t="n">
        <x:v>0.5958146061464371</x:v>
      </x:c>
      <x:c r="G896" s="11" t="n">
        <x:v>0.06331203508761962</x:v>
      </x:c>
      <x:c r="H896" s="11" t="n">
        <x:v>0.0598218719266842</x:v>
      </x:c>
      <x:c r="I896" s="11" t="n">
        <x:v>0</x:v>
      </x:c>
      <x:c r="J896" s="13" t="n">
        <x:v>11</x:v>
      </x:c>
      <x:c r="K896" s="22" t="b">
        <x:v>0</x:v>
      </x:c>
      <x:c r="L896" s="13" t="n">
        <x:v>87</x:v>
      </x:c>
      <x:c r="M896" s="13" t="n">
        <x:v>28</x:v>
      </x:c>
    </x:row>
    <x:row r="897" ht="22" customHeight="1">
      <x:c r="A897" s="17" t="str">
        <x:f>"11481200"</x:f>
        <x:v>11481200</x:v>
      </x:c>
      <x:c r="B897" s="13" t="n">
        <x:v>42</x:v>
      </x:c>
      <x:c r="C897" s="22" t="b">
        <x:v>0</x:v>
      </x:c>
      <x:c r="D897" s="11" t="n">
        <x:v>0.5842019917980645</x:v>
      </x:c>
      <x:c r="E897" s="11" t="n">
        <x:v>0.3885939459721387</x:v>
      </x:c>
      <x:c r="F897" s="11" t="n">
        <x:v>0.5546569507988499</x:v>
      </x:c>
      <x:c r="G897" s="11" t="n">
        <x:v>0.19560804582592584</x:v>
      </x:c>
      <x:c r="H897" s="11" t="n">
        <x:v>0.029545040999214622</x:v>
      </x:c>
      <x:c r="I897" s="11" t="n">
        <x:v>1</x:v>
      </x:c>
      <x:c r="J897" s="13" t="n">
        <x:v>15</x:v>
      </x:c>
      <x:c r="K897" s="22" t="b">
        <x:v>0</x:v>
      </x:c>
      <x:c r="L897" s="13" t="n">
        <x:v>73</x:v>
      </x:c>
      <x:c r="M897" s="13" t="n">
        <x:v>24</x:v>
      </x:c>
    </x:row>
    <x:row r="898" ht="22" customHeight="1">
      <x:c r="A898" s="17" t="str">
        <x:f>"11482500"</x:f>
        <x:v>11482500</x:v>
      </x:c>
      <x:c r="B898" s="13" t="n">
        <x:v>42</x:v>
      </x:c>
      <x:c r="C898" s="22" t="b">
        <x:v>1</x:v>
      </x:c>
      <x:c r="D898" s="11" t="n">
        <x:v>0.8674159682905355</x:v>
      </x:c>
      <x:c r="E898" s="11" t="n">
        <x:v>0.813463440081725</x:v>
      </x:c>
      <x:c r="F898" s="11" t="n">
        <x:v>0.7710948183643422</x:v>
      </x:c>
      <x:c r="G898" s="11" t="n">
        <x:v>0.05395252820881047</x:v>
      </x:c>
      <x:c r="H898" s="11" t="n">
        <x:v>0.09632114992619323</x:v>
      </x:c>
      <x:c r="I898" s="11" t="n">
        <x:v>1</x:v>
      </x:c>
      <x:c r="J898" s="13" t="n">
        <x:v>20</x:v>
      </x:c>
      <x:c r="K898" s="22" t="b">
        <x:v>0</x:v>
      </x:c>
      <x:c r="L898" s="13" t="n">
        <x:v>116</x:v>
      </x:c>
      <x:c r="M898" s="13" t="n">
        <x:v>39</x:v>
      </x:c>
    </x:row>
    <x:row r="899" ht="22" customHeight="1">
      <x:c r="A899" s="17" t="str">
        <x:f>"11482500"</x:f>
        <x:v>11482500</x:v>
      </x:c>
      <x:c r="B899" s="13" t="n">
        <x:v>42</x:v>
      </x:c>
      <x:c r="C899" s="22" t="b">
        <x:v>0</x:v>
      </x:c>
      <x:c r="D899" s="11" t="n">
        <x:v>0.7632476867636879</x:v>
      </x:c>
      <x:c r="E899" s="11" t="n">
        <x:v>0.6178872982134966</x:v>
      </x:c>
      <x:c r="F899" s="11" t="n">
        <x:v>0.5819075997392185</x:v>
      </x:c>
      <x:c r="G899" s="11" t="n">
        <x:v>0.1453603885501913</x:v>
      </x:c>
      <x:c r="H899" s="11" t="n">
        <x:v>0.18134008702446947</x:v>
      </x:c>
      <x:c r="I899" s="11" t="n">
        <x:v>0.8</x:v>
      </x:c>
      <x:c r="J899" s="13" t="n">
        <x:v>20</x:v>
      </x:c>
      <x:c r="K899" s="22" t="b">
        <x:v>0</x:v>
      </x:c>
      <x:c r="L899" s="13" t="n">
        <x:v>127</x:v>
      </x:c>
      <x:c r="M899" s="13" t="n">
        <x:v>45</x:v>
      </x:c>
    </x:row>
    <x:row r="900" ht="22" customHeight="1">
      <x:c r="A900" s="17" t="str">
        <x:f>"11522500"</x:f>
        <x:v>11522500</x:v>
      </x:c>
      <x:c r="B900" s="13" t="n">
        <x:v>42</x:v>
      </x:c>
      <x:c r="C900" s="22" t="b">
        <x:v>1</x:v>
      </x:c>
      <x:c r="D900" s="11" t="n">
        <x:v>0.8056239195782854</x:v>
      </x:c>
      <x:c r="E900" s="11" t="n">
        <x:v>0.7411815135471193</x:v>
      </x:c>
      <x:c r="F900" s="11" t="n">
        <x:v>-0.1139319748894776</x:v>
      </x:c>
      <x:c r="G900" s="11" t="n">
        <x:v>0.06444240603116613</x:v>
      </x:c>
      <x:c r="H900" s="11" t="n">
        <x:v>0.919555894467763</x:v>
      </x:c>
      <x:c r="I900" s="11" t="n">
        <x:v>0.05263157894736842</x:v>
      </x:c>
      <x:c r="J900" s="13" t="n">
        <x:v>19</x:v>
      </x:c>
      <x:c r="K900" s="22" t="b">
        <x:v>0</x:v>
      </x:c>
      <x:c r="L900" s="13" t="n">
        <x:v>85</x:v>
      </x:c>
      <x:c r="M900" s="13" t="n">
        <x:v>27</x:v>
      </x:c>
    </x:row>
    <x:row r="901" ht="22" customHeight="1">
      <x:c r="A901" s="17" t="str">
        <x:f>"11522500"</x:f>
        <x:v>11522500</x:v>
      </x:c>
      <x:c r="B901" s="13" t="n">
        <x:v>42</x:v>
      </x:c>
      <x:c r="C901" s="22" t="b">
        <x:v>0</x:v>
      </x:c>
      <x:c r="D901" s="11" t="n">
        <x:v>0.5927421652489573</x:v>
      </x:c>
      <x:c r="E901" s="11" t="n">
        <x:v>0.6526862479643651</x:v>
      </x:c>
      <x:c r="F901" s="11" t="n">
        <x:v>0.14085738351888422</x:v>
      </x:c>
      <x:c r="G901" s="11" t="n">
        <x:v>-0.059944082715407854</x:v>
      </x:c>
      <x:c r="H901" s="11" t="n">
        <x:v>0.45188478173007307</x:v>
      </x:c>
      <x:c r="I901" s="11" t="n">
        <x:v>0.65</x:v>
      </x:c>
      <x:c r="J901" s="13" t="n">
        <x:v>20</x:v>
      </x:c>
      <x:c r="K901" s="22" t="b">
        <x:v>0</x:v>
      </x:c>
      <x:c r="L901" s="13" t="n">
        <x:v>125</x:v>
      </x:c>
      <x:c r="M901" s="13" t="n">
        <x:v>43</x:v>
      </x:c>
    </x:row>
    <x:row r="902" ht="22" customHeight="1">
      <x:c r="A902" s="17" t="str">
        <x:f>"11523200"</x:f>
        <x:v>11523200</x:v>
      </x:c>
      <x:c r="B902" s="13" t="n">
        <x:v>42</x:v>
      </x:c>
      <x:c r="C902" s="22" t="b">
        <x:v>1</x:v>
      </x:c>
      <x:c r="D902" s="11" t="n">
        <x:v>0.8987270529297928</x:v>
      </x:c>
      <x:c r="E902" s="11" t="n">
        <x:v>0.8916419462259189</x:v>
      </x:c>
      <x:c r="F902" s="11" t="n">
        <x:v>0.41547755859108415</x:v>
      </x:c>
      <x:c r="G902" s="11" t="n">
        <x:v>0.007085106703873967</x:v>
      </x:c>
      <x:c r="H902" s="11" t="n">
        <x:v>0.4832494943387087</x:v>
      </x:c>
      <x:c r="I902" s="11" t="n">
        <x:v>0.8947368421052632</x:v>
      </x:c>
      <x:c r="J902" s="13" t="n">
        <x:v>19</x:v>
      </x:c>
      <x:c r="K902" s="22" t="b">
        <x:v>1</x:v>
      </x:c>
      <x:c r="L902" s="13" t="n">
        <x:v>80</x:v>
      </x:c>
      <x:c r="M902" s="13" t="n">
        <x:v>26</x:v>
      </x:c>
    </x:row>
    <x:row r="903" ht="22" customHeight="1">
      <x:c r="A903" s="17" t="str">
        <x:f>"11523200"</x:f>
        <x:v>11523200</x:v>
      </x:c>
      <x:c r="B903" s="13" t="n">
        <x:v>42</x:v>
      </x:c>
      <x:c r="C903" s="22" t="b">
        <x:v>0</x:v>
      </x:c>
      <x:c r="D903" s="11" t="n">
        <x:v>0.5170223571568275</x:v>
      </x:c>
      <x:c r="E903" s="11" t="n">
        <x:v>0.5061012580994777</x:v>
      </x:c>
      <x:c r="F903" s="11" t="n">
        <x:v>0.40905396722060294</x:v>
      </x:c>
      <x:c r="G903" s="11" t="n">
        <x:v>0.010921099057349837</x:v>
      </x:c>
      <x:c r="H903" s="11" t="n">
        <x:v>0.1079683899362246</x:v>
      </x:c>
      <x:c r="I903" s="11" t="n">
        <x:v>0.15</x:v>
      </x:c>
      <x:c r="J903" s="13" t="n">
        <x:v>20</x:v>
      </x:c>
      <x:c r="K903" s="22" t="b">
        <x:v>0</x:v>
      </x:c>
      <x:c r="L903" s="13" t="n">
        <x:v>132</x:v>
      </x:c>
      <x:c r="M903" s="13" t="n">
        <x:v>47</x:v>
      </x:c>
    </x:row>
    <x:row r="904" ht="22" customHeight="1">
      <x:c r="A904" s="17" t="str">
        <x:f>"11528700"</x:f>
        <x:v>11528700</x:v>
      </x:c>
      <x:c r="B904" s="13" t="n">
        <x:v>42</x:v>
      </x:c>
      <x:c r="C904" s="22" t="b">
        <x:v>1</x:v>
      </x:c>
      <x:c r="D904" s="11" t="n">
        <x:v>0.8353024498038936</x:v>
      </x:c>
      <x:c r="E904" s="11" t="n">
        <x:v>0.6851938974301988</x:v>
      </x:c>
      <x:c r="F904" s="11" t="n">
        <x:v>0.45143220196154665</x:v>
      </x:c>
      <x:c r="G904" s="11" t="n">
        <x:v>0.1501085523736948</x:v>
      </x:c>
      <x:c r="H904" s="11" t="n">
        <x:v>0.3838702478423469</x:v>
      </x:c>
      <x:c r="I904" s="11" t="n">
        <x:v>0.45</x:v>
      </x:c>
      <x:c r="J904" s="13" t="n">
        <x:v>20</x:v>
      </x:c>
      <x:c r="K904" s="22" t="b">
        <x:v>0</x:v>
      </x:c>
      <x:c r="L904" s="13" t="n">
        <x:v>159</x:v>
      </x:c>
      <x:c r="M904" s="13" t="n">
        <x:v>65</x:v>
      </x:c>
    </x:row>
    <x:row r="905" ht="22" customHeight="1">
      <x:c r="A905" s="17" t="str">
        <x:f>"11528700"</x:f>
        <x:v>11528700</x:v>
      </x:c>
      <x:c r="B905" s="13" t="n">
        <x:v>42</x:v>
      </x:c>
      <x:c r="C905" s="22" t="b">
        <x:v>0</x:v>
      </x:c>
      <x:c r="D905" s="11" t="n">
        <x:v>0.39428457685718443</x:v>
      </x:c>
      <x:c r="E905" s="11" t="n">
        <x:v>-0.10826802398978086</x:v>
      </x:c>
      <x:c r="F905" s="11" t="n">
        <x:v>0.3650348212066742</x:v>
      </x:c>
      <x:c r="G905" s="11" t="n">
        <x:v>0.5025526008469653</x:v>
      </x:c>
      <x:c r="H905" s="11" t="n">
        <x:v>0.029249755650510245</x:v>
      </x:c>
      <x:c r="I905" s="11" t="n">
        <x:v>0.45</x:v>
      </x:c>
      <x:c r="J905" s="13" t="n">
        <x:v>20</x:v>
      </x:c>
      <x:c r="K905" s="22" t="b">
        <x:v>0</x:v>
      </x:c>
      <x:c r="L905" s="13" t="n">
        <x:v>121</x:v>
      </x:c>
      <x:c r="M905" s="13" t="n">
        <x:v>41</x:v>
      </x:c>
    </x:row>
    <x:row r="906" ht="22" customHeight="1">
      <x:c r="A906" s="17" t="str">
        <x:f>"11532500"</x:f>
        <x:v>11532500</x:v>
      </x:c>
      <x:c r="B906" s="13" t="n">
        <x:v>42</x:v>
      </x:c>
      <x:c r="C906" s="22" t="b">
        <x:v>1</x:v>
      </x:c>
      <x:c r="D906" s="11" t="n">
        <x:v>0.7461047861409578</x:v>
      </x:c>
      <x:c r="E906" s="11" t="n">
        <x:v>0.6963045243227197</x:v>
      </x:c>
      <x:c r="F906" s="11" t="n">
        <x:v>0.6950826664679381</x:v>
      </x:c>
      <x:c r="G906" s="11" t="n">
        <x:v>0.049800261818238045</x:v>
      </x:c>
      <x:c r="H906" s="11" t="n">
        <x:v>0.05102211967301962</x:v>
      </x:c>
      <x:c r="I906" s="11" t="n">
        <x:v>0.1</x:v>
      </x:c>
      <x:c r="J906" s="13" t="n">
        <x:v>20</x:v>
      </x:c>
      <x:c r="K906" s="22" t="b">
        <x:v>0</x:v>
      </x:c>
      <x:c r="L906" s="13" t="n">
        <x:v>168</x:v>
      </x:c>
      <x:c r="M906" s="13" t="n">
        <x:v>72</x:v>
      </x:c>
    </x:row>
    <x:row r="907" ht="22" customHeight="1">
      <x:c r="A907" s="17" t="str">
        <x:f>"11532500"</x:f>
        <x:v>11532500</x:v>
      </x:c>
      <x:c r="B907" s="13" t="n">
        <x:v>42</x:v>
      </x:c>
      <x:c r="C907" s="22" t="b">
        <x:v>0</x:v>
      </x:c>
      <x:c r="D907" s="11" t="n">
        <x:v>0.7033818307473263</x:v>
      </x:c>
      <x:c r="E907" s="11" t="n">
        <x:v>0.6204791377827955</x:v>
      </x:c>
      <x:c r="F907" s="11" t="n">
        <x:v>0.6246301830633681</x:v>
      </x:c>
      <x:c r="G907" s="11" t="n">
        <x:v>0.08290269296453079</x:v>
      </x:c>
      <x:c r="H907" s="11" t="n">
        <x:v>0.07875164768395815</x:v>
      </x:c>
      <x:c r="I907" s="11" t="n">
        <x:v>0.8421052631578947</x:v>
      </x:c>
      <x:c r="J907" s="13" t="n">
        <x:v>19</x:v>
      </x:c>
      <x:c r="K907" s="22" t="b">
        <x:v>0</x:v>
      </x:c>
      <x:c r="L907" s="13" t="n">
        <x:v>130</x:v>
      </x:c>
      <x:c r="M907" s="13" t="n">
        <x:v>45</x:v>
      </x:c>
    </x:row>
    <x:row r="908" ht="22" customHeight="1">
      <x:c r="A908" s="17" t="str">
        <x:f>"12010000"</x:f>
        <x:v>12010000</x:v>
      </x:c>
      <x:c r="B908" s="13" t="n">
        <x:v>42</x:v>
      </x:c>
      <x:c r="C908" s="22" t="b">
        <x:v>1</x:v>
      </x:c>
      <x:c r="D908" s="11" t="n">
        <x:v>0.853453994908177</x:v>
      </x:c>
      <x:c r="E908" s="11" t="n">
        <x:v>0.8220218442096389</x:v>
      </x:c>
      <x:c r="F908" s="11" t="n">
        <x:v>0.8033239448071132</x:v>
      </x:c>
      <x:c r="G908" s="11" t="n">
        <x:v>0.03143215069853811</x:v>
      </x:c>
      <x:c r="H908" s="11" t="n">
        <x:v>0.05013005010106375</x:v>
      </x:c>
      <x:c r="I908" s="11" t="n">
        <x:v>0.3</x:v>
      </x:c>
      <x:c r="J908" s="13" t="n">
        <x:v>20</x:v>
      </x:c>
      <x:c r="K908" s="22" t="b">
        <x:v>0</x:v>
      </x:c>
      <x:c r="L908" s="13" t="n">
        <x:v>151</x:v>
      </x:c>
      <x:c r="M908" s="13" t="n">
        <x:v>59</x:v>
      </x:c>
    </x:row>
    <x:row r="909" ht="22" customHeight="1">
      <x:c r="A909" s="17" t="str">
        <x:f>"12010000"</x:f>
        <x:v>12010000</x:v>
      </x:c>
      <x:c r="B909" s="13" t="n">
        <x:v>42</x:v>
      </x:c>
      <x:c r="C909" s="22" t="b">
        <x:v>0</x:v>
      </x:c>
      <x:c r="D909" s="11" t="n">
        <x:v>0.7769425785409794</x:v>
      </x:c>
      <x:c r="E909" s="11" t="n">
        <x:v>0.731991338112898</x:v>
      </x:c>
      <x:c r="F909" s="11" t="n">
        <x:v>0.4684612064178789</x:v>
      </x:c>
      <x:c r="G909" s="11" t="n">
        <x:v>0.04495124042808141</x:v>
      </x:c>
      <x:c r="H909" s="11" t="n">
        <x:v>0.30848137212310045</x:v>
      </x:c>
      <x:c r="I909" s="11" t="n">
        <x:v>0.55</x:v>
      </x:c>
      <x:c r="J909" s="13" t="n">
        <x:v>20</x:v>
      </x:c>
      <x:c r="K909" s="22" t="b">
        <x:v>0</x:v>
      </x:c>
      <x:c r="L909" s="13" t="n">
        <x:v>91</x:v>
      </x:c>
      <x:c r="M909" s="13" t="n">
        <x:v>29</x:v>
      </x:c>
    </x:row>
    <x:row r="910" ht="22" customHeight="1">
      <x:c r="A910" s="17" t="str">
        <x:f>"12013500"</x:f>
        <x:v>12013500</x:v>
      </x:c>
      <x:c r="B910" s="13" t="n">
        <x:v>42</x:v>
      </x:c>
      <x:c r="C910" s="22" t="b">
        <x:v>1</x:v>
      </x:c>
      <x:c r="D910" s="11" t="n">
        <x:v>0.8743747610180355</x:v>
      </x:c>
      <x:c r="E910" s="11" t="n">
        <x:v>0.8647258627205497</x:v>
      </x:c>
      <x:c r="F910" s="11" t="n">
        <x:v>0.8433756035672587</x:v>
      </x:c>
      <x:c r="G910" s="11" t="n">
        <x:v>0.00964889829748572</x:v>
      </x:c>
      <x:c r="H910" s="11" t="n">
        <x:v>0.03099915745077675</x:v>
      </x:c>
      <x:c r="I910" s="11" t="n">
        <x:v>0.3</x:v>
      </x:c>
      <x:c r="J910" s="13" t="n">
        <x:v>20</x:v>
      </x:c>
      <x:c r="K910" s="22" t="b">
        <x:v>0</x:v>
      </x:c>
      <x:c r="L910" s="13" t="n">
        <x:v>89</x:v>
      </x:c>
      <x:c r="M910" s="13" t="n">
        <x:v>28</x:v>
      </x:c>
    </x:row>
    <x:row r="911" ht="22" customHeight="1">
      <x:c r="A911" s="17" t="str">
        <x:f>"12013500"</x:f>
        <x:v>12013500</x:v>
      </x:c>
      <x:c r="B911" s="13" t="n">
        <x:v>42</x:v>
      </x:c>
      <x:c r="C911" s="22" t="b">
        <x:v>0</x:v>
      </x:c>
      <x:c r="D911" s="11" t="n">
        <x:v>0.7706668940632184</x:v>
      </x:c>
      <x:c r="E911" s="11" t="n">
        <x:v>0.7648480620820532</x:v>
      </x:c>
      <x:c r="F911" s="11" t="n">
        <x:v>0.5289362245134545</x:v>
      </x:c>
      <x:c r="G911" s="11" t="n">
        <x:v>0.005818831981165173</x:v>
      </x:c>
      <x:c r="H911" s="11" t="n">
        <x:v>0.24173066954976397</x:v>
      </x:c>
      <x:c r="I911" s="11" t="n">
        <x:v>0</x:v>
      </x:c>
      <x:c r="J911" s="13" t="n">
        <x:v>19</x:v>
      </x:c>
      <x:c r="K911" s="22" t="b">
        <x:v>0</x:v>
      </x:c>
      <x:c r="L911" s="13" t="n">
        <x:v>103</x:v>
      </x:c>
      <x:c r="M911" s="13" t="n">
        <x:v>34</x:v>
      </x:c>
    </x:row>
    <x:row r="912" ht="22" customHeight="1">
      <x:c r="A912" s="17" t="str">
        <x:f>"12020000"</x:f>
        <x:v>12020000</x:v>
      </x:c>
      <x:c r="B912" s="13" t="n">
        <x:v>42</x:v>
      </x:c>
      <x:c r="C912" s="22" t="b">
        <x:v>1</x:v>
      </x:c>
      <x:c r="D912" s="11" t="n">
        <x:v>0.78979647392642</x:v>
      </x:c>
      <x:c r="E912" s="11" t="n">
        <x:v>0.6896453559065807</x:v>
      </x:c>
      <x:c r="F912" s="11" t="n">
        <x:v>0.744870749398926</x:v>
      </x:c>
      <x:c r="G912" s="11" t="n">
        <x:v>0.10015111801983934</x:v>
      </x:c>
      <x:c r="H912" s="11" t="n">
        <x:v>0.044925724527494104</x:v>
      </x:c>
      <x:c r="I912" s="11" t="n">
        <x:v>1</x:v>
      </x:c>
      <x:c r="J912" s="13" t="n">
        <x:v>15</x:v>
      </x:c>
      <x:c r="K912" s="22" t="b">
        <x:v>0</x:v>
      </x:c>
      <x:c r="L912" s="13" t="n">
        <x:v>90</x:v>
      </x:c>
      <x:c r="M912" s="13" t="n">
        <x:v>28</x:v>
      </x:c>
    </x:row>
    <x:row r="913" ht="22" customHeight="1">
      <x:c r="A913" s="17" t="str">
        <x:f>"12020000"</x:f>
        <x:v>12020000</x:v>
      </x:c>
      <x:c r="B913" s="13" t="n">
        <x:v>42</x:v>
      </x:c>
      <x:c r="C913" s="22" t="b">
        <x:v>0</x:v>
      </x:c>
      <x:c r="D913" s="11" t="n">
        <x:v>0.6587983878809287</x:v>
      </x:c>
      <x:c r="E913" s="11" t="n">
        <x:v>0.6624951428023915</x:v>
      </x:c>
      <x:c r="F913" s="11" t="n">
        <x:v>0.2353720139938178</x:v>
      </x:c>
      <x:c r="G913" s="11" t="n">
        <x:v>-0.0036967549214628193</x:v>
      </x:c>
      <x:c r="H913" s="11" t="n">
        <x:v>0.4234263738871109</x:v>
      </x:c>
      <x:c r="I913" s="11"/>
      <x:c r="J913" s="13" t="n">
        <x:v>0</x:v>
      </x:c>
      <x:c r="K913" s="22" t="b">
        <x:v>0</x:v>
      </x:c>
      <x:c r="L913" s="13" t="n">
        <x:v>64</x:v>
      </x:c>
      <x:c r="M913" s="13" t="n">
        <x:v>21</x:v>
      </x:c>
    </x:row>
    <x:row r="914" ht="22" customHeight="1">
      <x:c r="A914" s="17" t="str">
        <x:f>"12025700"</x:f>
        <x:v>12025700</x:v>
      </x:c>
      <x:c r="B914" s="13" t="n">
        <x:v>42</x:v>
      </x:c>
      <x:c r="C914" s="22" t="b">
        <x:v>1</x:v>
      </x:c>
      <x:c r="D914" s="11" t="n">
        <x:v>0.777888353007106</x:v>
      </x:c>
      <x:c r="E914" s="11" t="n">
        <x:v>0.7208013727726328</x:v>
      </x:c>
      <x:c r="F914" s="11" t="n">
        <x:v>0.6707071589151583</x:v>
      </x:c>
      <x:c r="G914" s="11" t="n">
        <x:v>0.05708698023447323</x:v>
      </x:c>
      <x:c r="H914" s="11" t="n">
        <x:v>0.1071811940919477</x:v>
      </x:c>
      <x:c r="I914" s="11" t="n">
        <x:v>0.5</x:v>
      </x:c>
      <x:c r="J914" s="13" t="n">
        <x:v>18</x:v>
      </x:c>
      <x:c r="K914" s="22" t="b">
        <x:v>0</x:v>
      </x:c>
      <x:c r="L914" s="13" t="n">
        <x:v>79</x:v>
      </x:c>
      <x:c r="M914" s="13" t="n">
        <x:v>26</x:v>
      </x:c>
    </x:row>
    <x:row r="915" ht="22" customHeight="1">
      <x:c r="A915" s="17" t="str">
        <x:f>"12025700"</x:f>
        <x:v>12025700</x:v>
      </x:c>
      <x:c r="B915" s="13" t="n">
        <x:v>42</x:v>
      </x:c>
      <x:c r="C915" s="22" t="b">
        <x:v>0</x:v>
      </x:c>
      <x:c r="D915" s="11" t="n">
        <x:v>0.6771806852349148</x:v>
      </x:c>
      <x:c r="E915" s="11" t="n">
        <x:v>0.5996715391599869</x:v>
      </x:c>
      <x:c r="F915" s="11" t="n">
        <x:v>0.3186621796766599</x:v>
      </x:c>
      <x:c r="G915" s="11" t="n">
        <x:v>0.07750914607492787</x:v>
      </x:c>
      <x:c r="H915" s="11" t="n">
        <x:v>0.35851850555825493</x:v>
      </x:c>
      <x:c r="I915" s="11" t="n">
        <x:v>0.375</x:v>
      </x:c>
      <x:c r="J915" s="13" t="n">
        <x:v>16</x:v>
      </x:c>
      <x:c r="K915" s="22" t="b">
        <x:v>0</x:v>
      </x:c>
      <x:c r="L915" s="13" t="n">
        <x:v>82</x:v>
      </x:c>
      <x:c r="M915" s="13" t="n">
        <x:v>26</x:v>
      </x:c>
    </x:row>
    <x:row r="916" ht="22" customHeight="1">
      <x:c r="A916" s="17" t="str">
        <x:f>"12035000"</x:f>
        <x:v>12035000</x:v>
      </x:c>
      <x:c r="B916" s="13" t="n">
        <x:v>42</x:v>
      </x:c>
      <x:c r="C916" s="22" t="b">
        <x:v>1</x:v>
      </x:c>
      <x:c r="D916" s="11" t="n">
        <x:v>0.8771322483017926</x:v>
      </x:c>
      <x:c r="E916" s="11" t="n">
        <x:v>0.8718275009491958</x:v>
      </x:c>
      <x:c r="F916" s="11" t="n">
        <x:v>0.5134047023041465</x:v>
      </x:c>
      <x:c r="G916" s="11" t="n">
        <x:v>0.005304747352596784</x:v>
      </x:c>
      <x:c r="H916" s="11" t="n">
        <x:v>0.3637275459976461</x:v>
      </x:c>
      <x:c r="I916" s="11" t="n">
        <x:v>1</x:v>
      </x:c>
      <x:c r="J916" s="13" t="n">
        <x:v>7</x:v>
      </x:c>
      <x:c r="K916" s="22" t="b">
        <x:v>1</x:v>
      </x:c>
      <x:c r="L916" s="13" t="n">
        <x:v>77</x:v>
      </x:c>
      <x:c r="M916" s="13" t="n">
        <x:v>25</x:v>
      </x:c>
    </x:row>
    <x:row r="917" ht="22" customHeight="1">
      <x:c r="A917" s="17" t="str">
        <x:f>"12035000"</x:f>
        <x:v>12035000</x:v>
      </x:c>
      <x:c r="B917" s="13" t="n">
        <x:v>42</x:v>
      </x:c>
      <x:c r="C917" s="22" t="b">
        <x:v>0</x:v>
      </x:c>
      <x:c r="D917" s="11" t="n">
        <x:v>0.8565717022701496</x:v>
      </x:c>
      <x:c r="E917" s="11" t="n">
        <x:v>0.8149434154420344</x:v>
      </x:c>
      <x:c r="F917" s="11" t="n">
        <x:v>0.7012586786412455</x:v>
      </x:c>
      <x:c r="G917" s="11" t="n">
        <x:v>0.041628286828115146</x:v>
      </x:c>
      <x:c r="H917" s="11" t="n">
        <x:v>0.1553130236289041</x:v>
      </x:c>
      <x:c r="I917" s="11" t="n">
        <x:v>1</x:v>
      </x:c>
      <x:c r="J917" s="13" t="n">
        <x:v>16</x:v>
      </x:c>
      <x:c r="K917" s="22" t="b">
        <x:v>1</x:v>
      </x:c>
      <x:c r="L917" s="13" t="n">
        <x:v>81</x:v>
      </x:c>
      <x:c r="M917" s="13" t="n">
        <x:v>27</x:v>
      </x:c>
    </x:row>
    <x:row r="918" ht="22" customHeight="1">
      <x:c r="A918" s="17" t="str">
        <x:f>"12040500"</x:f>
        <x:v>12040500</x:v>
      </x:c>
      <x:c r="B918" s="13" t="n">
        <x:v>42</x:v>
      </x:c>
      <x:c r="C918" s="22" t="b">
        <x:v>1</x:v>
      </x:c>
      <x:c r="D918" s="11" t="n">
        <x:v>0.659882591800784</x:v>
      </x:c>
      <x:c r="E918" s="11" t="n">
        <x:v>0.5871218958576842</x:v>
      </x:c>
      <x:c r="F918" s="11" t="n">
        <x:v>0.3852397584056968</x:v>
      </x:c>
      <x:c r="G918" s="11" t="n">
        <x:v>0.07276069594309986</x:v>
      </x:c>
      <x:c r="H918" s="11" t="n">
        <x:v>0.2746428333950872</x:v>
      </x:c>
      <x:c r="I918" s="11" t="n">
        <x:v>0.3</x:v>
      </x:c>
      <x:c r="J918" s="13" t="n">
        <x:v>20</x:v>
      </x:c>
      <x:c r="K918" s="22" t="b">
        <x:v>0</x:v>
      </x:c>
      <x:c r="L918" s="13" t="n">
        <x:v>86</x:v>
      </x:c>
      <x:c r="M918" s="13" t="n">
        <x:v>27</x:v>
      </x:c>
    </x:row>
    <x:row r="919" ht="22" customHeight="1">
      <x:c r="A919" s="17" t="str">
        <x:f>"12040500"</x:f>
        <x:v>12040500</x:v>
      </x:c>
      <x:c r="B919" s="13" t="n">
        <x:v>42</x:v>
      </x:c>
      <x:c r="C919" s="22" t="b">
        <x:v>0</x:v>
      </x:c>
      <x:c r="D919" s="11" t="n">
        <x:v>0.5130923876791738</x:v>
      </x:c>
      <x:c r="E919" s="11" t="n">
        <x:v>0.45743048341895576</x:v>
      </x:c>
      <x:c r="F919" s="11" t="n">
        <x:v>-0.07706974058011506</x:v>
      </x:c>
      <x:c r="G919" s="11" t="n">
        <x:v>0.055661904260218</x:v>
      </x:c>
      <x:c r="H919" s="11" t="n">
        <x:v>0.5901621282592888</x:v>
      </x:c>
      <x:c r="I919" s="11" t="n">
        <x:v>0.4</x:v>
      </x:c>
      <x:c r="J919" s="13" t="n">
        <x:v>20</x:v>
      </x:c>
      <x:c r="K919" s="22" t="b">
        <x:v>0</x:v>
      </x:c>
      <x:c r="L919" s="13" t="n">
        <x:v>100</x:v>
      </x:c>
      <x:c r="M919" s="13" t="n">
        <x:v>33</x:v>
      </x:c>
    </x:row>
    <x:row r="920" ht="22" customHeight="1">
      <x:c r="A920" s="17" t="str">
        <x:f>"12041200"</x:f>
        <x:v>12041200</x:v>
      </x:c>
      <x:c r="B920" s="13" t="n">
        <x:v>42</x:v>
      </x:c>
      <x:c r="C920" s="22" t="b">
        <x:v>1</x:v>
      </x:c>
      <x:c r="D920" s="11" t="n">
        <x:v>0.5959968626945733</x:v>
      </x:c>
      <x:c r="E920" s="11" t="n">
        <x:v>0.4941924917763777</x:v>
      </x:c>
      <x:c r="F920" s="11" t="n">
        <x:v>0.11864019918793</x:v>
      </x:c>
      <x:c r="G920" s="11" t="n">
        <x:v>0.10180437091819561</x:v>
      </x:c>
      <x:c r="H920" s="11" t="n">
        <x:v>0.4773566635066433</x:v>
      </x:c>
      <x:c r="I920" s="11" t="n">
        <x:v>1</x:v>
      </x:c>
      <x:c r="J920" s="13" t="n">
        <x:v>19</x:v>
      </x:c>
      <x:c r="K920" s="22" t="b">
        <x:v>0</x:v>
      </x:c>
      <x:c r="L920" s="13" t="n">
        <x:v>73</x:v>
      </x:c>
      <x:c r="M920" s="13" t="n">
        <x:v>24</x:v>
      </x:c>
    </x:row>
    <x:row r="921" ht="22" customHeight="1">
      <x:c r="A921" s="17" t="str">
        <x:f>"12041200"</x:f>
        <x:v>12041200</x:v>
      </x:c>
      <x:c r="B921" s="13" t="n">
        <x:v>42</x:v>
      </x:c>
      <x:c r="C921" s="22" t="b">
        <x:v>0</x:v>
      </x:c>
      <x:c r="D921" s="11" t="n">
        <x:v>0.48417008504187975</x:v>
      </x:c>
      <x:c r="E921" s="11" t="n">
        <x:v>0.2756743694235275</x:v>
      </x:c>
      <x:c r="F921" s="11" t="n">
        <x:v>0.47885589639585835</x:v>
      </x:c>
      <x:c r="G921" s="11" t="n">
        <x:v>0.20849571561835223</x:v>
      </x:c>
      <x:c r="H921" s="11" t="n">
        <x:v>0.0053141886460214005</x:v>
      </x:c>
      <x:c r="I921" s="11" t="n">
        <x:v>0.95</x:v>
      </x:c>
      <x:c r="J921" s="13" t="n">
        <x:v>20</x:v>
      </x:c>
      <x:c r="K921" s="22" t="b">
        <x:v>0</x:v>
      </x:c>
      <x:c r="L921" s="13" t="n">
        <x:v>123</x:v>
      </x:c>
      <x:c r="M921" s="13" t="n">
        <x:v>45</x:v>
      </x:c>
    </x:row>
    <x:row r="922" ht="22" customHeight="1">
      <x:c r="A922" s="17" t="str">
        <x:f>"12048000"</x:f>
        <x:v>12048000</x:v>
      </x:c>
      <x:c r="B922" s="13" t="n">
        <x:v>42</x:v>
      </x:c>
      <x:c r="C922" s="22" t="b">
        <x:v>1</x:v>
      </x:c>
      <x:c r="D922" s="11" t="n">
        <x:v>0.7843843582904939</x:v>
      </x:c>
      <x:c r="E922" s="11" t="n">
        <x:v>0.7691916801483107</x:v>
      </x:c>
      <x:c r="F922" s="11" t="n">
        <x:v>0.41259269701977197</x:v>
      </x:c>
      <x:c r="G922" s="11" t="n">
        <x:v>0.01519267814218317</x:v>
      </x:c>
      <x:c r="H922" s="11" t="n">
        <x:v>0.37179166127072194</x:v>
      </x:c>
      <x:c r="I922" s="11" t="n">
        <x:v>1</x:v>
      </x:c>
      <x:c r="J922" s="13" t="n">
        <x:v>12</x:v>
      </x:c>
      <x:c r="K922" s="22" t="b">
        <x:v>1</x:v>
      </x:c>
      <x:c r="L922" s="13" t="n">
        <x:v>111</x:v>
      </x:c>
      <x:c r="M922" s="13" t="n">
        <x:v>37</x:v>
      </x:c>
    </x:row>
    <x:row r="923" ht="22" customHeight="1">
      <x:c r="A923" s="17" t="str">
        <x:f>"12048000"</x:f>
        <x:v>12048000</x:v>
      </x:c>
      <x:c r="B923" s="13" t="n">
        <x:v>42</x:v>
      </x:c>
      <x:c r="C923" s="22" t="b">
        <x:v>0</x:v>
      </x:c>
      <x:c r="D923" s="11" t="n">
        <x:v>0.3059433715335952</x:v>
      </x:c>
      <x:c r="E923" s="11" t="n">
        <x:v>0.478384770676323</x:v>
      </x:c>
      <x:c r="F923" s="11" t="n">
        <x:v>0.09675194015736033</x:v>
      </x:c>
      <x:c r="G923" s="11" t="n">
        <x:v>-0.17244139914272782</x:v>
      </x:c>
      <x:c r="H923" s="11" t="n">
        <x:v>0.20919143137623486</x:v>
      </x:c>
      <x:c r="I923" s="11" t="n">
        <x:v>0.7368421052631579</x:v>
      </x:c>
      <x:c r="J923" s="13" t="n">
        <x:v>19</x:v>
      </x:c>
      <x:c r="K923" s="22" t="b">
        <x:v>0</x:v>
      </x:c>
      <x:c r="L923" s="13" t="n">
        <x:v>138</x:v>
      </x:c>
      <x:c r="M923" s="13" t="n">
        <x:v>50</x:v>
      </x:c>
    </x:row>
    <x:row r="924" ht="22" customHeight="1">
      <x:c r="A924" s="17" t="str">
        <x:f>"12054000"</x:f>
        <x:v>12054000</x:v>
      </x:c>
      <x:c r="B924" s="13" t="n">
        <x:v>42</x:v>
      </x:c>
      <x:c r="C924" s="22" t="b">
        <x:v>1</x:v>
      </x:c>
      <x:c r="D924" s="11" t="n">
        <x:v>0.5775977496245011</x:v>
      </x:c>
      <x:c r="E924" s="11" t="n">
        <x:v>0.6229008904905325</x:v>
      </x:c>
      <x:c r="F924" s="11" t="n">
        <x:v>0.24340831239971072</x:v>
      </x:c>
      <x:c r="G924" s="11" t="n">
        <x:v>-0.04530314086603149</x:v>
      </x:c>
      <x:c r="H924" s="11" t="n">
        <x:v>0.33418943722479033</x:v>
      </x:c>
      <x:c r="I924" s="11" t="n">
        <x:v>1</x:v>
      </x:c>
      <x:c r="J924" s="13" t="n">
        <x:v>16</x:v>
      </x:c>
      <x:c r="K924" s="22" t="b">
        <x:v>1</x:v>
      </x:c>
      <x:c r="L924" s="13" t="n">
        <x:v>99</x:v>
      </x:c>
      <x:c r="M924" s="13" t="n">
        <x:v>32</x:v>
      </x:c>
    </x:row>
    <x:row r="925" ht="22" customHeight="1">
      <x:c r="A925" s="17" t="str">
        <x:f>"12054000"</x:f>
        <x:v>12054000</x:v>
      </x:c>
      <x:c r="B925" s="13" t="n">
        <x:v>42</x:v>
      </x:c>
      <x:c r="C925" s="22" t="b">
        <x:v>0</x:v>
      </x:c>
      <x:c r="D925" s="11" t="n">
        <x:v>0.46801285346871313</x:v>
      </x:c>
      <x:c r="E925" s="11" t="n">
        <x:v>0.4897066741586589</x:v>
      </x:c>
      <x:c r="F925" s="11" t="n">
        <x:v>0.19223244693610253</x:v>
      </x:c>
      <x:c r="G925" s="11" t="n">
        <x:v>-0.021693820689945742</x:v>
      </x:c>
      <x:c r="H925" s="11" t="n">
        <x:v>0.2757804065326106</x:v>
      </x:c>
      <x:c r="I925" s="11" t="n">
        <x:v>0.65</x:v>
      </x:c>
      <x:c r="J925" s="13" t="n">
        <x:v>20</x:v>
      </x:c>
      <x:c r="K925" s="22" t="b">
        <x:v>0</x:v>
      </x:c>
      <x:c r="L925" s="13" t="n">
        <x:v>163</x:v>
      </x:c>
      <x:c r="M925" s="13" t="n">
        <x:v>68</x:v>
      </x:c>
    </x:row>
    <x:row r="926" ht="22" customHeight="1">
      <x:c r="A926" s="17" t="str">
        <x:f>"12056500"</x:f>
        <x:v>12056500</x:v>
      </x:c>
      <x:c r="B926" s="13" t="n">
        <x:v>42</x:v>
      </x:c>
      <x:c r="C926" s="22" t="b">
        <x:v>1</x:v>
      </x:c>
      <x:c r="D926" s="11" t="n">
        <x:v>0.6287305308171789</x:v>
      </x:c>
      <x:c r="E926" s="11" t="n">
        <x:v>0.683881896842419</x:v>
      </x:c>
      <x:c r="F926" s="11" t="n">
        <x:v>0.4451666856576234</x:v>
      </x:c>
      <x:c r="G926" s="11" t="n">
        <x:v>-0.05515136602524007</x:v>
      </x:c>
      <x:c r="H926" s="11" t="n">
        <x:v>0.18356384515955548</x:v>
      </x:c>
      <x:c r="I926" s="11" t="n">
        <x:v>0.7058823529411765</x:v>
      </x:c>
      <x:c r="J926" s="13" t="n">
        <x:v>17</x:v>
      </x:c>
      <x:c r="K926" s="22" t="b">
        <x:v>0</x:v>
      </x:c>
      <x:c r="L926" s="13" t="n">
        <x:v>106</x:v>
      </x:c>
      <x:c r="M926" s="13" t="n">
        <x:v>37</x:v>
      </x:c>
    </x:row>
    <x:row r="927" ht="22" customHeight="1">
      <x:c r="A927" s="17" t="str">
        <x:f>"12056500"</x:f>
        <x:v>12056500</x:v>
      </x:c>
      <x:c r="B927" s="13" t="n">
        <x:v>42</x:v>
      </x:c>
      <x:c r="C927" s="22" t="b">
        <x:v>0</x:v>
      </x:c>
      <x:c r="D927" s="11" t="n">
        <x:v>0.41136049783697004</x:v>
      </x:c>
      <x:c r="E927" s="11" t="n">
        <x:v>0.5111310317286064</x:v>
      </x:c>
      <x:c r="F927" s="11" t="n">
        <x:v>0.2854018822190826</x:v>
      </x:c>
      <x:c r="G927" s="11" t="n">
        <x:v>-0.09977053389163637</x:v>
      </x:c>
      <x:c r="H927" s="11" t="n">
        <x:v>0.12595861561788746</x:v>
      </x:c>
      <x:c r="I927" s="11" t="n">
        <x:v>1</x:v>
      </x:c>
      <x:c r="J927" s="13" t="n">
        <x:v>20</x:v>
      </x:c>
      <x:c r="K927" s="22" t="b">
        <x:v>1</x:v>
      </x:c>
      <x:c r="L927" s="13" t="n">
        <x:v>132</x:v>
      </x:c>
      <x:c r="M927" s="13" t="n">
        <x:v>47</x:v>
      </x:c>
    </x:row>
    <x:row r="928" ht="22" customHeight="1">
      <x:c r="A928" s="17" t="str">
        <x:f>"12073500"</x:f>
        <x:v>12073500</x:v>
      </x:c>
      <x:c r="B928" s="13" t="n">
        <x:v>42</x:v>
      </x:c>
      <x:c r="C928" s="22" t="b">
        <x:v>1</x:v>
      </x:c>
      <x:c r="D928" s="11" t="n">
        <x:v>0.5891905085528767</x:v>
      </x:c>
      <x:c r="E928" s="11" t="n">
        <x:v>0.586521569305716</x:v>
      </x:c>
      <x:c r="F928" s="11" t="n">
        <x:v>0.17824268245838704</x:v>
      </x:c>
      <x:c r="G928" s="11" t="n">
        <x:v>0.0026689392471607176</x:v>
      </x:c>
      <x:c r="H928" s="11" t="n">
        <x:v>0.41094782609448965</x:v>
      </x:c>
      <x:c r="I928" s="11" t="n">
        <x:v>1</x:v>
      </x:c>
      <x:c r="J928" s="13" t="n">
        <x:v>11</x:v>
      </x:c>
      <x:c r="K928" s="22" t="b">
        <x:v>1</x:v>
      </x:c>
      <x:c r="L928" s="13" t="n">
        <x:v>59</x:v>
      </x:c>
      <x:c r="M928" s="13" t="n">
        <x:v>20</x:v>
      </x:c>
    </x:row>
    <x:row r="929" ht="22" customHeight="1">
      <x:c r="A929" s="17" t="str">
        <x:f>"12073500"</x:f>
        <x:v>12073500</x:v>
      </x:c>
      <x:c r="B929" s="13" t="n">
        <x:v>42</x:v>
      </x:c>
      <x:c r="C929" s="22" t="b">
        <x:v>0</x:v>
      </x:c>
      <x:c r="D929" s="11" t="n">
        <x:v>0.47250521673490065</x:v>
      </x:c>
      <x:c r="E929" s="11" t="n">
        <x:v>0.42438202639986633</x:v>
      </x:c>
      <x:c r="F929" s="11" t="n">
        <x:v>0.08111655377740357</x:v>
      </x:c>
      <x:c r="G929" s="11" t="n">
        <x:v>0.048123190335034316</x:v>
      </x:c>
      <x:c r="H929" s="11" t="n">
        <x:v>0.3913886629574971</x:v>
      </x:c>
      <x:c r="I929" s="11"/>
      <x:c r="J929" s="13" t="n">
        <x:v>0</x:v>
      </x:c>
      <x:c r="K929" s="22" t="b">
        <x:v>0</x:v>
      </x:c>
      <x:c r="L929" s="13" t="n">
        <x:v>84</x:v>
      </x:c>
      <x:c r="M929" s="13" t="n">
        <x:v>27</x:v>
      </x:c>
    </x:row>
    <x:row r="930" ht="22" customHeight="1">
      <x:c r="A930" s="17" t="str">
        <x:f>"12082500"</x:f>
        <x:v>12082500</x:v>
      </x:c>
      <x:c r="B930" s="13" t="n">
        <x:v>42</x:v>
      </x:c>
      <x:c r="C930" s="22" t="b">
        <x:v>1</x:v>
      </x:c>
      <x:c r="D930" s="11" t="n">
        <x:v>0.694962752412319</x:v>
      </x:c>
      <x:c r="E930" s="11" t="n">
        <x:v>0.5499528309103983</x:v>
      </x:c>
      <x:c r="F930" s="11" t="n">
        <x:v>0.1601605730323662</x:v>
      </x:c>
      <x:c r="G930" s="11" t="n">
        <x:v>0.1450099215019207</x:v>
      </x:c>
      <x:c r="H930" s="11" t="n">
        <x:v>0.5348021793799528</x:v>
      </x:c>
      <x:c r="I930" s="11"/>
      <x:c r="J930" s="13" t="n">
        <x:v>0</x:v>
      </x:c>
      <x:c r="K930" s="22" t="b">
        <x:v>0</x:v>
      </x:c>
      <x:c r="L930" s="13" t="n">
        <x:v>83</x:v>
      </x:c>
      <x:c r="M930" s="13" t="n">
        <x:v>27</x:v>
      </x:c>
    </x:row>
    <x:row r="931" ht="22" customHeight="1">
      <x:c r="A931" s="17" t="str">
        <x:f>"12082500"</x:f>
        <x:v>12082500</x:v>
      </x:c>
      <x:c r="B931" s="13" t="n">
        <x:v>42</x:v>
      </x:c>
      <x:c r="C931" s="22" t="b">
        <x:v>0</x:v>
      </x:c>
      <x:c r="D931" s="11" t="n">
        <x:v>0.3838810910471764</x:v>
      </x:c>
      <x:c r="E931" s="11" t="n">
        <x:v>0.18074561345406437</x:v>
      </x:c>
      <x:c r="F931" s="11" t="n">
        <x:v>-0.41267668895357934</x:v>
      </x:c>
      <x:c r="G931" s="11" t="n">
        <x:v>0.203135477593112</x:v>
      </x:c>
      <x:c r="H931" s="11" t="n">
        <x:v>0.7965577800007557</x:v>
      </x:c>
      <x:c r="I931" s="11" t="n">
        <x:v>0.7142857142857143</x:v>
      </x:c>
      <x:c r="J931" s="13" t="n">
        <x:v>14</x:v>
      </x:c>
      <x:c r="K931" s="22" t="b">
        <x:v>0</x:v>
      </x:c>
      <x:c r="L931" s="13" t="n">
        <x:v>116</x:v>
      </x:c>
      <x:c r="M931" s="13" t="n">
        <x:v>39</x:v>
      </x:c>
    </x:row>
    <x:row r="932" ht="22" customHeight="1">
      <x:c r="A932" s="17" t="str">
        <x:f>"12092000"</x:f>
        <x:v>12092000</x:v>
      </x:c>
      <x:c r="B932" s="13" t="n">
        <x:v>42</x:v>
      </x:c>
      <x:c r="C932" s="22" t="b">
        <x:v>1</x:v>
      </x:c>
      <x:c r="D932" s="11" t="n">
        <x:v>0.6156526276008225</x:v>
      </x:c>
      <x:c r="E932" s="11" t="n">
        <x:v>0.4452657502332703</x:v>
      </x:c>
      <x:c r="F932" s="11" t="n">
        <x:v>0.5210482382690277</x:v>
      </x:c>
      <x:c r="G932" s="11" t="n">
        <x:v>0.1703868773675522</x:v>
      </x:c>
      <x:c r="H932" s="11" t="n">
        <x:v>0.09460438933179482</x:v>
      </x:c>
      <x:c r="I932" s="11" t="n">
        <x:v>0.6666666666666666</x:v>
      </x:c>
      <x:c r="J932" s="13" t="n">
        <x:v>18</x:v>
      </x:c>
      <x:c r="K932" s="22" t="b">
        <x:v>0</x:v>
      </x:c>
      <x:c r="L932" s="13" t="n">
        <x:v>100</x:v>
      </x:c>
      <x:c r="M932" s="13" t="n">
        <x:v>33</x:v>
      </x:c>
    </x:row>
    <x:row r="933" ht="22" customHeight="1">
      <x:c r="A933" s="17" t="str">
        <x:f>"12092000"</x:f>
        <x:v>12092000</x:v>
      </x:c>
      <x:c r="B933" s="13" t="n">
        <x:v>42</x:v>
      </x:c>
      <x:c r="C933" s="22" t="b">
        <x:v>0</x:v>
      </x:c>
      <x:c r="D933" s="11" t="n">
        <x:v>0.381878920014705</x:v>
      </x:c>
      <x:c r="E933" s="11" t="n">
        <x:v>0.15224198179694504</x:v>
      </x:c>
      <x:c r="F933" s="11" t="n">
        <x:v>-0.09840322816033553</x:v>
      </x:c>
      <x:c r="G933" s="11" t="n">
        <x:v>0.22963693821776</x:v>
      </x:c>
      <x:c r="H933" s="11" t="n">
        <x:v>0.48028214817504056</x:v>
      </x:c>
      <x:c r="I933" s="11" t="n">
        <x:v>0.631578947368421</x:v>
      </x:c>
      <x:c r="J933" s="13" t="n">
        <x:v>19</x:v>
      </x:c>
      <x:c r="K933" s="22" t="b">
        <x:v>0</x:v>
      </x:c>
      <x:c r="L933" s="13" t="n">
        <x:v>101</x:v>
      </x:c>
      <x:c r="M933" s="13" t="n">
        <x:v>33</x:v>
      </x:c>
    </x:row>
    <x:row r="934" ht="22" customHeight="1">
      <x:c r="A934" s="17" t="str">
        <x:f>"12114500"</x:f>
        <x:v>12114500</x:v>
      </x:c>
      <x:c r="B934" s="13" t="n">
        <x:v>42</x:v>
      </x:c>
      <x:c r="C934" s="22" t="b">
        <x:v>1</x:v>
      </x:c>
      <x:c r="D934" s="11" t="n">
        <x:v>0.7567047190557783</x:v>
      </x:c>
      <x:c r="E934" s="11" t="n">
        <x:v>0.7076857916308349</x:v>
      </x:c>
      <x:c r="F934" s="11" t="n">
        <x:v>0.6079512988101061</x:v>
      </x:c>
      <x:c r="G934" s="11" t="n">
        <x:v>0.049018927424943404</x:v>
      </x:c>
      <x:c r="H934" s="11" t="n">
        <x:v>0.14875342024567217</x:v>
      </x:c>
      <x:c r="I934" s="11" t="n">
        <x:v>1</x:v>
      </x:c>
      <x:c r="J934" s="13" t="n">
        <x:v>20</x:v>
      </x:c>
      <x:c r="K934" s="22" t="b">
        <x:v>1</x:v>
      </x:c>
      <x:c r="L934" s="13" t="n">
        <x:v>134</x:v>
      </x:c>
      <x:c r="M934" s="13" t="n">
        <x:v>48</x:v>
      </x:c>
    </x:row>
    <x:row r="935" ht="22" customHeight="1">
      <x:c r="A935" s="17" t="str">
        <x:f>"12114500"</x:f>
        <x:v>12114500</x:v>
      </x:c>
      <x:c r="B935" s="13" t="n">
        <x:v>42</x:v>
      </x:c>
      <x:c r="C935" s="22" t="b">
        <x:v>0</x:v>
      </x:c>
      <x:c r="D935" s="11" t="n">
        <x:v>0.6714755609282457</x:v>
      </x:c>
      <x:c r="E935" s="11" t="n">
        <x:v>0.6172016272079138</x:v>
      </x:c>
      <x:c r="F935" s="11" t="n">
        <x:v>0.27237539838377656</x:v>
      </x:c>
      <x:c r="G935" s="11" t="n">
        <x:v>0.054273933720331846</x:v>
      </x:c>
      <x:c r="H935" s="11" t="n">
        <x:v>0.3991001625444691</x:v>
      </x:c>
      <x:c r="I935" s="11" t="n">
        <x:v>1</x:v>
      </x:c>
      <x:c r="J935" s="13" t="n">
        <x:v>20</x:v>
      </x:c>
      <x:c r="K935" s="22" t="b">
        <x:v>0</x:v>
      </x:c>
      <x:c r="L935" s="13" t="n">
        <x:v>105</x:v>
      </x:c>
      <x:c r="M935" s="13" t="n">
        <x:v>34</x:v>
      </x:c>
    </x:row>
    <x:row r="936" ht="22" customHeight="1">
      <x:c r="A936" s="17" t="str">
        <x:f>"12115000"</x:f>
        <x:v>12115000</x:v>
      </x:c>
      <x:c r="B936" s="13" t="n">
        <x:v>42</x:v>
      </x:c>
      <x:c r="C936" s="22" t="b">
        <x:v>1</x:v>
      </x:c>
      <x:c r="D936" s="11" t="n">
        <x:v>0.7355054315246858</x:v>
      </x:c>
      <x:c r="E936" s="11" t="n">
        <x:v>0.659122458280442</x:v>
      </x:c>
      <x:c r="F936" s="11" t="n">
        <x:v>0.2952140612889369</x:v>
      </x:c>
      <x:c r="G936" s="11" t="n">
        <x:v>0.07638297324424381</x:v>
      </x:c>
      <x:c r="H936" s="11" t="n">
        <x:v>0.44029137023574894</x:v>
      </x:c>
      <x:c r="I936" s="11" t="n">
        <x:v>0.7777777777777778</x:v>
      </x:c>
      <x:c r="J936" s="13" t="n">
        <x:v>18</x:v>
      </x:c>
      <x:c r="K936" s="22" t="b">
        <x:v>0</x:v>
      </x:c>
      <x:c r="L936" s="13" t="n">
        <x:v>132</x:v>
      </x:c>
      <x:c r="M936" s="13" t="n">
        <x:v>47</x:v>
      </x:c>
    </x:row>
    <x:row r="937" ht="22" customHeight="1">
      <x:c r="A937" s="17" t="str">
        <x:f>"12115000"</x:f>
        <x:v>12115000</x:v>
      </x:c>
      <x:c r="B937" s="13" t="n">
        <x:v>42</x:v>
      </x:c>
      <x:c r="C937" s="22" t="b">
        <x:v>0</x:v>
      </x:c>
      <x:c r="D937" s="11" t="n">
        <x:v>0.6486330600953956</x:v>
      </x:c>
      <x:c r="E937" s="11" t="n">
        <x:v>0.6091202224647587</x:v>
      </x:c>
      <x:c r="F937" s="11" t="n">
        <x:v>0.3017217146274357</x:v>
      </x:c>
      <x:c r="G937" s="11" t="n">
        <x:v>0.03951283763063684</x:v>
      </x:c>
      <x:c r="H937" s="11" t="n">
        <x:v>0.3469113454679599</x:v>
      </x:c>
      <x:c r="I937" s="11" t="n">
        <x:v>0.6</x:v>
      </x:c>
      <x:c r="J937" s="13" t="n">
        <x:v>20</x:v>
      </x:c>
      <x:c r="K937" s="22" t="b">
        <x:v>0</x:v>
      </x:c>
      <x:c r="L937" s="13" t="n">
        <x:v>137</x:v>
      </x:c>
      <x:c r="M937" s="13" t="n">
        <x:v>49</x:v>
      </x:c>
    </x:row>
    <x:row r="938" ht="22" customHeight="1">
      <x:c r="A938" s="17" t="str">
        <x:f>"12115500"</x:f>
        <x:v>12115500</x:v>
      </x:c>
      <x:c r="B938" s="13" t="n">
        <x:v>42</x:v>
      </x:c>
      <x:c r="C938" s="22" t="b">
        <x:v>1</x:v>
      </x:c>
      <x:c r="D938" s="11" t="n">
        <x:v>0.6026100236405372</x:v>
      </x:c>
      <x:c r="E938" s="11" t="n">
        <x:v>0.6031439117688933</x:v>
      </x:c>
      <x:c r="F938" s="11" t="n">
        <x:v>0.04461329195751218</x:v>
      </x:c>
      <x:c r="G938" s="11" t="n">
        <x:v>-0.0005338881283560859</x:v>
      </x:c>
      <x:c r="H938" s="11" t="n">
        <x:v>0.557996731683025</x:v>
      </x:c>
      <x:c r="I938" s="11" t="n">
        <x:v>1</x:v>
      </x:c>
      <x:c r="J938" s="13" t="n">
        <x:v>20</x:v>
      </x:c>
      <x:c r="K938" s="22" t="b">
        <x:v>1</x:v>
      </x:c>
      <x:c r="L938" s="13" t="n">
        <x:v>96</x:v>
      </x:c>
      <x:c r="M938" s="13" t="n">
        <x:v>31</x:v>
      </x:c>
    </x:row>
    <x:row r="939" ht="22" customHeight="1">
      <x:c r="A939" s="17" t="str">
        <x:f>"12115500"</x:f>
        <x:v>12115500</x:v>
      </x:c>
      <x:c r="B939" s="13" t="n">
        <x:v>42</x:v>
      </x:c>
      <x:c r="C939" s="22" t="b">
        <x:v>0</x:v>
      </x:c>
      <x:c r="D939" s="11" t="n">
        <x:v>0.5205142663517285</x:v>
      </x:c>
      <x:c r="E939" s="11" t="n">
        <x:v>0.32504729914393404</x:v>
      </x:c>
      <x:c r="F939" s="11" t="n">
        <x:v>0.22759108958961105</x:v>
      </x:c>
      <x:c r="G939" s="11" t="n">
        <x:v>0.19546696720779444</x:v>
      </x:c>
      <x:c r="H939" s="11" t="n">
        <x:v>0.29292317676211743</x:v>
      </x:c>
      <x:c r="I939" s="11" t="n">
        <x:v>1</x:v>
      </x:c>
      <x:c r="J939" s="13" t="n">
        <x:v>20</x:v>
      </x:c>
      <x:c r="K939" s="22" t="b">
        <x:v>0</x:v>
      </x:c>
      <x:c r="L939" s="13" t="n">
        <x:v>123</x:v>
      </x:c>
      <x:c r="M939" s="13" t="n">
        <x:v>42</x:v>
      </x:c>
    </x:row>
    <x:row r="940" ht="22" customHeight="1">
      <x:c r="A940" s="17" t="str">
        <x:f>"12117000"</x:f>
        <x:v>12117000</x:v>
      </x:c>
      <x:c r="B940" s="13" t="n">
        <x:v>42</x:v>
      </x:c>
      <x:c r="C940" s="22" t="b">
        <x:v>1</x:v>
      </x:c>
      <x:c r="D940" s="11" t="n">
        <x:v>0.7571935088628858</x:v>
      </x:c>
      <x:c r="E940" s="11" t="n">
        <x:v>0.7649942223257907</x:v>
      </x:c>
      <x:c r="F940" s="11" t="n">
        <x:v>0.47588558895101496</x:v>
      </x:c>
      <x:c r="G940" s="11" t="n">
        <x:v>-0.007800713462904896</x:v>
      </x:c>
      <x:c r="H940" s="11" t="n">
        <x:v>0.2813079199118709</x:v>
      </x:c>
      <x:c r="I940" s="11" t="n">
        <x:v>1</x:v>
      </x:c>
      <x:c r="J940" s="13" t="n">
        <x:v>20</x:v>
      </x:c>
      <x:c r="K940" s="22" t="b">
        <x:v>1</x:v>
      </x:c>
      <x:c r="L940" s="13" t="n">
        <x:v>103</x:v>
      </x:c>
      <x:c r="M940" s="13" t="n">
        <x:v>36</x:v>
      </x:c>
    </x:row>
    <x:row r="941" ht="22" customHeight="1">
      <x:c r="A941" s="17" t="str">
        <x:f>"12117000"</x:f>
        <x:v>12117000</x:v>
      </x:c>
      <x:c r="B941" s="13" t="n">
        <x:v>42</x:v>
      </x:c>
      <x:c r="C941" s="22" t="b">
        <x:v>0</x:v>
      </x:c>
      <x:c r="D941" s="11" t="n">
        <x:v>0.6443909692273844</x:v>
      </x:c>
      <x:c r="E941" s="11" t="n">
        <x:v>0.629481724490221</x:v>
      </x:c>
      <x:c r="F941" s="11" t="n">
        <x:v>-0.09954607293425899</x:v>
      </x:c>
      <x:c r="G941" s="11" t="n">
        <x:v>0.014909244737163374</x:v>
      </x:c>
      <x:c r="H941" s="11" t="n">
        <x:v>0.7439370421616434</x:v>
      </x:c>
      <x:c r="I941" s="11" t="n">
        <x:v>0.65</x:v>
      </x:c>
      <x:c r="J941" s="13" t="n">
        <x:v>20</x:v>
      </x:c>
      <x:c r="K941" s="22" t="b">
        <x:v>0</x:v>
      </x:c>
      <x:c r="L941" s="13" t="n">
        <x:v>142</x:v>
      </x:c>
      <x:c r="M941" s="13" t="n">
        <x:v>53</x:v>
      </x:c>
    </x:row>
    <x:row r="942" ht="22" customHeight="1">
      <x:c r="A942" s="17" t="str">
        <x:f>"12145500"</x:f>
        <x:v>12145500</x:v>
      </x:c>
      <x:c r="B942" s="13" t="n">
        <x:v>42</x:v>
      </x:c>
      <x:c r="C942" s="22" t="b">
        <x:v>1</x:v>
      </x:c>
      <x:c r="D942" s="11" t="n">
        <x:v>0.7370827997811322</x:v>
      </x:c>
      <x:c r="E942" s="11" t="n">
        <x:v>0.7058601027009729</x:v>
      </x:c>
      <x:c r="F942" s="11" t="n">
        <x:v>0.5044661870021889</x:v>
      </x:c>
      <x:c r="G942" s="11" t="n">
        <x:v>0.031222697080159345</x:v>
      </x:c>
      <x:c r="H942" s="11" t="n">
        <x:v>0.2326166127789433</x:v>
      </x:c>
      <x:c r="I942" s="11" t="n">
        <x:v>0.5833333333333334</x:v>
      </x:c>
      <x:c r="J942" s="13" t="n">
        <x:v>12</x:v>
      </x:c>
      <x:c r="K942" s="22" t="b">
        <x:v>0</x:v>
      </x:c>
      <x:c r="L942" s="13" t="n">
        <x:v>73</x:v>
      </x:c>
      <x:c r="M942" s="13" t="n">
        <x:v>24</x:v>
      </x:c>
    </x:row>
    <x:row r="943" ht="22" customHeight="1">
      <x:c r="A943" s="17" t="str">
        <x:f>"12145500"</x:f>
        <x:v>12145500</x:v>
      </x:c>
      <x:c r="B943" s="13" t="n">
        <x:v>42</x:v>
      </x:c>
      <x:c r="C943" s="22" t="b">
        <x:v>0</x:v>
      </x:c>
      <x:c r="D943" s="11" t="n">
        <x:v>0.6810915923482057</x:v>
      </x:c>
      <x:c r="E943" s="11" t="n">
        <x:v>0.669075297752129</x:v>
      </x:c>
      <x:c r="F943" s="11" t="n">
        <x:v>0.2916865579782365</x:v>
      </x:c>
      <x:c r="G943" s="11" t="n">
        <x:v>0.012016294596076671</x:v>
      </x:c>
      <x:c r="H943" s="11" t="n">
        <x:v>0.3894050343699692</x:v>
      </x:c>
      <x:c r="I943" s="11"/>
      <x:c r="J943" s="13" t="n">
        <x:v>0</x:v>
      </x:c>
      <x:c r="K943" s="22" t="b">
        <x:v>0</x:v>
      </x:c>
      <x:c r="L943" s="13" t="n">
        <x:v>75</x:v>
      </x:c>
      <x:c r="M943" s="13" t="n">
        <x:v>25</x:v>
      </x:c>
    </x:row>
    <x:row r="944" ht="22" customHeight="1">
      <x:c r="A944" s="17" t="str">
        <x:f>"12147500"</x:f>
        <x:v>12147500</x:v>
      </x:c>
      <x:c r="B944" s="13" t="n">
        <x:v>42</x:v>
      </x:c>
      <x:c r="C944" s="22" t="b">
        <x:v>1</x:v>
      </x:c>
      <x:c r="D944" s="11" t="n">
        <x:v>0.4971376372813674</x:v>
      </x:c>
      <x:c r="E944" s="11" t="n">
        <x:v>0.41972026041867616</x:v>
      </x:c>
      <x:c r="F944" s="11" t="n">
        <x:v>0.4184771623365757</x:v>
      </x:c>
      <x:c r="G944" s="11" t="n">
        <x:v>0.07741737686269123</x:v>
      </x:c>
      <x:c r="H944" s="11" t="n">
        <x:v>0.07866047494479167</x:v>
      </x:c>
      <x:c r="I944" s="11" t="n">
        <x:v>1</x:v>
      </x:c>
      <x:c r="J944" s="13" t="n">
        <x:v>18</x:v>
      </x:c>
      <x:c r="K944" s="22" t="b">
        <x:v>0</x:v>
      </x:c>
      <x:c r="L944" s="13" t="n">
        <x:v>84</x:v>
      </x:c>
      <x:c r="M944" s="13" t="n">
        <x:v>27</x:v>
      </x:c>
    </x:row>
    <x:row r="945" ht="22" customHeight="1">
      <x:c r="A945" s="17" t="str">
        <x:f>"12147500"</x:f>
        <x:v>12147500</x:v>
      </x:c>
      <x:c r="B945" s="13" t="n">
        <x:v>42</x:v>
      </x:c>
      <x:c r="C945" s="22" t="b">
        <x:v>0</x:v>
      </x:c>
      <x:c r="D945" s="11" t="n">
        <x:v>0.45039708430146186</x:v>
      </x:c>
      <x:c r="E945" s="11" t="n">
        <x:v>0.38291324243771685</x:v>
      </x:c>
      <x:c r="F945" s="11" t="n">
        <x:v>0.3060524272436951</x:v>
      </x:c>
      <x:c r="G945" s="11" t="n">
        <x:v>0.06748384186374501</x:v>
      </x:c>
      <x:c r="H945" s="11" t="n">
        <x:v>0.14434465705776678</x:v>
      </x:c>
      <x:c r="I945" s="11" t="n">
        <x:v>0.3333333333333333</x:v>
      </x:c>
      <x:c r="J945" s="13" t="n">
        <x:v>15</x:v>
      </x:c>
      <x:c r="K945" s="22" t="b">
        <x:v>0</x:v>
      </x:c>
      <x:c r="L945" s="13" t="n">
        <x:v>128</x:v>
      </x:c>
      <x:c r="M945" s="13" t="n">
        <x:v>45</x:v>
      </x:c>
    </x:row>
    <x:row r="946" ht="22" customHeight="1">
      <x:c r="A946" s="17" t="str">
        <x:f>"12147600"</x:f>
        <x:v>12147600</x:v>
      </x:c>
      <x:c r="B946" s="13" t="n">
        <x:v>42</x:v>
      </x:c>
      <x:c r="C946" s="22" t="b">
        <x:v>1</x:v>
      </x:c>
      <x:c r="D946" s="11" t="n">
        <x:v>0.3943321780958219</x:v>
      </x:c>
      <x:c r="E946" s="11" t="n">
        <x:v>0.35764061267326486</x:v>
      </x:c>
      <x:c r="F946" s="11" t="n">
        <x:v>0.33927715079042786</x:v>
      </x:c>
      <x:c r="G946" s="11" t="n">
        <x:v>0.036691565422557026</x:v>
      </x:c>
      <x:c r="H946" s="11" t="n">
        <x:v>0.05505502730539402</x:v>
      </x:c>
      <x:c r="I946" s="11" t="n">
        <x:v>0.5</x:v>
      </x:c>
      <x:c r="J946" s="13" t="n">
        <x:v>20</x:v>
      </x:c>
      <x:c r="K946" s="22" t="b">
        <x:v>0</x:v>
      </x:c>
      <x:c r="L946" s="13" t="n">
        <x:v>102</x:v>
      </x:c>
      <x:c r="M946" s="13" t="n">
        <x:v>33</x:v>
      </x:c>
    </x:row>
    <x:row r="947" ht="22" customHeight="1">
      <x:c r="A947" s="17" t="str">
        <x:f>"12147600"</x:f>
        <x:v>12147600</x:v>
      </x:c>
      <x:c r="B947" s="13" t="n">
        <x:v>42</x:v>
      </x:c>
      <x:c r="C947" s="22" t="b">
        <x:v>0</x:v>
      </x:c>
      <x:c r="D947" s="11" t="n">
        <x:v>0.3176512847049815</x:v>
      </x:c>
      <x:c r="E947" s="11" t="n">
        <x:v>0.29031199122216167</x:v>
      </x:c>
      <x:c r="F947" s="11" t="n">
        <x:v>-0.0072465809113229085</x:v>
      </x:c>
      <x:c r="G947" s="11" t="n">
        <x:v>0.027339293482819826</x:v>
      </x:c>
      <x:c r="H947" s="11" t="n">
        <x:v>0.3248978656163044</x:v>
      </x:c>
      <x:c r="I947" s="11" t="n">
        <x:v>1</x:v>
      </x:c>
      <x:c r="J947" s="13" t="n">
        <x:v>20</x:v>
      </x:c>
      <x:c r="K947" s="22" t="b">
        <x:v>1</x:v>
      </x:c>
      <x:c r="L947" s="13" t="n">
        <x:v>112</x:v>
      </x:c>
      <x:c r="M947" s="13" t="n">
        <x:v>37</x:v>
      </x:c>
    </x:row>
    <x:row r="948" ht="22" customHeight="1">
      <x:c r="A948" s="17" t="str">
        <x:f>"12167000"</x:f>
        <x:v>12167000</x:v>
      </x:c>
      <x:c r="B948" s="13" t="n">
        <x:v>42</x:v>
      </x:c>
      <x:c r="C948" s="22" t="b">
        <x:v>1</x:v>
      </x:c>
      <x:c r="D948" s="11" t="n">
        <x:v>0.5186535639748995</x:v>
      </x:c>
      <x:c r="E948" s="11" t="n">
        <x:v>0.3584534012289139</x:v>
      </x:c>
      <x:c r="F948" s="11" t="n">
        <x:v>0.41849751599276663</x:v>
      </x:c>
      <x:c r="G948" s="11" t="n">
        <x:v>0.16020016274598559</x:v>
      </x:c>
      <x:c r="H948" s="11" t="n">
        <x:v>0.10015604798213285</x:v>
      </x:c>
      <x:c r="I948" s="11" t="n">
        <x:v>0.2</x:v>
      </x:c>
      <x:c r="J948" s="13" t="n">
        <x:v>20</x:v>
      </x:c>
      <x:c r="K948" s="22" t="b">
        <x:v>0</x:v>
      </x:c>
      <x:c r="L948" s="13" t="n">
        <x:v>96</x:v>
      </x:c>
      <x:c r="M948" s="13" t="n">
        <x:v>31</x:v>
      </x:c>
    </x:row>
    <x:row r="949" ht="22" customHeight="1">
      <x:c r="A949" s="17" t="str">
        <x:f>"12167000"</x:f>
        <x:v>12167000</x:v>
      </x:c>
      <x:c r="B949" s="13" t="n">
        <x:v>42</x:v>
      </x:c>
      <x:c r="C949" s="22" t="b">
        <x:v>0</x:v>
      </x:c>
      <x:c r="D949" s="11" t="n">
        <x:v>0.48165546546729954</x:v>
      </x:c>
      <x:c r="E949" s="11" t="n">
        <x:v>0.37968530591354954</x:v>
      </x:c>
      <x:c r="F949" s="11" t="n">
        <x:v>0.3059157942432075</x:v>
      </x:c>
      <x:c r="G949" s="11" t="n">
        <x:v>0.10197015955375</x:v>
      </x:c>
      <x:c r="H949" s="11" t="n">
        <x:v>0.17573967122409206</x:v>
      </x:c>
      <x:c r="I949" s="11" t="n">
        <x:v>0.9</x:v>
      </x:c>
      <x:c r="J949" s="13" t="n">
        <x:v>20</x:v>
      </x:c>
      <x:c r="K949" s="22" t="b">
        <x:v>0</x:v>
      </x:c>
      <x:c r="L949" s="13" t="n">
        <x:v>114</x:v>
      </x:c>
      <x:c r="M949" s="13" t="n">
        <x:v>37</x:v>
      </x:c>
    </x:row>
    <x:row r="950" ht="22" customHeight="1">
      <x:c r="A950" s="17" t="str">
        <x:f>"12175500"</x:f>
        <x:v>12175500</x:v>
      </x:c>
      <x:c r="B950" s="13" t="n">
        <x:v>42</x:v>
      </x:c>
      <x:c r="C950" s="22" t="b">
        <x:v>1</x:v>
      </x:c>
      <x:c r="D950" s="11" t="n">
        <x:v>0.866668275040617</x:v>
      </x:c>
      <x:c r="E950" s="11" t="n">
        <x:v>0.8748757208404585</x:v>
      </x:c>
      <x:c r="F950" s="11" t="n">
        <x:v>0.04121384894902991</x:v>
      </x:c>
      <x:c r="G950" s="11" t="n">
        <x:v>-0.00820744579984145</x:v>
      </x:c>
      <x:c r="H950" s="11" t="n">
        <x:v>0.8254544260915871</x:v>
      </x:c>
      <x:c r="I950" s="11" t="n">
        <x:v>1</x:v>
      </x:c>
      <x:c r="J950" s="13" t="n">
        <x:v>8</x:v>
      </x:c>
      <x:c r="K950" s="22" t="b">
        <x:v>1</x:v>
      </x:c>
      <x:c r="L950" s="13" t="n">
        <x:v>95</x:v>
      </x:c>
      <x:c r="M950" s="13" t="n">
        <x:v>31</x:v>
      </x:c>
    </x:row>
    <x:row r="951" ht="22" customHeight="1">
      <x:c r="A951" s="17" t="str">
        <x:f>"12175500"</x:f>
        <x:v>12175500</x:v>
      </x:c>
      <x:c r="B951" s="13" t="n">
        <x:v>42</x:v>
      </x:c>
      <x:c r="C951" s="22" t="b">
        <x:v>0</x:v>
      </x:c>
      <x:c r="D951" s="11" t="n">
        <x:v>0.7720208819008659</x:v>
      </x:c>
      <x:c r="E951" s="11" t="n">
        <x:v>0.7533544734246774</x:v>
      </x:c>
      <x:c r="F951" s="11" t="n">
        <x:v>-0.31371370699674417</x:v>
      </x:c>
      <x:c r="G951" s="11" t="n">
        <x:v>0.0186664084761885</x:v>
      </x:c>
      <x:c r="H951" s="11" t="n">
        <x:v>1.0857345888976102</x:v>
      </x:c>
      <x:c r="I951" s="11" t="n">
        <x:v>0.95</x:v>
      </x:c>
      <x:c r="J951" s="13" t="n">
        <x:v>20</x:v>
      </x:c>
      <x:c r="K951" s="22" t="b">
        <x:v>1</x:v>
      </x:c>
      <x:c r="L951" s="13" t="n">
        <x:v>159</x:v>
      </x:c>
      <x:c r="M951" s="13" t="n">
        <x:v>65</x:v>
      </x:c>
    </x:row>
    <x:row r="952" ht="22" customHeight="1">
      <x:c r="A952" s="17" t="str">
        <x:f>"12178100"</x:f>
        <x:v>12178100</x:v>
      </x:c>
      <x:c r="B952" s="13" t="n">
        <x:v>42</x:v>
      </x:c>
      <x:c r="C952" s="22" t="b">
        <x:v>1</x:v>
      </x:c>
      <x:c r="D952" s="11" t="n">
        <x:v>0.7257465804660646</x:v>
      </x:c>
      <x:c r="E952" s="11" t="n">
        <x:v>0.7030702855341104</x:v>
      </x:c>
      <x:c r="F952" s="11" t="n">
        <x:v>0.43197405393140464</x:v>
      </x:c>
      <x:c r="G952" s="11" t="n">
        <x:v>0.02267629493195411</x:v>
      </x:c>
      <x:c r="H952" s="11" t="n">
        <x:v>0.2937725265346599</x:v>
      </x:c>
      <x:c r="I952" s="11" t="n">
        <x:v>1</x:v>
      </x:c>
      <x:c r="J952" s="13" t="n">
        <x:v>8</x:v>
      </x:c>
      <x:c r="K952" s="22" t="b">
        <x:v>1</x:v>
      </x:c>
      <x:c r="L952" s="13" t="n">
        <x:v>61</x:v>
      </x:c>
      <x:c r="M952" s="13" t="n">
        <x:v>20</x:v>
      </x:c>
    </x:row>
    <x:row r="953" ht="22" customHeight="1">
      <x:c r="A953" s="17" t="str">
        <x:f>"12178100"</x:f>
        <x:v>12178100</x:v>
      </x:c>
      <x:c r="B953" s="13" t="n">
        <x:v>42</x:v>
      </x:c>
      <x:c r="C953" s="22" t="b">
        <x:v>0</x:v>
      </x:c>
      <x:c r="D953" s="11" t="n">
        <x:v>0.5467557817381207</x:v>
      </x:c>
      <x:c r="E953" s="11" t="n">
        <x:v>0.5236962523373174</x:v>
      </x:c>
      <x:c r="F953" s="11" t="n">
        <x:v>-0.3646886067175712</x:v>
      </x:c>
      <x:c r="G953" s="11" t="n">
        <x:v>0.023059529400803247</x:v>
      </x:c>
      <x:c r="H953" s="11" t="n">
        <x:v>0.9114443884556919</x:v>
      </x:c>
      <x:c r="I953" s="11" t="n">
        <x:v>0.7368421052631579</x:v>
      </x:c>
      <x:c r="J953" s="13" t="n">
        <x:v>19</x:v>
      </x:c>
      <x:c r="K953" s="22" t="b">
        <x:v>0</x:v>
      </x:c>
      <x:c r="L953" s="13" t="n">
        <x:v>130</x:v>
      </x:c>
      <x:c r="M953" s="13" t="n">
        <x:v>45</x:v>
      </x:c>
    </x:row>
    <x:row r="954" ht="22" customHeight="1">
      <x:c r="A954" s="17" t="str">
        <x:f>"12186000"</x:f>
        <x:v>12186000</x:v>
      </x:c>
      <x:c r="B954" s="13" t="n">
        <x:v>42</x:v>
      </x:c>
      <x:c r="C954" s="22" t="b">
        <x:v>1</x:v>
      </x:c>
      <x:c r="D954" s="11" t="n">
        <x:v>0.7382343924602641</x:v>
      </x:c>
      <x:c r="E954" s="11" t="n">
        <x:v>0.49748845373524975</x:v>
      </x:c>
      <x:c r="F954" s="11" t="n">
        <x:v>0.6433696062755285</x:v>
      </x:c>
      <x:c r="G954" s="11" t="n">
        <x:v>0.24074593872501437</x:v>
      </x:c>
      <x:c r="H954" s="11" t="n">
        <x:v>0.0948647861847356</x:v>
      </x:c>
      <x:c r="I954" s="11" t="n">
        <x:v>1</x:v>
      </x:c>
      <x:c r="J954" s="13" t="n">
        <x:v>19</x:v>
      </x:c>
      <x:c r="K954" s="22" t="b">
        <x:v>0</x:v>
      </x:c>
      <x:c r="L954" s="13" t="n">
        <x:v>91</x:v>
      </x:c>
      <x:c r="M954" s="13" t="n">
        <x:v>29</x:v>
      </x:c>
    </x:row>
    <x:row r="955" ht="22" customHeight="1">
      <x:c r="A955" s="17" t="str">
        <x:f>"12186000"</x:f>
        <x:v>12186000</x:v>
      </x:c>
      <x:c r="B955" s="13" t="n">
        <x:v>42</x:v>
      </x:c>
      <x:c r="C955" s="22" t="b">
        <x:v>0</x:v>
      </x:c>
      <x:c r="D955" s="11" t="n">
        <x:v>0.4539218803746027</x:v>
      </x:c>
      <x:c r="E955" s="11" t="n">
        <x:v>0.5016280052712075</x:v>
      </x:c>
      <x:c r="F955" s="11" t="n">
        <x:v>-0.030628640138116836</x:v>
      </x:c>
      <x:c r="G955" s="11" t="n">
        <x:v>-0.04770612489660486</x:v>
      </x:c>
      <x:c r="H955" s="11" t="n">
        <x:v>0.4845505205127195</x:v>
      </x:c>
      <x:c r="I955" s="11" t="n">
        <x:v>1</x:v>
      </x:c>
      <x:c r="J955" s="13" t="n">
        <x:v>17</x:v>
      </x:c>
      <x:c r="K955" s="22" t="b">
        <x:v>1</x:v>
      </x:c>
      <x:c r="L955" s="13" t="n">
        <x:v>110</x:v>
      </x:c>
      <x:c r="M955" s="13" t="n">
        <x:v>36</x:v>
      </x:c>
    </x:row>
    <x:row r="956" ht="22" customHeight="1">
      <x:c r="A956" s="17" t="str">
        <x:f>"12189500"</x:f>
        <x:v>12189500</x:v>
      </x:c>
      <x:c r="B956" s="13" t="n">
        <x:v>42</x:v>
      </x:c>
      <x:c r="C956" s="22" t="b">
        <x:v>1</x:v>
      </x:c>
      <x:c r="D956" s="11" t="n">
        <x:v>0.6641885285760193</x:v>
      </x:c>
      <x:c r="E956" s="11" t="n">
        <x:v>0.6190531503727222</x:v>
      </x:c>
      <x:c r="F956" s="11" t="n">
        <x:v>0.23913407463777758</x:v>
      </x:c>
      <x:c r="G956" s="11" t="n">
        <x:v>0.04513537820329705</x:v>
      </x:c>
      <x:c r="H956" s="11" t="n">
        <x:v>0.4250544539382417</x:v>
      </x:c>
      <x:c r="I956" s="11" t="n">
        <x:v>1</x:v>
      </x:c>
      <x:c r="J956" s="13" t="n">
        <x:v>18</x:v>
      </x:c>
      <x:c r="K956" s="22" t="b">
        <x:v>1</x:v>
      </x:c>
      <x:c r="L956" s="13" t="n">
        <x:v>84</x:v>
      </x:c>
      <x:c r="M956" s="13" t="n">
        <x:v>27</x:v>
      </x:c>
    </x:row>
    <x:row r="957" ht="22" customHeight="1">
      <x:c r="A957" s="17" t="str">
        <x:f>"12189500"</x:f>
        <x:v>12189500</x:v>
      </x:c>
      <x:c r="B957" s="13" t="n">
        <x:v>42</x:v>
      </x:c>
      <x:c r="C957" s="22" t="b">
        <x:v>0</x:v>
      </x:c>
      <x:c r="D957" s="11" t="n">
        <x:v>0.4384671498841315</x:v>
      </x:c>
      <x:c r="E957" s="11" t="n">
        <x:v>0.4663699569891008</x:v>
      </x:c>
      <x:c r="F957" s="11" t="n">
        <x:v>-0.3397664068858792</x:v>
      </x:c>
      <x:c r="G957" s="11" t="n">
        <x:v>-0.027902807104969285</x:v>
      </x:c>
      <x:c r="H957" s="11" t="n">
        <x:v>0.7782335567700107</x:v>
      </x:c>
      <x:c r="I957" s="11" t="n">
        <x:v>1</x:v>
      </x:c>
      <x:c r="J957" s="13" t="n">
        <x:v>19</x:v>
      </x:c>
      <x:c r="K957" s="22" t="b">
        <x:v>1</x:v>
      </x:c>
      <x:c r="L957" s="13" t="n">
        <x:v>133</x:v>
      </x:c>
      <x:c r="M957" s="13" t="n">
        <x:v>47</x:v>
      </x:c>
    </x:row>
    <x:row r="958" ht="22" customHeight="1">
      <x:c r="A958" s="17" t="str">
        <x:f>"12358500"</x:f>
        <x:v>12358500</x:v>
      </x:c>
      <x:c r="B958" s="13" t="n">
        <x:v>42</x:v>
      </x:c>
      <x:c r="C958" s="22" t="b">
        <x:v>1</x:v>
      </x:c>
      <x:c r="D958" s="11" t="n">
        <x:v>0.9898116378676491</x:v>
      </x:c>
      <x:c r="E958" s="11" t="n">
        <x:v>0.9351522319020844</x:v>
      </x:c>
      <x:c r="F958" s="11" t="n">
        <x:v>0.9524487757186125</x:v>
      </x:c>
      <x:c r="G958" s="11" t="n">
        <x:v>0.054659405965564734</x:v>
      </x:c>
      <x:c r="H958" s="11" t="n">
        <x:v>0.03736286214903661</x:v>
      </x:c>
      <x:c r="I958" s="11" t="n">
        <x:v>1</x:v>
      </x:c>
      <x:c r="J958" s="13" t="n">
        <x:v>15</x:v>
      </x:c>
      <x:c r="K958" s="22" t="b">
        <x:v>0</x:v>
      </x:c>
      <x:c r="L958" s="13" t="n">
        <x:v>63</x:v>
      </x:c>
      <x:c r="M958" s="13" t="n">
        <x:v>24</x:v>
      </x:c>
    </x:row>
    <x:row r="959" ht="22" customHeight="1">
      <x:c r="A959" s="17" t="str">
        <x:f>"12358500"</x:f>
        <x:v>12358500</x:v>
      </x:c>
      <x:c r="B959" s="13" t="n">
        <x:v>42</x:v>
      </x:c>
      <x:c r="C959" s="22" t="b">
        <x:v>0</x:v>
      </x:c>
      <x:c r="D959" s="11" t="n">
        <x:v>0.8667392916805606</x:v>
      </x:c>
      <x:c r="E959" s="11" t="n">
        <x:v>0.8685400324902959</x:v>
      </x:c>
      <x:c r="F959" s="11" t="n">
        <x:v>0.5312405098127582</x:v>
      </x:c>
      <x:c r="G959" s="11" t="n">
        <x:v>-0.0018007408097352462</x:v>
      </x:c>
      <x:c r="H959" s="11" t="n">
        <x:v>0.33549878186780246</x:v>
      </x:c>
      <x:c r="I959" s="11" t="n">
        <x:v>0.9</x:v>
      </x:c>
      <x:c r="J959" s="13" t="n">
        <x:v>20</x:v>
      </x:c>
      <x:c r="K959" s="22" t="b">
        <x:v>1</x:v>
      </x:c>
      <x:c r="L959" s="13" t="n">
        <x:v>116</x:v>
      </x:c>
      <x:c r="M959" s="13" t="n">
        <x:v>41</x:v>
      </x:c>
    </x:row>
    <x:row r="960" ht="22" customHeight="1">
      <x:c r="A960" s="17" t="str">
        <x:f>"12390700"</x:f>
        <x:v>12390700</x:v>
      </x:c>
      <x:c r="B960" s="13" t="n">
        <x:v>42</x:v>
      </x:c>
      <x:c r="C960" s="22" t="b">
        <x:v>1</x:v>
      </x:c>
      <x:c r="D960" s="11" t="n">
        <x:v>0.9798358280941671</x:v>
      </x:c>
      <x:c r="E960" s="11" t="n">
        <x:v>0.9658449950459388</x:v>
      </x:c>
      <x:c r="F960" s="11" t="n">
        <x:v>0.5193607131308207</x:v>
      </x:c>
      <x:c r="G960" s="11" t="n">
        <x:v>0.013990833048228346</x:v>
      </x:c>
      <x:c r="H960" s="11" t="n">
        <x:v>0.4604751149633465</x:v>
      </x:c>
      <x:c r="I960" s="11" t="n">
        <x:v>1</x:v>
      </x:c>
      <x:c r="J960" s="13" t="n">
        <x:v>14</x:v>
      </x:c>
      <x:c r="K960" s="22" t="b">
        <x:v>1</x:v>
      </x:c>
      <x:c r="L960" s="13" t="n">
        <x:v>73</x:v>
      </x:c>
      <x:c r="M960" s="13" t="n">
        <x:v>24</x:v>
      </x:c>
    </x:row>
    <x:row r="961" ht="22" customHeight="1">
      <x:c r="A961" s="17" t="str">
        <x:f>"12390700"</x:f>
        <x:v>12390700</x:v>
      </x:c>
      <x:c r="B961" s="13" t="n">
        <x:v>42</x:v>
      </x:c>
      <x:c r="C961" s="22" t="b">
        <x:v>0</x:v>
      </x:c>
      <x:c r="D961" s="11" t="n">
        <x:v>0.7444207384226726</x:v>
      </x:c>
      <x:c r="E961" s="11" t="n">
        <x:v>0.7496136936473528</x:v>
      </x:c>
      <x:c r="F961" s="11" t="n">
        <x:v>-0.29893387166905083</x:v>
      </x:c>
      <x:c r="G961" s="11" t="n">
        <x:v>-0.005192955224680107</x:v>
      </x:c>
      <x:c r="H961" s="11" t="n">
        <x:v>1.0433546100917235</x:v>
      </x:c>
      <x:c r="I961" s="11" t="n">
        <x:v>0.85</x:v>
      </x:c>
      <x:c r="J961" s="13" t="n">
        <x:v>20</x:v>
      </x:c>
      <x:c r="K961" s="22" t="b">
        <x:v>1</x:v>
      </x:c>
      <x:c r="L961" s="13" t="n">
        <x:v>131</x:v>
      </x:c>
      <x:c r="M961" s="13" t="n">
        <x:v>46</x:v>
      </x:c>
    </x:row>
    <x:row r="962" ht="22" customHeight="1">
      <x:c r="A962" s="17" t="str">
        <x:f>"12411000"</x:f>
        <x:v>12411000</x:v>
      </x:c>
      <x:c r="B962" s="13" t="n">
        <x:v>42</x:v>
      </x:c>
      <x:c r="C962" s="22" t="b">
        <x:v>1</x:v>
      </x:c>
      <x:c r="D962" s="11" t="n">
        <x:v>0.9449065861721659</x:v>
      </x:c>
      <x:c r="E962" s="11" t="n">
        <x:v>0.937439375618981</x:v>
      </x:c>
      <x:c r="F962" s="11" t="n">
        <x:v>0.6840182810965136</x:v>
      </x:c>
      <x:c r="G962" s="11" t="n">
        <x:v>0.007467210553184889</x:v>
      </x:c>
      <x:c r="H962" s="11" t="n">
        <x:v>0.2608883050756523</x:v>
      </x:c>
      <x:c r="I962" s="11" t="n">
        <x:v>1</x:v>
      </x:c>
      <x:c r="J962" s="13" t="n">
        <x:v>20</x:v>
      </x:c>
      <x:c r="K962" s="22" t="b">
        <x:v>1</x:v>
      </x:c>
      <x:c r="L962" s="13" t="n">
        <x:v>100</x:v>
      </x:c>
      <x:c r="M962" s="13" t="n">
        <x:v>33</x:v>
      </x:c>
    </x:row>
    <x:row r="963" ht="22" customHeight="1">
      <x:c r="A963" s="17" t="str">
        <x:f>"12411000"</x:f>
        <x:v>12411000</x:v>
      </x:c>
      <x:c r="B963" s="13" t="n">
        <x:v>42</x:v>
      </x:c>
      <x:c r="C963" s="22" t="b">
        <x:v>0</x:v>
      </x:c>
      <x:c r="D963" s="11" t="n">
        <x:v>0.6798191668791963</x:v>
      </x:c>
      <x:c r="E963" s="11" t="n">
        <x:v>0.6937356081048743</x:v>
      </x:c>
      <x:c r="F963" s="11" t="n">
        <x:v>0.17277820254758636</x:v>
      </x:c>
      <x:c r="G963" s="11" t="n">
        <x:v>-0.013916441225678033</x:v>
      </x:c>
      <x:c r="H963" s="11" t="n">
        <x:v>0.50704096433161</x:v>
      </x:c>
      <x:c r="I963" s="11" t="n">
        <x:v>0.9</x:v>
      </x:c>
      <x:c r="J963" s="13" t="n">
        <x:v>20</x:v>
      </x:c>
      <x:c r="K963" s="22" t="b">
        <x:v>1</x:v>
      </x:c>
      <x:c r="L963" s="13" t="n">
        <x:v>126</x:v>
      </x:c>
      <x:c r="M963" s="13" t="n">
        <x:v>44</x:v>
      </x:c>
    </x:row>
    <x:row r="964" ht="22" customHeight="1">
      <x:c r="A964" s="17" t="str">
        <x:f>"12414500"</x:f>
        <x:v>12414500</x:v>
      </x:c>
      <x:c r="B964" s="13" t="n">
        <x:v>42</x:v>
      </x:c>
      <x:c r="C964" s="22" t="b">
        <x:v>1</x:v>
      </x:c>
      <x:c r="D964" s="11" t="n">
        <x:v>0.9640613829089996</x:v>
      </x:c>
      <x:c r="E964" s="11" t="n">
        <x:v>0.9519966286630912</x:v>
      </x:c>
      <x:c r="F964" s="11" t="n">
        <x:v>0.754539444639026</x:v>
      </x:c>
      <x:c r="G964" s="11" t="n">
        <x:v>0.01206475424590836</x:v>
      </x:c>
      <x:c r="H964" s="11" t="n">
        <x:v>0.20952193826997356</x:v>
      </x:c>
      <x:c r="I964" s="11" t="n">
        <x:v>1</x:v>
      </x:c>
      <x:c r="J964" s="13" t="n">
        <x:v>9</x:v>
      </x:c>
      <x:c r="K964" s="22" t="b">
        <x:v>1</x:v>
      </x:c>
      <x:c r="L964" s="13" t="n">
        <x:v>89</x:v>
      </x:c>
      <x:c r="M964" s="13" t="n">
        <x:v>28</x:v>
      </x:c>
    </x:row>
    <x:row r="965" ht="22" customHeight="1">
      <x:c r="A965" s="17" t="str">
        <x:f>"12414500"</x:f>
        <x:v>12414500</x:v>
      </x:c>
      <x:c r="B965" s="13" t="n">
        <x:v>42</x:v>
      </x:c>
      <x:c r="C965" s="22" t="b">
        <x:v>0</x:v>
      </x:c>
      <x:c r="D965" s="11" t="n">
        <x:v>0.7697838682179832</x:v>
      </x:c>
      <x:c r="E965" s="11" t="n">
        <x:v>0.7729071177719854</x:v>
      </x:c>
      <x:c r="F965" s="11" t="n">
        <x:v>0.21905984786931387</x:v>
      </x:c>
      <x:c r="G965" s="11" t="n">
        <x:v>-0.0031232495540022276</x:v>
      </x:c>
      <x:c r="H965" s="11" t="n">
        <x:v>0.5507240203486693</x:v>
      </x:c>
      <x:c r="I965" s="11" t="n">
        <x:v>0.9</x:v>
      </x:c>
      <x:c r="J965" s="13" t="n">
        <x:v>20</x:v>
      </x:c>
      <x:c r="K965" s="22" t="b">
        <x:v>1</x:v>
      </x:c>
      <x:c r="L965" s="13" t="n">
        <x:v>156</x:v>
      </x:c>
      <x:c r="M965" s="13" t="n">
        <x:v>63</x:v>
      </x:c>
    </x:row>
    <x:row r="966" ht="22" customHeight="1">
      <x:c r="A966" s="17" t="str">
        <x:f>"12447390"</x:f>
        <x:v>12447390</x:v>
      </x:c>
      <x:c r="B966" s="13" t="n">
        <x:v>42</x:v>
      </x:c>
      <x:c r="C966" s="22" t="b">
        <x:v>1</x:v>
      </x:c>
      <x:c r="D966" s="11" t="n">
        <x:v>0.9861660961500345</x:v>
      </x:c>
      <x:c r="E966" s="11" t="n">
        <x:v>0.9775451607377641</x:v>
      </x:c>
      <x:c r="F966" s="11" t="n">
        <x:v>0.8067407670170844</x:v>
      </x:c>
      <x:c r="G966" s="11" t="n">
        <x:v>0.00862093541227038</x:v>
      </x:c>
      <x:c r="H966" s="11" t="n">
        <x:v>0.17942532913295006</x:v>
      </x:c>
      <x:c r="I966" s="11" t="n">
        <x:v>1</x:v>
      </x:c>
      <x:c r="J966" s="13" t="n">
        <x:v>10</x:v>
      </x:c>
      <x:c r="K966" s="22" t="b">
        <x:v>1</x:v>
      </x:c>
      <x:c r="L966" s="13" t="n">
        <x:v>53</x:v>
      </x:c>
      <x:c r="M966" s="13" t="n">
        <x:v>18</x:v>
      </x:c>
    </x:row>
    <x:row r="967" ht="22" customHeight="1">
      <x:c r="A967" s="17" t="str">
        <x:f>"12447390"</x:f>
        <x:v>12447390</x:v>
      </x:c>
      <x:c r="B967" s="13" t="n">
        <x:v>42</x:v>
      </x:c>
      <x:c r="C967" s="22" t="b">
        <x:v>0</x:v>
      </x:c>
      <x:c r="D967" s="11" t="n">
        <x:v>0.6702073119960185</x:v>
      </x:c>
      <x:c r="E967" s="11" t="n">
        <x:v>0.6984954940106318</x:v>
      </x:c>
      <x:c r="F967" s="11" t="n">
        <x:v>0.4054991334343492</x:v>
      </x:c>
      <x:c r="G967" s="11" t="n">
        <x:v>-0.02828818201461336</x:v>
      </x:c>
      <x:c r="H967" s="11" t="n">
        <x:v>0.2647081785616693</x:v>
      </x:c>
      <x:c r="I967" s="11" t="n">
        <x:v>0.9</x:v>
      </x:c>
      <x:c r="J967" s="13" t="n">
        <x:v>20</x:v>
      </x:c>
      <x:c r="K967" s="22" t="b">
        <x:v>1</x:v>
      </x:c>
      <x:c r="L967" s="13" t="n">
        <x:v>128</x:v>
      </x:c>
      <x:c r="M967" s="13" t="n">
        <x:v>45</x:v>
      </x:c>
    </x:row>
    <x:row r="968" ht="22" customHeight="1">
      <x:c r="A968" s="17" t="str">
        <x:f>"12451000"</x:f>
        <x:v>12451000</x:v>
      </x:c>
      <x:c r="B968" s="13" t="n">
        <x:v>42</x:v>
      </x:c>
      <x:c r="C968" s="22" t="b">
        <x:v>1</x:v>
      </x:c>
      <x:c r="D968" s="11" t="n">
        <x:v>0.9762672047623495</x:v>
      </x:c>
      <x:c r="E968" s="11" t="n">
        <x:v>0.9666452192770719</x:v>
      </x:c>
      <x:c r="F968" s="11" t="n">
        <x:v>0.7324727478098157</x:v>
      </x:c>
      <x:c r="G968" s="11" t="n">
        <x:v>0.009621985485277595</x:v>
      </x:c>
      <x:c r="H968" s="11" t="n">
        <x:v>0.24379445695253377</x:v>
      </x:c>
      <x:c r="I968" s="11" t="n">
        <x:v>1</x:v>
      </x:c>
      <x:c r="J968" s="13" t="n">
        <x:v>16</x:v>
      </x:c>
      <x:c r="K968" s="22" t="b">
        <x:v>1</x:v>
      </x:c>
      <x:c r="L968" s="13" t="n">
        <x:v>65</x:v>
      </x:c>
      <x:c r="M968" s="13" t="n">
        <x:v>22</x:v>
      </x:c>
    </x:row>
    <x:row r="969" ht="22" customHeight="1">
      <x:c r="A969" s="17" t="str">
        <x:f>"12451000"</x:f>
        <x:v>12451000</x:v>
      </x:c>
      <x:c r="B969" s="13" t="n">
        <x:v>42</x:v>
      </x:c>
      <x:c r="C969" s="22" t="b">
        <x:v>0</x:v>
      </x:c>
      <x:c r="D969" s="11" t="n">
        <x:v>0.8502404757726779</x:v>
      </x:c>
      <x:c r="E969" s="11" t="n">
        <x:v>0.8264900730780866</x:v>
      </x:c>
      <x:c r="F969" s="11" t="n">
        <x:v>0.2438374801949893</x:v>
      </x:c>
      <x:c r="G969" s="11" t="n">
        <x:v>0.023750402694591277</x:v>
      </x:c>
      <x:c r="H969" s="11" t="n">
        <x:v>0.6064029955776886</x:v>
      </x:c>
      <x:c r="I969" s="11" t="n">
        <x:v>0.5</x:v>
      </x:c>
      <x:c r="J969" s="13" t="n">
        <x:v>18</x:v>
      </x:c>
      <x:c r="K969" s="22" t="b">
        <x:v>0</x:v>
      </x:c>
      <x:c r="L969" s="13" t="n">
        <x:v>130</x:v>
      </x:c>
      <x:c r="M969" s="13" t="n">
        <x:v>45</x:v>
      </x:c>
    </x:row>
    <x:row r="970" ht="22" customHeight="1">
      <x:c r="A970" s="17" t="str">
        <x:f>"12488500"</x:f>
        <x:v>12488500</x:v>
      </x:c>
      <x:c r="B970" s="13" t="n">
        <x:v>42</x:v>
      </x:c>
      <x:c r="C970" s="22" t="b">
        <x:v>1</x:v>
      </x:c>
      <x:c r="D970" s="11" t="n">
        <x:v>0.9542739781557966</x:v>
      </x:c>
      <x:c r="E970" s="11" t="n">
        <x:v>0.9166242390903482</x:v>
      </x:c>
      <x:c r="F970" s="11" t="n">
        <x:v>0.4792349743909813</x:v>
      </x:c>
      <x:c r="G970" s="11" t="n">
        <x:v>0.03764973906544844</x:v>
      </x:c>
      <x:c r="H970" s="11" t="n">
        <x:v>0.47503900376481534</x:v>
      </x:c>
      <x:c r="I970" s="11" t="n">
        <x:v>1</x:v>
      </x:c>
      <x:c r="J970" s="13" t="n">
        <x:v>18</x:v>
      </x:c>
      <x:c r="K970" s="22" t="b">
        <x:v>1</x:v>
      </x:c>
      <x:c r="L970" s="13" t="n">
        <x:v>112</x:v>
      </x:c>
      <x:c r="M970" s="13" t="n">
        <x:v>37</x:v>
      </x:c>
    </x:row>
    <x:row r="971" ht="22" customHeight="1">
      <x:c r="A971" s="17" t="str">
        <x:f>"12488500"</x:f>
        <x:v>12488500</x:v>
      </x:c>
      <x:c r="B971" s="13" t="n">
        <x:v>42</x:v>
      </x:c>
      <x:c r="C971" s="22" t="b">
        <x:v>0</x:v>
      </x:c>
      <x:c r="D971" s="11" t="n">
        <x:v>0.6818003375451562</x:v>
      </x:c>
      <x:c r="E971" s="11" t="n">
        <x:v>0.7395753871459783</x:v>
      </x:c>
      <x:c r="F971" s="11" t="n">
        <x:v>-0.5870650870989995</x:v>
      </x:c>
      <x:c r="G971" s="11" t="n">
        <x:v>-0.057775049600822026</x:v>
      </x:c>
      <x:c r="H971" s="11" t="n">
        <x:v>1.2688654246441557</x:v>
      </x:c>
      <x:c r="I971" s="11" t="n">
        <x:v>0.95</x:v>
      </x:c>
      <x:c r="J971" s="13" t="n">
        <x:v>20</x:v>
      </x:c>
      <x:c r="K971" s="22" t="b">
        <x:v>1</x:v>
      </x:c>
      <x:c r="L971" s="13" t="n">
        <x:v>142</x:v>
      </x:c>
      <x:c r="M971" s="13" t="n">
        <x:v>53</x:v>
      </x:c>
    </x:row>
    <x:row r="972" ht="22" customHeight="1">
      <x:c r="A972" s="17" t="str">
        <x:f>"13011500"</x:f>
        <x:v>13011500</x:v>
      </x:c>
      <x:c r="B972" s="13" t="n">
        <x:v>42</x:v>
      </x:c>
      <x:c r="C972" s="22" t="b">
        <x:v>1</x:v>
      </x:c>
      <x:c r="D972" s="11" t="n">
        <x:v>0.9852548633098944</x:v>
      </x:c>
      <x:c r="E972" s="11" t="n">
        <x:v>0.9808006763782233</x:v>
      </x:c>
      <x:c r="F972" s="11" t="n">
        <x:v>0.8663477463977244</x:v>
      </x:c>
      <x:c r="G972" s="11" t="n">
        <x:v>0.0044541869316711</x:v>
      </x:c>
      <x:c r="H972" s="11" t="n">
        <x:v>0.11890711691217004</x:v>
      </x:c>
      <x:c r="I972" s="11" t="n">
        <x:v>1</x:v>
      </x:c>
      <x:c r="J972" s="13" t="n">
        <x:v>17</x:v>
      </x:c>
      <x:c r="K972" s="22" t="b">
        <x:v>1</x:v>
      </x:c>
      <x:c r="L972" s="13" t="n">
        <x:v>45</x:v>
      </x:c>
      <x:c r="M972" s="13" t="n">
        <x:v>16</x:v>
      </x:c>
    </x:row>
    <x:row r="973" ht="22" customHeight="1">
      <x:c r="A973" s="17" t="str">
        <x:f>"13011500"</x:f>
        <x:v>13011500</x:v>
      </x:c>
      <x:c r="B973" s="13" t="n">
        <x:v>42</x:v>
      </x:c>
      <x:c r="C973" s="22" t="b">
        <x:v>0</x:v>
      </x:c>
      <x:c r="D973" s="11" t="n">
        <x:v>0.7429384058443913</x:v>
      </x:c>
      <x:c r="E973" s="11" t="n">
        <x:v>0.7726352258519844</x:v>
      </x:c>
      <x:c r="F973" s="11" t="n">
        <x:v>0.12439551892487444</x:v>
      </x:c>
      <x:c r="G973" s="11" t="n">
        <x:v>-0.029696820007593105</x:v>
      </x:c>
      <x:c r="H973" s="11" t="n">
        <x:v>0.6185428869195169</x:v>
      </x:c>
      <x:c r="I973" s="11" t="n">
        <x:v>1</x:v>
      </x:c>
      <x:c r="J973" s="13" t="n">
        <x:v>14</x:v>
      </x:c>
      <x:c r="K973" s="22" t="b">
        <x:v>1</x:v>
      </x:c>
      <x:c r="L973" s="13" t="n">
        <x:v>145</x:v>
      </x:c>
      <x:c r="M973" s="13" t="n">
        <x:v>54</x:v>
      </x:c>
    </x:row>
    <x:row r="974" ht="22" customHeight="1">
      <x:c r="A974" s="17" t="str">
        <x:f>"13011900"</x:f>
        <x:v>13011900</x:v>
      </x:c>
      <x:c r="B974" s="13" t="n">
        <x:v>42</x:v>
      </x:c>
      <x:c r="C974" s="22" t="b">
        <x:v>1</x:v>
      </x:c>
      <x:c r="D974" s="11" t="n">
        <x:v>0.9932557911441442</x:v>
      </x:c>
      <x:c r="E974" s="11" t="n">
        <x:v>0.9826370370545024</x:v>
      </x:c>
      <x:c r="F974" s="11" t="n">
        <x:v>0.8477036311007662</x:v>
      </x:c>
      <x:c r="G974" s="11" t="n">
        <x:v>0.010618754089641746</x:v>
      </x:c>
      <x:c r="H974" s="11" t="n">
        <x:v>0.145552160043378</x:v>
      </x:c>
      <x:c r="I974" s="11" t="n">
        <x:v>1</x:v>
      </x:c>
      <x:c r="J974" s="13" t="n">
        <x:v>15</x:v>
      </x:c>
      <x:c r="K974" s="22" t="b">
        <x:v>1</x:v>
      </x:c>
      <x:c r="L974" s="13" t="n">
        <x:v>64</x:v>
      </x:c>
      <x:c r="M974" s="13" t="n">
        <x:v>21</x:v>
      </x:c>
    </x:row>
    <x:row r="975" ht="22" customHeight="1">
      <x:c r="A975" s="17" t="str">
        <x:f>"13011900"</x:f>
        <x:v>13011900</x:v>
      </x:c>
      <x:c r="B975" s="13" t="n">
        <x:v>42</x:v>
      </x:c>
      <x:c r="C975" s="22" t="b">
        <x:v>0</x:v>
      </x:c>
      <x:c r="D975" s="11" t="n">
        <x:v>0.833389749737662</x:v>
      </x:c>
      <x:c r="E975" s="11" t="n">
        <x:v>0.8095980837603723</x:v>
      </x:c>
      <x:c r="F975" s="11" t="n">
        <x:v>0.6547427296636087</x:v>
      </x:c>
      <x:c r="G975" s="11" t="n">
        <x:v>0.023791665977289655</x:v>
      </x:c>
      <x:c r="H975" s="11" t="n">
        <x:v>0.1786470200740533</x:v>
      </x:c>
      <x:c r="I975" s="11" t="n">
        <x:v>0.65</x:v>
      </x:c>
      <x:c r="J975" s="13" t="n">
        <x:v>20</x:v>
      </x:c>
      <x:c r="K975" s="22" t="b">
        <x:v>0</x:v>
      </x:c>
      <x:c r="L975" s="13" t="n">
        <x:v>121</x:v>
      </x:c>
      <x:c r="M975" s="13" t="n">
        <x:v>41</x:v>
      </x:c>
    </x:row>
    <x:row r="976" ht="22" customHeight="1">
      <x:c r="A976" s="17" t="str">
        <x:f>"13018300"</x:f>
        <x:v>13018300</x:v>
      </x:c>
      <x:c r="B976" s="13" t="n">
        <x:v>42</x:v>
      </x:c>
      <x:c r="C976" s="22" t="b">
        <x:v>1</x:v>
      </x:c>
      <x:c r="D976" s="11" t="n">
        <x:v>0.9930568675479492</x:v>
      </x:c>
      <x:c r="E976" s="11" t="n">
        <x:v>0.9818221739360875</x:v>
      </x:c>
      <x:c r="F976" s="11" t="n">
        <x:v>0.7803193648737499</x:v>
      </x:c>
      <x:c r="G976" s="11" t="n">
        <x:v>0.01123469361186169</x:v>
      </x:c>
      <x:c r="H976" s="11" t="n">
        <x:v>0.21273750267419933</x:v>
      </x:c>
      <x:c r="I976" s="11"/>
      <x:c r="J976" s="13" t="n">
        <x:v>0</x:v>
      </x:c>
      <x:c r="K976" s="22" t="b">
        <x:v>0</x:v>
      </x:c>
      <x:c r="L976" s="13" t="n">
        <x:v>53</x:v>
      </x:c>
      <x:c r="M976" s="13" t="n">
        <x:v>18</x:v>
      </x:c>
    </x:row>
    <x:row r="977" ht="22" customHeight="1">
      <x:c r="A977" s="17" t="str">
        <x:f>"13018300"</x:f>
        <x:v>13018300</x:v>
      </x:c>
      <x:c r="B977" s="13" t="n">
        <x:v>42</x:v>
      </x:c>
      <x:c r="C977" s="22" t="b">
        <x:v>0</x:v>
      </x:c>
      <x:c r="D977" s="11" t="n">
        <x:v>0.7008158247630929</x:v>
      </x:c>
      <x:c r="E977" s="11" t="n">
        <x:v>0.6740464102353451</x:v>
      </x:c>
      <x:c r="F977" s="11" t="n">
        <x:v>0.48024326981536236</x:v>
      </x:c>
      <x:c r="G977" s="11" t="n">
        <x:v>0.026769414527747837</x:v>
      </x:c>
      <x:c r="H977" s="11" t="n">
        <x:v>0.22057255494773054</x:v>
      </x:c>
      <x:c r="I977" s="11" t="n">
        <x:v>1</x:v>
      </x:c>
      <x:c r="J977" s="13" t="n">
        <x:v>20</x:v>
      </x:c>
      <x:c r="K977" s="22" t="b">
        <x:v>1</x:v>
      </x:c>
      <x:c r="L977" s="13" t="n">
        <x:v>118</x:v>
      </x:c>
      <x:c r="M977" s="13" t="n">
        <x:v>41</x:v>
      </x:c>
    </x:row>
    <x:row r="978" ht="22" customHeight="1">
      <x:c r="A978" s="17" t="str">
        <x:f>"13023000"</x:f>
        <x:v>13023000</x:v>
      </x:c>
      <x:c r="B978" s="13" t="n">
        <x:v>42</x:v>
      </x:c>
      <x:c r="C978" s="22" t="b">
        <x:v>1</x:v>
      </x:c>
      <x:c r="D978" s="11" t="n">
        <x:v>0.9942919751712039</x:v>
      </x:c>
      <x:c r="E978" s="11" t="n">
        <x:v>0.9843894784201863</x:v>
      </x:c>
      <x:c r="F978" s="11" t="n">
        <x:v>0.796793440264304</x:v>
      </x:c>
      <x:c r="G978" s="11" t="n">
        <x:v>0.00990249675101762</x:v>
      </x:c>
      <x:c r="H978" s="11" t="n">
        <x:v>0.19749853490689995</x:v>
      </x:c>
      <x:c r="I978" s="11"/>
      <x:c r="J978" s="13" t="n">
        <x:v>0</x:v>
      </x:c>
      <x:c r="K978" s="22" t="b">
        <x:v>0</x:v>
      </x:c>
      <x:c r="L978" s="13" t="n">
        <x:v>43</x:v>
      </x:c>
      <x:c r="M978" s="13" t="n">
        <x:v>16</x:v>
      </x:c>
    </x:row>
    <x:row r="979" ht="22" customHeight="1">
      <x:c r="A979" s="17" t="str">
        <x:f>"13023000"</x:f>
        <x:v>13023000</x:v>
      </x:c>
      <x:c r="B979" s="13" t="n">
        <x:v>42</x:v>
      </x:c>
      <x:c r="C979" s="22" t="b">
        <x:v>0</x:v>
      </x:c>
      <x:c r="D979" s="11" t="n">
        <x:v>0.7610220422331553</x:v>
      </x:c>
      <x:c r="E979" s="11" t="n">
        <x:v>0.7643319279565759</x:v>
      </x:c>
      <x:c r="F979" s="11" t="n">
        <x:v>0.5068467261619578</x:v>
      </x:c>
      <x:c r="G979" s="11" t="n">
        <x:v>-0.0033098857234206136</x:v>
      </x:c>
      <x:c r="H979" s="11" t="n">
        <x:v>0.2541753160711975</x:v>
      </x:c>
      <x:c r="I979" s="11" t="n">
        <x:v>1</x:v>
      </x:c>
      <x:c r="J979" s="13" t="n">
        <x:v>18</x:v>
      </x:c>
      <x:c r="K979" s="22" t="b">
        <x:v>1</x:v>
      </x:c>
      <x:c r="L979" s="13" t="n">
        <x:v>93</x:v>
      </x:c>
      <x:c r="M979" s="13" t="n">
        <x:v>30</x:v>
      </x:c>
    </x:row>
    <x:row r="980" ht="22" customHeight="1">
      <x:c r="A980" s="17" t="str">
        <x:f>"13083000"</x:f>
        <x:v>13083000</x:v>
      </x:c>
      <x:c r="B980" s="13" t="n">
        <x:v>42</x:v>
      </x:c>
      <x:c r="C980" s="22" t="b">
        <x:v>1</x:v>
      </x:c>
      <x:c r="D980" s="11" t="n">
        <x:v>0.9609578567371528</x:v>
      </x:c>
      <x:c r="E980" s="11" t="n">
        <x:v>0.9028862977725972</x:v>
      </x:c>
      <x:c r="F980" s="11" t="n">
        <x:v>0.8637253036506106</x:v>
      </x:c>
      <x:c r="G980" s="11" t="n">
        <x:v>0.058071558964555625</x:v>
      </x:c>
      <x:c r="H980" s="11" t="n">
        <x:v>0.09723255308654222</x:v>
      </x:c>
      <x:c r="I980" s="11" t="n">
        <x:v>1</x:v>
      </x:c>
      <x:c r="J980" s="13" t="n">
        <x:v>9</x:v>
      </x:c>
      <x:c r="K980" s="22" t="b">
        <x:v>0</x:v>
      </x:c>
      <x:c r="L980" s="13" t="n">
        <x:v>60</x:v>
      </x:c>
      <x:c r="M980" s="13" t="n">
        <x:v>27</x:v>
      </x:c>
    </x:row>
    <x:row r="981" ht="22" customHeight="1">
      <x:c r="A981" s="17" t="str">
        <x:f>"13083000"</x:f>
        <x:v>13083000</x:v>
      </x:c>
      <x:c r="B981" s="13" t="n">
        <x:v>42</x:v>
      </x:c>
      <x:c r="C981" s="22" t="b">
        <x:v>0</x:v>
      </x:c>
      <x:c r="D981" s="11" t="n">
        <x:v>0.5387947606460166</x:v>
      </x:c>
      <x:c r="E981" s="11" t="n">
        <x:v>0.43733345403655366</x:v>
      </x:c>
      <x:c r="F981" s="11" t="n">
        <x:v>-3.537853069354531</x:v>
      </x:c>
      <x:c r="G981" s="11" t="n">
        <x:v>0.10146130660946295</x:v>
      </x:c>
      <x:c r="H981" s="11" t="n">
        <x:v>4.076647830000548</x:v>
      </x:c>
      <x:c r="I981" s="11" t="n">
        <x:v>0.75</x:v>
      </x:c>
      <x:c r="J981" s="13" t="n">
        <x:v>20</x:v>
      </x:c>
      <x:c r="K981" s="22" t="b">
        <x:v>0</x:v>
      </x:c>
      <x:c r="L981" s="13" t="n">
        <x:v>133</x:v>
      </x:c>
      <x:c r="M981" s="13" t="n">
        <x:v>47</x:v>
      </x:c>
    </x:row>
    <x:row r="982" ht="22" customHeight="1">
      <x:c r="A982" s="17" t="str">
        <x:f>"13161500"</x:f>
        <x:v>13161500</x:v>
      </x:c>
      <x:c r="B982" s="13" t="n">
        <x:v>42</x:v>
      </x:c>
      <x:c r="C982" s="22" t="b">
        <x:v>1</x:v>
      </x:c>
      <x:c r="D982" s="11" t="n">
        <x:v>0.9871782604726946</x:v>
      </x:c>
      <x:c r="E982" s="11" t="n">
        <x:v>0.9720114706443945</x:v>
      </x:c>
      <x:c r="F982" s="11" t="n">
        <x:v>0.5876788420195713</x:v>
      </x:c>
      <x:c r="G982" s="11" t="n">
        <x:v>0.015166789828300109</x:v>
      </x:c>
      <x:c r="H982" s="11" t="n">
        <x:v>0.3994994184531233</x:v>
      </x:c>
      <x:c r="I982" s="11" t="n">
        <x:v>1</x:v>
      </x:c>
      <x:c r="J982" s="13" t="n">
        <x:v>17</x:v>
      </x:c>
      <x:c r="K982" s="22" t="b">
        <x:v>1</x:v>
      </x:c>
      <x:c r="L982" s="13" t="n">
        <x:v>85</x:v>
      </x:c>
      <x:c r="M982" s="13" t="n">
        <x:v>27</x:v>
      </x:c>
    </x:row>
    <x:row r="983" ht="22" customHeight="1">
      <x:c r="A983" s="17" t="str">
        <x:f>"13161500"</x:f>
        <x:v>13161500</x:v>
      </x:c>
      <x:c r="B983" s="13" t="n">
        <x:v>42</x:v>
      </x:c>
      <x:c r="C983" s="22" t="b">
        <x:v>0</x:v>
      </x:c>
      <x:c r="D983" s="11" t="n">
        <x:v>0.6345174400214894</x:v>
      </x:c>
      <x:c r="E983" s="11" t="n">
        <x:v>0.6698448268075357</x:v>
      </x:c>
      <x:c r="F983" s="11" t="n">
        <x:v>0.32916922729092823</x:v>
      </x:c>
      <x:c r="G983" s="11" t="n">
        <x:v>-0.0353273867860463</x:v>
      </x:c>
      <x:c r="H983" s="11" t="n">
        <x:v>0.3053482127305611</x:v>
      </x:c>
      <x:c r="I983" s="11" t="n">
        <x:v>1</x:v>
      </x:c>
      <x:c r="J983" s="13" t="n">
        <x:v>20</x:v>
      </x:c>
      <x:c r="K983" s="22" t="b">
        <x:v>1</x:v>
      </x:c>
      <x:c r="L983" s="13" t="n">
        <x:v>126</x:v>
      </x:c>
      <x:c r="M983" s="13" t="n">
        <x:v>44</x:v>
      </x:c>
    </x:row>
    <x:row r="984" ht="22" customHeight="1">
      <x:c r="A984" s="17" t="str">
        <x:f>"13235000"</x:f>
        <x:v>13235000</x:v>
      </x:c>
      <x:c r="B984" s="13" t="n">
        <x:v>42</x:v>
      </x:c>
      <x:c r="C984" s="22" t="b">
        <x:v>1</x:v>
      </x:c>
      <x:c r="D984" s="11" t="n">
        <x:v>0.9823357396654958</x:v>
      </x:c>
      <x:c r="E984" s="11" t="n">
        <x:v>0.9730043305015281</x:v>
      </x:c>
      <x:c r="F984" s="11" t="n">
        <x:v>0.8881423839090852</x:v>
      </x:c>
      <x:c r="G984" s="11" t="n">
        <x:v>0.009331409163967685</x:v>
      </x:c>
      <x:c r="H984" s="11" t="n">
        <x:v>0.09419335575641063</x:v>
      </x:c>
      <x:c r="I984" s="11"/>
      <x:c r="J984" s="13" t="n">
        <x:v>0</x:v>
      </x:c>
      <x:c r="K984" s="22" t="b">
        <x:v>0</x:v>
      </x:c>
      <x:c r="L984" s="13" t="n">
        <x:v>42</x:v>
      </x:c>
      <x:c r="M984" s="13" t="n">
        <x:v>16</x:v>
      </x:c>
    </x:row>
    <x:row r="985" ht="22" customHeight="1">
      <x:c r="A985" s="17" t="str">
        <x:f>"13235000"</x:f>
        <x:v>13235000</x:v>
      </x:c>
      <x:c r="B985" s="13" t="n">
        <x:v>42</x:v>
      </x:c>
      <x:c r="C985" s="22" t="b">
        <x:v>0</x:v>
      </x:c>
      <x:c r="D985" s="11" t="n">
        <x:v>0.7875084731424451</x:v>
      </x:c>
      <x:c r="E985" s="11" t="n">
        <x:v>0.780913201508294</x:v>
      </x:c>
      <x:c r="F985" s="11" t="n">
        <x:v>0.6010404598418964</x:v>
      </x:c>
      <x:c r="G985" s="11" t="n">
        <x:v>0.006595271634151079</x:v>
      </x:c>
      <x:c r="H985" s="11" t="n">
        <x:v>0.18646801330054874</x:v>
      </x:c>
      <x:c r="I985" s="11" t="n">
        <x:v>0.9</x:v>
      </x:c>
      <x:c r="J985" s="13" t="n">
        <x:v>20</x:v>
      </x:c>
      <x:c r="K985" s="22" t="b">
        <x:v>1</x:v>
      </x:c>
      <x:c r="L985" s="13" t="n">
        <x:v>114</x:v>
      </x:c>
      <x:c r="M985" s="13" t="n">
        <x:v>37</x:v>
      </x:c>
    </x:row>
    <x:row r="986" ht="22" customHeight="1">
      <x:c r="A986" s="17" t="str">
        <x:f>"13240000"</x:f>
        <x:v>13240000</x:v>
      </x:c>
      <x:c r="B986" s="13" t="n">
        <x:v>42</x:v>
      </x:c>
      <x:c r="C986" s="22" t="b">
        <x:v>1</x:v>
      </x:c>
      <x:c r="D986" s="11" t="n">
        <x:v>0.902761095217826</x:v>
      </x:c>
      <x:c r="E986" s="11" t="n">
        <x:v>0.8976253142435406</x:v>
      </x:c>
      <x:c r="F986" s="11" t="n">
        <x:v>0.8658602553389737</x:v>
      </x:c>
      <x:c r="G986" s="11" t="n">
        <x:v>0.005135780974285353</x:v>
      </x:c>
      <x:c r="H986" s="11" t="n">
        <x:v>0.03690083987885229</x:v>
      </x:c>
      <x:c r="I986" s="11" t="n">
        <x:v>1</x:v>
      </x:c>
      <x:c r="J986" s="13" t="n">
        <x:v>14</x:v>
      </x:c>
      <x:c r="K986" s="22" t="b">
        <x:v>1</x:v>
      </x:c>
      <x:c r="L986" s="13" t="n">
        <x:v>77</x:v>
      </x:c>
      <x:c r="M986" s="13" t="n">
        <x:v>25</x:v>
      </x:c>
    </x:row>
    <x:row r="987" ht="22" customHeight="1">
      <x:c r="A987" s="17" t="str">
        <x:f>"13240000"</x:f>
        <x:v>13240000</x:v>
      </x:c>
      <x:c r="B987" s="13" t="n">
        <x:v>42</x:v>
      </x:c>
      <x:c r="C987" s="22" t="b">
        <x:v>0</x:v>
      </x:c>
      <x:c r="D987" s="11" t="n">
        <x:v>0.6884640348994433</x:v>
      </x:c>
      <x:c r="E987" s="11" t="n">
        <x:v>0.6780738151411037</x:v>
      </x:c>
      <x:c r="F987" s="11" t="n">
        <x:v>0.49501047369374285</x:v>
      </x:c>
      <x:c r="G987" s="11" t="n">
        <x:v>0.010390219758339647</x:v>
      </x:c>
      <x:c r="H987" s="11" t="n">
        <x:v>0.19345356120570045</x:v>
      </x:c>
      <x:c r="I987" s="11" t="n">
        <x:v>0.65</x:v>
      </x:c>
      <x:c r="J987" s="13" t="n">
        <x:v>20</x:v>
      </x:c>
      <x:c r="K987" s="22" t="b">
        <x:v>0</x:v>
      </x:c>
      <x:c r="L987" s="13" t="n">
        <x:v>175</x:v>
      </x:c>
      <x:c r="M987" s="13" t="n">
        <x:v>83</x:v>
      </x:c>
    </x:row>
    <x:row r="988" ht="22" customHeight="1">
      <x:c r="A988" s="17" t="str">
        <x:f>"13313000"</x:f>
        <x:v>13313000</x:v>
      </x:c>
      <x:c r="B988" s="13" t="n">
        <x:v>42</x:v>
      </x:c>
      <x:c r="C988" s="22" t="b">
        <x:v>1</x:v>
      </x:c>
      <x:c r="D988" s="11" t="n">
        <x:v>0.9838293633108267</x:v>
      </x:c>
      <x:c r="E988" s="11" t="n">
        <x:v>0.9741381738844034</x:v>
      </x:c>
      <x:c r="F988" s="11" t="n">
        <x:v>0.9327502918924734</x:v>
      </x:c>
      <x:c r="G988" s="11" t="n">
        <x:v>0.00969118942642333</x:v>
      </x:c>
      <x:c r="H988" s="11" t="n">
        <x:v>0.05107907141835333</x:v>
      </x:c>
      <x:c r="I988" s="11"/>
      <x:c r="J988" s="13" t="n">
        <x:v>0</x:v>
      </x:c>
      <x:c r="K988" s="22" t="b">
        <x:v>0</x:v>
      </x:c>
      <x:c r="L988" s="13" t="n">
        <x:v>46</x:v>
      </x:c>
      <x:c r="M988" s="13" t="n">
        <x:v>17</x:v>
      </x:c>
    </x:row>
    <x:row r="989" ht="22" customHeight="1">
      <x:c r="A989" s="17" t="str">
        <x:f>"13313000"</x:f>
        <x:v>13313000</x:v>
      </x:c>
      <x:c r="B989" s="13" t="n">
        <x:v>42</x:v>
      </x:c>
      <x:c r="C989" s="22" t="b">
        <x:v>0</x:v>
      </x:c>
      <x:c r="D989" s="11" t="n">
        <x:v>0.8116598600886116</x:v>
      </x:c>
      <x:c r="E989" s="11" t="n">
        <x:v>0.808525830537179</x:v>
      </x:c>
      <x:c r="F989" s="11" t="n">
        <x:v>0.597588156195713</x:v>
      </x:c>
      <x:c r="G989" s="11" t="n">
        <x:v>0.0031340295514326044</x:v>
      </x:c>
      <x:c r="H989" s="11" t="n">
        <x:v>0.21407170389289853</x:v>
      </x:c>
      <x:c r="I989" s="11" t="n">
        <x:v>1</x:v>
      </x:c>
      <x:c r="J989" s="13" t="n">
        <x:v>20</x:v>
      </x:c>
      <x:c r="K989" s="22" t="b">
        <x:v>1</x:v>
      </x:c>
      <x:c r="L989" s="13" t="n">
        <x:v>134</x:v>
      </x:c>
      <x:c r="M989" s="13" t="n">
        <x:v>50</x:v>
      </x:c>
    </x:row>
    <x:row r="990" ht="22" customHeight="1">
      <x:c r="A990" s="17" t="str">
        <x:f>"13331500"</x:f>
        <x:v>13331500</x:v>
      </x:c>
      <x:c r="B990" s="13" t="n">
        <x:v>42</x:v>
      </x:c>
      <x:c r="C990" s="22" t="b">
        <x:v>1</x:v>
      </x:c>
      <x:c r="D990" s="11" t="n">
        <x:v>0.9722530972233868</x:v>
      </x:c>
      <x:c r="E990" s="11" t="n">
        <x:v>0.9636946689345807</x:v>
      </x:c>
      <x:c r="F990" s="11" t="n">
        <x:v>0.893082228889266</x:v>
      </x:c>
      <x:c r="G990" s="11" t="n">
        <x:v>0.008558428288806152</x:v>
      </x:c>
      <x:c r="H990" s="11" t="n">
        <x:v>0.07917086833412079</x:v>
      </x:c>
      <x:c r="I990" s="11"/>
      <x:c r="J990" s="13" t="n">
        <x:v>0</x:v>
      </x:c>
      <x:c r="K990" s="22" t="b">
        <x:v>0</x:v>
      </x:c>
      <x:c r="L990" s="13" t="n">
        <x:v>54</x:v>
      </x:c>
      <x:c r="M990" s="13" t="n">
        <x:v>18</x:v>
      </x:c>
    </x:row>
    <x:row r="991" ht="22" customHeight="1">
      <x:c r="A991" s="17" t="str">
        <x:f>"13331500"</x:f>
        <x:v>13331500</x:v>
      </x:c>
      <x:c r="B991" s="13" t="n">
        <x:v>42</x:v>
      </x:c>
      <x:c r="C991" s="22" t="b">
        <x:v>0</x:v>
      </x:c>
      <x:c r="D991" s="11" t="n">
        <x:v>0.7399575030055964</x:v>
      </x:c>
      <x:c r="E991" s="11" t="n">
        <x:v>0.7751346936315855</x:v>
      </x:c>
      <x:c r="F991" s="11" t="n">
        <x:v>-0.06792291283186391</x:v>
      </x:c>
      <x:c r="G991" s="11" t="n">
        <x:v>-0.03517719062598912</x:v>
      </x:c>
      <x:c r="H991" s="11" t="n">
        <x:v>0.8078804158374603</x:v>
      </x:c>
      <x:c r="I991" s="11" t="n">
        <x:v>0.65</x:v>
      </x:c>
      <x:c r="J991" s="13" t="n">
        <x:v>20</x:v>
      </x:c>
      <x:c r="K991" s="22" t="b">
        <x:v>0</x:v>
      </x:c>
      <x:c r="L991" s="13" t="n">
        <x:v>129</x:v>
      </x:c>
      <x:c r="M991" s="13" t="n">
        <x:v>45</x:v>
      </x:c>
    </x:row>
    <x:row r="992" ht="22" customHeight="1">
      <x:c r="A992" s="17" t="str">
        <x:f>"13337000"</x:f>
        <x:v>13337000</x:v>
      </x:c>
      <x:c r="B992" s="13" t="n">
        <x:v>42</x:v>
      </x:c>
      <x:c r="C992" s="22" t="b">
        <x:v>1</x:v>
      </x:c>
      <x:c r="D992" s="11" t="n">
        <x:v>0.9871050245646382</x:v>
      </x:c>
      <x:c r="E992" s="11" t="n">
        <x:v>0.9766253947482532</x:v>
      </x:c>
      <x:c r="F992" s="11" t="n">
        <x:v>0.8796395461860299</x:v>
      </x:c>
      <x:c r="G992" s="11" t="n">
        <x:v>0.010479629816385061</x:v>
      </x:c>
      <x:c r="H992" s="11" t="n">
        <x:v>0.10746547837860831</x:v>
      </x:c>
      <x:c r="I992" s="11" t="n">
        <x:v>1</x:v>
      </x:c>
      <x:c r="J992" s="13" t="n">
        <x:v>12</x:v>
      </x:c>
      <x:c r="K992" s="22" t="b">
        <x:v>1</x:v>
      </x:c>
      <x:c r="L992" s="13" t="n">
        <x:v>63</x:v>
      </x:c>
      <x:c r="M992" s="13" t="n">
        <x:v>21</x:v>
      </x:c>
    </x:row>
    <x:row r="993" ht="22" customHeight="1">
      <x:c r="A993" s="17" t="str">
        <x:f>"13337000"</x:f>
        <x:v>13337000</x:v>
      </x:c>
      <x:c r="B993" s="13" t="n">
        <x:v>42</x:v>
      </x:c>
      <x:c r="C993" s="22" t="b">
        <x:v>0</x:v>
      </x:c>
      <x:c r="D993" s="11" t="n">
        <x:v>0.846041192763966</x:v>
      </x:c>
      <x:c r="E993" s="11" t="n">
        <x:v>0.8610600722427726</x:v>
      </x:c>
      <x:c r="F993" s="11" t="n">
        <x:v>-0.41412943290731374</x:v>
      </x:c>
      <x:c r="G993" s="11" t="n">
        <x:v>-0.015018879478806535</x:v>
      </x:c>
      <x:c r="H993" s="11" t="n">
        <x:v>1.2601706256712797</x:v>
      </x:c>
      <x:c r="I993" s="11" t="n">
        <x:v>0.85</x:v>
      </x:c>
      <x:c r="J993" s="13" t="n">
        <x:v>20</x:v>
      </x:c>
      <x:c r="K993" s="22" t="b">
        <x:v>1</x:v>
      </x:c>
      <x:c r="L993" s="13" t="n">
        <x:v>151</x:v>
      </x:c>
      <x:c r="M993" s="13" t="n">
        <x:v>59</x:v>
      </x:c>
    </x:row>
    <x:row r="994" ht="22" customHeight="1">
      <x:c r="A994" s="17" t="str">
        <x:f>"13338500"</x:f>
        <x:v>13338500</x:v>
      </x:c>
      <x:c r="B994" s="13" t="n">
        <x:v>42</x:v>
      </x:c>
      <x:c r="C994" s="22" t="b">
        <x:v>1</x:v>
      </x:c>
      <x:c r="D994" s="11" t="n">
        <x:v>0.9591996475506382</x:v>
      </x:c>
      <x:c r="E994" s="11" t="n">
        <x:v>0.9497095997542738</x:v>
      </x:c>
      <x:c r="F994" s="11" t="n">
        <x:v>0.9014155047410494</x:v>
      </x:c>
      <x:c r="G994" s="11" t="n">
        <x:v>0.00949004779636442</x:v>
      </x:c>
      <x:c r="H994" s="11" t="n">
        <x:v>0.05778414280958888</x:v>
      </x:c>
      <x:c r="I994" s="11" t="n">
        <x:v>1</x:v>
      </x:c>
      <x:c r="J994" s="13" t="n">
        <x:v>13</x:v>
      </x:c>
      <x:c r="K994" s="22" t="b">
        <x:v>1</x:v>
      </x:c>
      <x:c r="L994" s="13" t="n">
        <x:v>66</x:v>
      </x:c>
      <x:c r="M994" s="13" t="n">
        <x:v>22</x:v>
      </x:c>
    </x:row>
    <x:row r="995" ht="22" customHeight="1">
      <x:c r="A995" s="17" t="str">
        <x:f>"13338500"</x:f>
        <x:v>13338500</x:v>
      </x:c>
      <x:c r="B995" s="13" t="n">
        <x:v>42</x:v>
      </x:c>
      <x:c r="C995" s="22" t="b">
        <x:v>0</x:v>
      </x:c>
      <x:c r="D995" s="11" t="n">
        <x:v>0.7915855140474826</x:v>
      </x:c>
      <x:c r="E995" s="11" t="n">
        <x:v>0.8036814971964423</x:v>
      </x:c>
      <x:c r="F995" s="11" t="n">
        <x:v>-0.3156444504866289</x:v>
      </x:c>
      <x:c r="G995" s="11" t="n">
        <x:v>-0.012095983148959766</x:v>
      </x:c>
      <x:c r="H995" s="11" t="n">
        <x:v>1.1072299645341115</x:v>
      </x:c>
      <x:c r="I995" s="11" t="n">
        <x:v>0.8421052631578947</x:v>
      </x:c>
      <x:c r="J995" s="13" t="n">
        <x:v>19</x:v>
      </x:c>
      <x:c r="K995" s="22" t="b">
        <x:v>1</x:v>
      </x:c>
      <x:c r="L995" s="13" t="n">
        <x:v>111</x:v>
      </x:c>
      <x:c r="M995" s="13" t="n">
        <x:v>37</x:v>
      </x:c>
    </x:row>
    <x:row r="996" ht="22" customHeight="1">
      <x:c r="A996" s="17" t="str">
        <x:f>"13340000"</x:f>
        <x:v>13340000</x:v>
      </x:c>
      <x:c r="B996" s="13" t="n">
        <x:v>42</x:v>
      </x:c>
      <x:c r="C996" s="22" t="b">
        <x:v>1</x:v>
      </x:c>
      <x:c r="D996" s="11" t="n">
        <x:v>0.9875053069235153</x:v>
      </x:c>
      <x:c r="E996" s="11" t="n">
        <x:v>0.9771985142824509</x:v>
      </x:c>
      <x:c r="F996" s="11" t="n">
        <x:v>0.8149706104114642</x:v>
      </x:c>
      <x:c r="G996" s="11" t="n">
        <x:v>0.010306792641064488</x:v>
      </x:c>
      <x:c r="H996" s="11" t="n">
        <x:v>0.1725346965120511</x:v>
      </x:c>
      <x:c r="I996" s="11" t="n">
        <x:v>1</x:v>
      </x:c>
      <x:c r="J996" s="13" t="n">
        <x:v>19</x:v>
      </x:c>
      <x:c r="K996" s="22" t="b">
        <x:v>1</x:v>
      </x:c>
      <x:c r="L996" s="13" t="n">
        <x:v>63</x:v>
      </x:c>
      <x:c r="M996" s="13" t="n">
        <x:v>21</x:v>
      </x:c>
    </x:row>
    <x:row r="997" ht="22" customHeight="1">
      <x:c r="A997" s="17" t="str">
        <x:f>"13340000"</x:f>
        <x:v>13340000</x:v>
      </x:c>
      <x:c r="B997" s="13" t="n">
        <x:v>42</x:v>
      </x:c>
      <x:c r="C997" s="22" t="b">
        <x:v>0</x:v>
      </x:c>
      <x:c r="D997" s="11" t="n">
        <x:v>0.8519146342473384</x:v>
      </x:c>
      <x:c r="E997" s="11" t="n">
        <x:v>0.8419923071498279</x:v>
      </x:c>
      <x:c r="F997" s="11" t="n">
        <x:v>0.20538652014743763</x:v>
      </x:c>
      <x:c r="G997" s="11" t="n">
        <x:v>0.009922327097510508</x:v>
      </x:c>
      <x:c r="H997" s="11" t="n">
        <x:v>0.6465281140999007</x:v>
      </x:c>
      <x:c r="I997" s="11" t="n">
        <x:v>0.8</x:v>
      </x:c>
      <x:c r="J997" s="13" t="n">
        <x:v>20</x:v>
      </x:c>
      <x:c r="K997" s="22" t="b">
        <x:v>1</x:v>
      </x:c>
      <x:c r="L997" s="13" t="n">
        <x:v>127</x:v>
      </x:c>
      <x:c r="M997" s="13" t="n">
        <x:v>46</x:v>
      </x:c>
    </x:row>
    <x:row r="998" ht="22" customHeight="1">
      <x:c r="A998" s="17" t="str">
        <x:f>"13340600"</x:f>
        <x:v>13340600</x:v>
      </x:c>
      <x:c r="B998" s="13" t="n">
        <x:v>42</x:v>
      </x:c>
      <x:c r="C998" s="22" t="b">
        <x:v>1</x:v>
      </x:c>
      <x:c r="D998" s="11" t="n">
        <x:v>0.9789226049460851</x:v>
      </x:c>
      <x:c r="E998" s="11" t="n">
        <x:v>0.9645784282731101</x:v>
      </x:c>
      <x:c r="F998" s="11" t="n">
        <x:v>0.7421159159048591</x:v>
      </x:c>
      <x:c r="G998" s="11" t="n">
        <x:v>0.01434417667297494</x:v>
      </x:c>
      <x:c r="H998" s="11" t="n">
        <x:v>0.23680668904122593</x:v>
      </x:c>
      <x:c r="I998" s="11" t="n">
        <x:v>0.8823529411764706</x:v>
      </x:c>
      <x:c r="J998" s="13" t="n">
        <x:v>17</x:v>
      </x:c>
      <x:c r="K998" s="22" t="b">
        <x:v>1</x:v>
      </x:c>
      <x:c r="L998" s="13" t="n">
        <x:v>68</x:v>
      </x:c>
      <x:c r="M998" s="13" t="n">
        <x:v>23</x:v>
      </x:c>
    </x:row>
    <x:row r="999" ht="22" customHeight="1">
      <x:c r="A999" s="17" t="str">
        <x:f>"13340600"</x:f>
        <x:v>13340600</x:v>
      </x:c>
      <x:c r="B999" s="13" t="n">
        <x:v>42</x:v>
      </x:c>
      <x:c r="C999" s="22" t="b">
        <x:v>0</x:v>
      </x:c>
      <x:c r="D999" s="11" t="n">
        <x:v>0.7979846695006033</x:v>
      </x:c>
      <x:c r="E999" s="11" t="n">
        <x:v>0.8278503807489446</x:v>
      </x:c>
      <x:c r="F999" s="11" t="n">
        <x:v>-0.3008846077575993</x:v>
      </x:c>
      <x:c r="G999" s="11" t="n">
        <x:v>-0.029865711248341253</x:v>
      </x:c>
      <x:c r="H999" s="11" t="n">
        <x:v>1.0988692772582027</x:v>
      </x:c>
      <x:c r="I999" s="11" t="n">
        <x:v>1</x:v>
      </x:c>
      <x:c r="J999" s="13" t="n">
        <x:v>20</x:v>
      </x:c>
      <x:c r="K999" s="22" t="b">
        <x:v>1</x:v>
      </x:c>
      <x:c r="L999" s="13" t="n">
        <x:v>147</x:v>
      </x:c>
      <x:c r="M999" s="13" t="n">
        <x:v>56</x:v>
      </x:c>
    </x:row>
    <x:row r="1000" ht="22" customHeight="1">
      <x:c r="A1000" s="17" t="str">
        <x:f>"14020000"</x:f>
        <x:v>14020000</x:v>
      </x:c>
      <x:c r="B1000" s="13" t="n">
        <x:v>42</x:v>
      </x:c>
      <x:c r="C1000" s="22" t="b">
        <x:v>1</x:v>
      </x:c>
      <x:c r="D1000" s="11" t="n">
        <x:v>0.8617436157020462</x:v>
      </x:c>
      <x:c r="E1000" s="11" t="n">
        <x:v>0.8061852016212792</x:v>
      </x:c>
      <x:c r="F1000" s="11" t="n">
        <x:v>0.8092768699690682</x:v>
      </x:c>
      <x:c r="G1000" s="11" t="n">
        <x:v>0.055558414080767005</x:v>
      </x:c>
      <x:c r="H1000" s="11" t="n">
        <x:v>0.05246674573297794</x:v>
      </x:c>
      <x:c r="I1000" s="11" t="n">
        <x:v>0.7368421052631579</x:v>
      </x:c>
      <x:c r="J1000" s="13" t="n">
        <x:v>19</x:v>
      </x:c>
      <x:c r="K1000" s="22" t="b">
        <x:v>0</x:v>
      </x:c>
      <x:c r="L1000" s="13" t="n">
        <x:v>88</x:v>
      </x:c>
      <x:c r="M1000" s="13" t="n">
        <x:v>28</x:v>
      </x:c>
    </x:row>
    <x:row r="1001" ht="22" customHeight="1">
      <x:c r="A1001" s="17" t="str">
        <x:f>"14020000"</x:f>
        <x:v>14020000</x:v>
      </x:c>
      <x:c r="B1001" s="13" t="n">
        <x:v>42</x:v>
      </x:c>
      <x:c r="C1001" s="22" t="b">
        <x:v>0</x:v>
      </x:c>
      <x:c r="D1001" s="11" t="n">
        <x:v>0.6770231676902769</x:v>
      </x:c>
      <x:c r="E1001" s="11" t="n">
        <x:v>0.6556670927428581</x:v>
      </x:c>
      <x:c r="F1001" s="11" t="n">
        <x:v>0.22047850176015327</x:v>
      </x:c>
      <x:c r="G1001" s="11" t="n">
        <x:v>0.021356074947418868</x:v>
      </x:c>
      <x:c r="H1001" s="11" t="n">
        <x:v>0.45654466593012366</x:v>
      </x:c>
      <x:c r="I1001" s="11" t="n">
        <x:v>0.55</x:v>
      </x:c>
      <x:c r="J1001" s="13" t="n">
        <x:v>20</x:v>
      </x:c>
      <x:c r="K1001" s="22" t="b">
        <x:v>0</x:v>
      </x:c>
      <x:c r="L1001" s="13" t="n">
        <x:v>186</x:v>
      </x:c>
      <x:c r="M1001" s="13" t="n">
        <x:v>94</x:v>
      </x:c>
    </x:row>
    <x:row r="1002" ht="22" customHeight="1">
      <x:c r="A1002" s="17" t="str">
        <x:f>"14137000"</x:f>
        <x:v>14137000</x:v>
      </x:c>
      <x:c r="B1002" s="13" t="n">
        <x:v>42</x:v>
      </x:c>
      <x:c r="C1002" s="22" t="b">
        <x:v>1</x:v>
      </x:c>
      <x:c r="D1002" s="11" t="n">
        <x:v>0.6701714109588507</x:v>
      </x:c>
      <x:c r="E1002" s="11" t="n">
        <x:v>0.7033520107238505</x:v>
      </x:c>
      <x:c r="F1002" s="11" t="n">
        <x:v>-0.5751507264190105</x:v>
      </x:c>
      <x:c r="G1002" s="11" t="n">
        <x:v>-0.03318059976499976</x:v>
      </x:c>
      <x:c r="H1002" s="11" t="n">
        <x:v>1.2453221373778613</x:v>
      </x:c>
      <x:c r="I1002" s="11" t="n">
        <x:v>1</x:v>
      </x:c>
      <x:c r="J1002" s="13" t="n">
        <x:v>19</x:v>
      </x:c>
      <x:c r="K1002" s="22" t="b">
        <x:v>1</x:v>
      </x:c>
      <x:c r="L1002" s="13" t="n">
        <x:v>90</x:v>
      </x:c>
      <x:c r="M1002" s="13" t="n">
        <x:v>28</x:v>
      </x:c>
    </x:row>
    <x:row r="1003" ht="22" customHeight="1">
      <x:c r="A1003" s="17" t="str">
        <x:f>"14137000"</x:f>
        <x:v>14137000</x:v>
      </x:c>
      <x:c r="B1003" s="13" t="n">
        <x:v>42</x:v>
      </x:c>
      <x:c r="C1003" s="22" t="b">
        <x:v>0</x:v>
      </x:c>
      <x:c r="D1003" s="11" t="n">
        <x:v>0.6126555058915448</x:v>
      </x:c>
      <x:c r="E1003" s="11" t="n">
        <x:v>0.6060582981125496</x:v>
      </x:c>
      <x:c r="F1003" s="11" t="n">
        <x:v>0.37383477586615843</x:v>
      </x:c>
      <x:c r="G1003" s="11" t="n">
        <x:v>0.0065972077789951955</x:v>
      </x:c>
      <x:c r="H1003" s="11" t="n">
        <x:v>0.2388207300253864</x:v>
      </x:c>
      <x:c r="I1003" s="11" t="n">
        <x:v>0.8947368421052632</x:v>
      </x:c>
      <x:c r="J1003" s="13" t="n">
        <x:v>19</x:v>
      </x:c>
      <x:c r="K1003" s="22" t="b">
        <x:v>1</x:v>
      </x:c>
      <x:c r="L1003" s="13" t="n">
        <x:v>118</x:v>
      </x:c>
      <x:c r="M1003" s="13" t="n">
        <x:v>40</x:v>
      </x:c>
    </x:row>
    <x:row r="1004" ht="22" customHeight="1">
      <x:c r="A1004" s="17" t="str">
        <x:f>"14138800"</x:f>
        <x:v>14138800</x:v>
      </x:c>
      <x:c r="B1004" s="13" t="n">
        <x:v>42</x:v>
      </x:c>
      <x:c r="C1004" s="22" t="b">
        <x:v>1</x:v>
      </x:c>
      <x:c r="D1004" s="11" t="n">
        <x:v>0.5796016108019355</x:v>
      </x:c>
      <x:c r="E1004" s="11" t="n">
        <x:v>0.5399078706107154</x:v>
      </x:c>
      <x:c r="F1004" s="11" t="n">
        <x:v>0.4052467605358727</x:v>
      </x:c>
      <x:c r="G1004" s="11" t="n">
        <x:v>0.03969374019122007</x:v>
      </x:c>
      <x:c r="H1004" s="11" t="n">
        <x:v>0.1743548502660628</x:v>
      </x:c>
      <x:c r="I1004" s="11" t="n">
        <x:v>1</x:v>
      </x:c>
      <x:c r="J1004" s="13" t="n">
        <x:v>19</x:v>
      </x:c>
      <x:c r="K1004" s="22" t="b">
        <x:v>1</x:v>
      </x:c>
      <x:c r="L1004" s="13" t="n">
        <x:v>90</x:v>
      </x:c>
      <x:c r="M1004" s="13" t="n">
        <x:v>28</x:v>
      </x:c>
    </x:row>
    <x:row r="1005" ht="22" customHeight="1">
      <x:c r="A1005" s="17" t="str">
        <x:f>"14138800"</x:f>
        <x:v>14138800</x:v>
      </x:c>
      <x:c r="B1005" s="13" t="n">
        <x:v>42</x:v>
      </x:c>
      <x:c r="C1005" s="22" t="b">
        <x:v>0</x:v>
      </x:c>
      <x:c r="D1005" s="11" t="n">
        <x:v>0.5043034698111191</x:v>
      </x:c>
      <x:c r="E1005" s="11" t="n">
        <x:v>0.4268767709029181</x:v>
      </x:c>
      <x:c r="F1005" s="11" t="n">
        <x:v>0.30255873475765016</x:v>
      </x:c>
      <x:c r="G1005" s="11" t="n">
        <x:v>0.07742669890820097</x:v>
      </x:c>
      <x:c r="H1005" s="11" t="n">
        <x:v>0.2017447350534689</x:v>
      </x:c>
      <x:c r="I1005" s="11" t="n">
        <x:v>1</x:v>
      </x:c>
      <x:c r="J1005" s="13" t="n">
        <x:v>18</x:v>
      </x:c>
      <x:c r="K1005" s="22" t="b">
        <x:v>0</x:v>
      </x:c>
      <x:c r="L1005" s="13" t="n">
        <x:v>90</x:v>
      </x:c>
      <x:c r="M1005" s="13" t="n">
        <x:v>28</x:v>
      </x:c>
    </x:row>
    <x:row r="1006" ht="22" customHeight="1">
      <x:c r="A1006" s="17" t="str">
        <x:f>"14138870"</x:f>
        <x:v>14138870</x:v>
      </x:c>
      <x:c r="B1006" s="13" t="n">
        <x:v>42</x:v>
      </x:c>
      <x:c r="C1006" s="22" t="b">
        <x:v>1</x:v>
      </x:c>
      <x:c r="D1006" s="11" t="n">
        <x:v>0.6504844834653547</x:v>
      </x:c>
      <x:c r="E1006" s="11" t="n">
        <x:v>0.6618331662221604</x:v>
      </x:c>
      <x:c r="F1006" s="11" t="n">
        <x:v>0.17704303109285502</x:v>
      </x:c>
      <x:c r="G1006" s="11" t="n">
        <x:v>-0.011348682756805673</x:v>
      </x:c>
      <x:c r="H1006" s="11" t="n">
        <x:v>0.4734414523724997</x:v>
      </x:c>
      <x:c r="I1006" s="11" t="n">
        <x:v>1</x:v>
      </x:c>
      <x:c r="J1006" s="13" t="n">
        <x:v>18</x:v>
      </x:c>
      <x:c r="K1006" s="22" t="b">
        <x:v>1</x:v>
      </x:c>
      <x:c r="L1006" s="13" t="n">
        <x:v>77</x:v>
      </x:c>
      <x:c r="M1006" s="13" t="n">
        <x:v>25</x:v>
      </x:c>
    </x:row>
    <x:row r="1007" ht="22" customHeight="1">
      <x:c r="A1007" s="17" t="str">
        <x:f>"14138870"</x:f>
        <x:v>14138870</x:v>
      </x:c>
      <x:c r="B1007" s="13" t="n">
        <x:v>42</x:v>
      </x:c>
      <x:c r="C1007" s="22" t="b">
        <x:v>0</x:v>
      </x:c>
      <x:c r="D1007" s="11" t="n">
        <x:v>0.5330509724074435</x:v>
      </x:c>
      <x:c r="E1007" s="11" t="n">
        <x:v>0.5324886437313648</x:v>
      </x:c>
      <x:c r="F1007" s="11" t="n">
        <x:v>0.40931158045832594</x:v>
      </x:c>
      <x:c r="G1007" s="11" t="n">
        <x:v>0.0005623286760786383</x:v>
      </x:c>
      <x:c r="H1007" s="11" t="n">
        <x:v>0.12373939194911754</x:v>
      </x:c>
      <x:c r="I1007" s="11" t="n">
        <x:v>0.8</x:v>
      </x:c>
      <x:c r="J1007" s="13" t="n">
        <x:v>15</x:v>
      </x:c>
      <x:c r="K1007" s="22" t="b">
        <x:v>1</x:v>
      </x:c>
      <x:c r="L1007" s="13" t="n">
        <x:v>89</x:v>
      </x:c>
      <x:c r="M1007" s="13" t="n">
        <x:v>28</x:v>
      </x:c>
    </x:row>
    <x:row r="1008" ht="22" customHeight="1">
      <x:c r="A1008" s="17" t="str">
        <x:f>"14138900"</x:f>
        <x:v>14138900</x:v>
      </x:c>
      <x:c r="B1008" s="13" t="n">
        <x:v>42</x:v>
      </x:c>
      <x:c r="C1008" s="22" t="b">
        <x:v>1</x:v>
      </x:c>
      <x:c r="D1008" s="11" t="n">
        <x:v>0.6494694641292889</x:v>
      </x:c>
      <x:c r="E1008" s="11" t="n">
        <x:v>0.5887873250317233</x:v>
      </x:c>
      <x:c r="F1008" s="11" t="n">
        <x:v>0.39837717373105186</x:v>
      </x:c>
      <x:c r="G1008" s="11" t="n">
        <x:v>0.06068213909756559</x:v>
      </x:c>
      <x:c r="H1008" s="11" t="n">
        <x:v>0.251092290398237</x:v>
      </x:c>
      <x:c r="I1008" s="11" t="n">
        <x:v>0.85</x:v>
      </x:c>
      <x:c r="J1008" s="13" t="n">
        <x:v>20</x:v>
      </x:c>
      <x:c r="K1008" s="22" t="b">
        <x:v>0</x:v>
      </x:c>
      <x:c r="L1008" s="13" t="n">
        <x:v>104</x:v>
      </x:c>
      <x:c r="M1008" s="13" t="n">
        <x:v>34</x:v>
      </x:c>
    </x:row>
    <x:row r="1009" ht="22" customHeight="1">
      <x:c r="A1009" s="17" t="str">
        <x:f>"14138900"</x:f>
        <x:v>14138900</x:v>
      </x:c>
      <x:c r="B1009" s="13" t="n">
        <x:v>42</x:v>
      </x:c>
      <x:c r="C1009" s="22" t="b">
        <x:v>0</x:v>
      </x:c>
      <x:c r="D1009" s="11" t="n">
        <x:v>0.4775057297982922</x:v>
      </x:c>
      <x:c r="E1009" s="11" t="n">
        <x:v>0.4353130964589844</x:v>
      </x:c>
      <x:c r="F1009" s="11" t="n">
        <x:v>0.3857101285480361</x:v>
      </x:c>
      <x:c r="G1009" s="11" t="n">
        <x:v>0.042192633339307783</x:v>
      </x:c>
      <x:c r="H1009" s="11" t="n">
        <x:v>0.0917956012502561</x:v>
      </x:c>
      <x:c r="I1009" s="11" t="n">
        <x:v>1</x:v>
      </x:c>
      <x:c r="J1009" s="13" t="n">
        <x:v>18</x:v>
      </x:c>
      <x:c r="K1009" s="22" t="b">
        <x:v>1</x:v>
      </x:c>
      <x:c r="L1009" s="13" t="n">
        <x:v>83</x:v>
      </x:c>
      <x:c r="M1009" s="13" t="n">
        <x:v>27</x:v>
      </x:c>
    </x:row>
    <x:row r="1010" ht="22" customHeight="1">
      <x:c r="A1010" s="17" t="str">
        <x:f>"14139800"</x:f>
        <x:v>14139800</x:v>
      </x:c>
      <x:c r="B1010" s="13" t="n">
        <x:v>42</x:v>
      </x:c>
      <x:c r="C1010" s="22" t="b">
        <x:v>1</x:v>
      </x:c>
      <x:c r="D1010" s="11" t="n">
        <x:v>0.6713337470094224</x:v>
      </x:c>
      <x:c r="E1010" s="11" t="n">
        <x:v>0.6361227999738392</x:v>
      </x:c>
      <x:c r="F1010" s="11" t="n">
        <x:v>0.5949803214565069</x:v>
      </x:c>
      <x:c r="G1010" s="11" t="n">
        <x:v>0.03521094703558314</x:v>
      </x:c>
      <x:c r="H1010" s="11" t="n">
        <x:v>0.07635342555291547</x:v>
      </x:c>
      <x:c r="I1010" s="11" t="n">
        <x:v>1</x:v>
      </x:c>
      <x:c r="J1010" s="13" t="n">
        <x:v>20</x:v>
      </x:c>
      <x:c r="K1010" s="22" t="b">
        <x:v>1</x:v>
      </x:c>
      <x:c r="L1010" s="13" t="n">
        <x:v>89</x:v>
      </x:c>
      <x:c r="M1010" s="13" t="n">
        <x:v>28</x:v>
      </x:c>
    </x:row>
    <x:row r="1011" ht="22" customHeight="1">
      <x:c r="A1011" s="17" t="str">
        <x:f>"14139800"</x:f>
        <x:v>14139800</x:v>
      </x:c>
      <x:c r="B1011" s="13" t="n">
        <x:v>42</x:v>
      </x:c>
      <x:c r="C1011" s="22" t="b">
        <x:v>0</x:v>
      </x:c>
      <x:c r="D1011" s="11" t="n">
        <x:v>0.5738094821271802</x:v>
      </x:c>
      <x:c r="E1011" s="11" t="n">
        <x:v>0.5319646425099007</x:v>
      </x:c>
      <x:c r="F1011" s="11" t="n">
        <x:v>0.4438787618043798</x:v>
      </x:c>
      <x:c r="G1011" s="11" t="n">
        <x:v>0.04184483961727947</x:v>
      </x:c>
      <x:c r="H1011" s="11" t="n">
        <x:v>0.1299307203228004</x:v>
      </x:c>
      <x:c r="I1011" s="11" t="n">
        <x:v>1</x:v>
      </x:c>
      <x:c r="J1011" s="13" t="n">
        <x:v>19</x:v>
      </x:c>
      <x:c r="K1011" s="22" t="b">
        <x:v>1</x:v>
      </x:c>
      <x:c r="L1011" s="13" t="n">
        <x:v>93</x:v>
      </x:c>
      <x:c r="M1011" s="13" t="n">
        <x:v>30</x:v>
      </x:c>
    </x:row>
    <x:row r="1012" ht="22" customHeight="1">
      <x:c r="A1012" s="17" t="str">
        <x:f>"14141500"</x:f>
        <x:v>14141500</x:v>
      </x:c>
      <x:c r="B1012" s="13" t="n">
        <x:v>42</x:v>
      </x:c>
      <x:c r="C1012" s="22" t="b">
        <x:v>1</x:v>
      </x:c>
      <x:c r="D1012" s="11" t="n">
        <x:v>0.6531309765980813</x:v>
      </x:c>
      <x:c r="E1012" s="11" t="n">
        <x:v>0.6323980768914558</x:v>
      </x:c>
      <x:c r="F1012" s="11" t="n">
        <x:v>0.2296659799228865</x:v>
      </x:c>
      <x:c r="G1012" s="11" t="n">
        <x:v>0.020732899706625507</x:v>
      </x:c>
      <x:c r="H1012" s="11" t="n">
        <x:v>0.42346499667519477</x:v>
      </x:c>
      <x:c r="I1012" s="11" t="n">
        <x:v>0.47058823529411764</x:v>
      </x:c>
      <x:c r="J1012" s="13" t="n">
        <x:v>17</x:v>
      </x:c>
      <x:c r="K1012" s="22" t="b">
        <x:v>0</x:v>
      </x:c>
      <x:c r="L1012" s="13" t="n">
        <x:v>93</x:v>
      </x:c>
      <x:c r="M1012" s="13" t="n">
        <x:v>30</x:v>
      </x:c>
    </x:row>
    <x:row r="1013" ht="22" customHeight="1">
      <x:c r="A1013" s="17" t="str">
        <x:f>"14141500"</x:f>
        <x:v>14141500</x:v>
      </x:c>
      <x:c r="B1013" s="13" t="n">
        <x:v>42</x:v>
      </x:c>
      <x:c r="C1013" s="22" t="b">
        <x:v>0</x:v>
      </x:c>
      <x:c r="D1013" s="11" t="n">
        <x:v>0.6125838468992688</x:v>
      </x:c>
      <x:c r="E1013" s="11" t="n">
        <x:v>0.5895646759074822</x:v>
      </x:c>
      <x:c r="F1013" s="11" t="n">
        <x:v>0.40640189026414586</x:v>
      </x:c>
      <x:c r="G1013" s="11" t="n">
        <x:v>0.02301917099178663</x:v>
      </x:c>
      <x:c r="H1013" s="11" t="n">
        <x:v>0.20618195663512295</x:v>
      </x:c>
      <x:c r="I1013" s="11" t="n">
        <x:v>1</x:v>
      </x:c>
      <x:c r="J1013" s="13" t="n">
        <x:v>8</x:v>
      </x:c>
      <x:c r="K1013" s="22" t="b">
        <x:v>1</x:v>
      </x:c>
      <x:c r="L1013" s="13" t="n">
        <x:v>81</x:v>
      </x:c>
      <x:c r="M1013" s="13" t="n">
        <x:v>26</x:v>
      </x:c>
    </x:row>
    <x:row r="1014" ht="22" customHeight="1">
      <x:c r="A1014" s="17" t="str">
        <x:f>"14154500"</x:f>
        <x:v>14154500</x:v>
      </x:c>
      <x:c r="B1014" s="13" t="n">
        <x:v>42</x:v>
      </x:c>
      <x:c r="C1014" s="22" t="b">
        <x:v>1</x:v>
      </x:c>
      <x:c r="D1014" s="11" t="n">
        <x:v>0.6623887419947969</x:v>
      </x:c>
      <x:c r="E1014" s="11" t="n">
        <x:v>0.657982285473522</x:v>
      </x:c>
      <x:c r="F1014" s="11" t="n">
        <x:v>0.6309021362531366</x:v>
      </x:c>
      <x:c r="G1014" s="11" t="n">
        <x:v>0.004406456521274915</x:v>
      </x:c>
      <x:c r="H1014" s="11" t="n">
        <x:v>0.03148660574166029</x:v>
      </x:c>
      <x:c r="I1014" s="11" t="n">
        <x:v>1</x:v>
      </x:c>
      <x:c r="J1014" s="13" t="n">
        <x:v>20</x:v>
      </x:c>
      <x:c r="K1014" s="22" t="b">
        <x:v>1</x:v>
      </x:c>
      <x:c r="L1014" s="13" t="n">
        <x:v>100</x:v>
      </x:c>
      <x:c r="M1014" s="13" t="n">
        <x:v>33</x:v>
      </x:c>
    </x:row>
    <x:row r="1015" ht="22" customHeight="1">
      <x:c r="A1015" s="17" t="str">
        <x:f>"14154500"</x:f>
        <x:v>14154500</x:v>
      </x:c>
      <x:c r="B1015" s="13" t="n">
        <x:v>42</x:v>
      </x:c>
      <x:c r="C1015" s="22" t="b">
        <x:v>0</x:v>
      </x:c>
      <x:c r="D1015" s="11" t="n">
        <x:v>0.5810685275058882</x:v>
      </x:c>
      <x:c r="E1015" s="11" t="n">
        <x:v>0.5779244451357353</x:v>
      </x:c>
      <x:c r="F1015" s="11" t="n">
        <x:v>0.5219281931669753</x:v>
      </x:c>
      <x:c r="G1015" s="11" t="n">
        <x:v>0.0031440823701529563</x:v>
      </x:c>
      <x:c r="H1015" s="11" t="n">
        <x:v>0.05914033433891297</x:v>
      </x:c>
      <x:c r="I1015" s="11"/>
      <x:c r="J1015" s="13" t="n">
        <x:v>0</x:v>
      </x:c>
      <x:c r="K1015" s="22" t="b">
        <x:v>0</x:v>
      </x:c>
      <x:c r="L1015" s="13" t="n">
        <x:v>105</x:v>
      </x:c>
      <x:c r="M1015" s="13" t="n">
        <x:v>34</x:v>
      </x:c>
    </x:row>
    <x:row r="1016" ht="22" customHeight="1">
      <x:c r="A1016" s="17" t="str">
        <x:f>"14158500"</x:f>
        <x:v>14158500</x:v>
      </x:c>
      <x:c r="B1016" s="13" t="n">
        <x:v>42</x:v>
      </x:c>
      <x:c r="C1016" s="22" t="b">
        <x:v>1</x:v>
      </x:c>
      <x:c r="D1016" s="11" t="n">
        <x:v>0.9602088105631407</x:v>
      </x:c>
      <x:c r="E1016" s="11" t="n">
        <x:v>0.9537966049351658</x:v>
      </x:c>
      <x:c r="F1016" s="11" t="n">
        <x:v>0.6267604627999774</x:v>
      </x:c>
      <x:c r="G1016" s="11" t="n">
        <x:v>0.006412205627974843</x:v>
      </x:c>
      <x:c r="H1016" s="11" t="n">
        <x:v>0.33344834776316323</x:v>
      </x:c>
      <x:c r="I1016" s="11"/>
      <x:c r="J1016" s="13" t="n">
        <x:v>0</x:v>
      </x:c>
      <x:c r="K1016" s="22" t="b">
        <x:v>0</x:v>
      </x:c>
      <x:c r="L1016" s="13" t="n">
        <x:v>65</x:v>
      </x:c>
      <x:c r="M1016" s="13" t="n">
        <x:v>22</x:v>
      </x:c>
    </x:row>
    <x:row r="1017" ht="22" customHeight="1">
      <x:c r="A1017" s="17" t="str">
        <x:f>"14158500"</x:f>
        <x:v>14158500</x:v>
      </x:c>
      <x:c r="B1017" s="13" t="n">
        <x:v>42</x:v>
      </x:c>
      <x:c r="C1017" s="22" t="b">
        <x:v>0</x:v>
      </x:c>
      <x:c r="D1017" s="11" t="n">
        <x:v>0.6542893053507761</x:v>
      </x:c>
      <x:c r="E1017" s="11" t="n">
        <x:v>0.6678814147053432</x:v>
      </x:c>
      <x:c r="F1017" s="11" t="n">
        <x:v>0.038228827836110146</x:v>
      </x:c>
      <x:c r="G1017" s="11" t="n">
        <x:v>-0.013592109354567117</x:v>
      </x:c>
      <x:c r="H1017" s="11" t="n">
        <x:v>0.616060477514666</x:v>
      </x:c>
      <x:c r="I1017" s="11" t="n">
        <x:v>0.875</x:v>
      </x:c>
      <x:c r="J1017" s="13" t="n">
        <x:v>16</x:v>
      </x:c>
      <x:c r="K1017" s="22" t="b">
        <x:v>1</x:v>
      </x:c>
      <x:c r="L1017" s="13" t="n">
        <x:v>130</x:v>
      </x:c>
      <x:c r="M1017" s="13" t="n">
        <x:v>45</x:v>
      </x:c>
    </x:row>
    <x:row r="1018" ht="22" customHeight="1">
      <x:c r="A1018" s="17" t="str">
        <x:f>"14158790"</x:f>
        <x:v>14158790</x:v>
      </x:c>
      <x:c r="B1018" s="13" t="n">
        <x:v>42</x:v>
      </x:c>
      <x:c r="C1018" s="22" t="b">
        <x:v>1</x:v>
      </x:c>
      <x:c r="D1018" s="11" t="n">
        <x:v>0.725074114264743</x:v>
      </x:c>
      <x:c r="E1018" s="11" t="n">
        <x:v>0.7155632882151468</x:v>
      </x:c>
      <x:c r="F1018" s="11" t="n">
        <x:v>0.5511192196569155</x:v>
      </x:c>
      <x:c r="G1018" s="11" t="n">
        <x:v>0.009510826049596188</x:v>
      </x:c>
      <x:c r="H1018" s="11" t="n">
        <x:v>0.17395489460782754</x:v>
      </x:c>
      <x:c r="I1018" s="11" t="n">
        <x:v>0.6</x:v>
      </x:c>
      <x:c r="J1018" s="13" t="n">
        <x:v>20</x:v>
      </x:c>
      <x:c r="K1018" s="22" t="b">
        <x:v>0</x:v>
      </x:c>
      <x:c r="L1018" s="13" t="n">
        <x:v>161</x:v>
      </x:c>
      <x:c r="M1018" s="13" t="n">
        <x:v>66</x:v>
      </x:c>
    </x:row>
    <x:row r="1019" ht="22" customHeight="1">
      <x:c r="A1019" s="17" t="str">
        <x:f>"14158790"</x:f>
        <x:v>14158790</x:v>
      </x:c>
      <x:c r="B1019" s="13" t="n">
        <x:v>42</x:v>
      </x:c>
      <x:c r="C1019" s="22" t="b">
        <x:v>0</x:v>
      </x:c>
      <x:c r="D1019" s="11" t="n">
        <x:v>0.5886619797427342</x:v>
      </x:c>
      <x:c r="E1019" s="11" t="n">
        <x:v>0.5627936591161196</x:v>
      </x:c>
      <x:c r="F1019" s="11" t="n">
        <x:v>0.4189205490292003</x:v>
      </x:c>
      <x:c r="G1019" s="11" t="n">
        <x:v>0.025868320626614594</x:v>
      </x:c>
      <x:c r="H1019" s="11" t="n">
        <x:v>0.16974143071353387</x:v>
      </x:c>
      <x:c r="I1019" s="11" t="n">
        <x:v>1</x:v>
      </x:c>
      <x:c r="J1019" s="13" t="n">
        <x:v>20</x:v>
      </x:c>
      <x:c r="K1019" s="22" t="b">
        <x:v>1</x:v>
      </x:c>
      <x:c r="L1019" s="13" t="n">
        <x:v>149</x:v>
      </x:c>
      <x:c r="M1019" s="13" t="n">
        <x:v>60</x:v>
      </x:c>
    </x:row>
    <x:row r="1020" ht="22" customHeight="1">
      <x:c r="A1020" s="17" t="str">
        <x:f>"14166500"</x:f>
        <x:v>14166500</x:v>
      </x:c>
      <x:c r="B1020" s="13" t="n">
        <x:v>42</x:v>
      </x:c>
      <x:c r="C1020" s="22" t="b">
        <x:v>1</x:v>
      </x:c>
      <x:c r="D1020" s="11" t="n">
        <x:v>0.8292539809795326</x:v>
      </x:c>
      <x:c r="E1020" s="11" t="n">
        <x:v>0.8628416362587562</x:v>
      </x:c>
      <x:c r="F1020" s="11" t="n">
        <x:v>0.5559549316320744</x:v>
      </x:c>
      <x:c r="G1020" s="11" t="n">
        <x:v>-0.03358765527922358</x:v>
      </x:c>
      <x:c r="H1020" s="11" t="n">
        <x:v>0.2732990493474582</x:v>
      </x:c>
      <x:c r="I1020" s="11" t="n">
        <x:v>0.3</x:v>
      </x:c>
      <x:c r="J1020" s="13" t="n">
        <x:v>20</x:v>
      </x:c>
      <x:c r="K1020" s="22" t="b">
        <x:v>0</x:v>
      </x:c>
      <x:c r="L1020" s="13" t="n">
        <x:v>113</x:v>
      </x:c>
      <x:c r="M1020" s="13" t="n">
        <x:v>37</x:v>
      </x:c>
    </x:row>
    <x:row r="1021" ht="22" customHeight="1">
      <x:c r="A1021" s="17" t="str">
        <x:f>"14166500"</x:f>
        <x:v>14166500</x:v>
      </x:c>
      <x:c r="B1021" s="13" t="n">
        <x:v>42</x:v>
      </x:c>
      <x:c r="C1021" s="22" t="b">
        <x:v>0</x:v>
      </x:c>
      <x:c r="D1021" s="11" t="n">
        <x:v>0.8060364072296458</x:v>
      </x:c>
      <x:c r="E1021" s="11" t="n">
        <x:v>0.7306523277834688</x:v>
      </x:c>
      <x:c r="F1021" s="11" t="n">
        <x:v>0.3526302680826561</x:v>
      </x:c>
      <x:c r="G1021" s="11" t="n">
        <x:v>0.07538407944617698</x:v>
      </x:c>
      <x:c r="H1021" s="11" t="n">
        <x:v>0.4534061391469897</x:v>
      </x:c>
      <x:c r="I1021" s="11" t="n">
        <x:v>0</x:v>
      </x:c>
      <x:c r="J1021" s="13" t="n">
        <x:v>16</x:v>
      </x:c>
      <x:c r="K1021" s="22" t="b">
        <x:v>0</x:v>
      </x:c>
      <x:c r="L1021" s="13" t="n">
        <x:v>109</x:v>
      </x:c>
      <x:c r="M1021" s="13" t="n">
        <x:v>36</x:v>
      </x:c>
    </x:row>
    <x:row r="1022" ht="22" customHeight="1">
      <x:c r="A1022" s="17" t="str">
        <x:f>"14182500"</x:f>
        <x:v>14182500</x:v>
      </x:c>
      <x:c r="B1022" s="13" t="n">
        <x:v>42</x:v>
      </x:c>
      <x:c r="C1022" s="22" t="b">
        <x:v>1</x:v>
      </x:c>
      <x:c r="D1022" s="11" t="n">
        <x:v>0.6887429371205369</x:v>
      </x:c>
      <x:c r="E1022" s="11" t="n">
        <x:v>0.667112358949302</x:v>
      </x:c>
      <x:c r="F1022" s="11" t="n">
        <x:v>0.5038098952876953</x:v>
      </x:c>
      <x:c r="G1022" s="11" t="n">
        <x:v>0.021630578171234927</x:v>
      </x:c>
      <x:c r="H1022" s="11" t="n">
        <x:v>0.18493304183284165</x:v>
      </x:c>
      <x:c r="I1022" s="11" t="n">
        <x:v>1</x:v>
      </x:c>
      <x:c r="J1022" s="13" t="n">
        <x:v>16</x:v>
      </x:c>
      <x:c r="K1022" s="22" t="b">
        <x:v>1</x:v>
      </x:c>
      <x:c r="L1022" s="13" t="n">
        <x:v>103</x:v>
      </x:c>
      <x:c r="M1022" s="13" t="n">
        <x:v>34</x:v>
      </x:c>
    </x:row>
    <x:row r="1023" ht="22" customHeight="1">
      <x:c r="A1023" s="17" t="str">
        <x:f>"14182500"</x:f>
        <x:v>14182500</x:v>
      </x:c>
      <x:c r="B1023" s="13" t="n">
        <x:v>42</x:v>
      </x:c>
      <x:c r="C1023" s="22" t="b">
        <x:v>0</x:v>
      </x:c>
      <x:c r="D1023" s="11" t="n">
        <x:v>0.5870160896494151</x:v>
      </x:c>
      <x:c r="E1023" s="11" t="n">
        <x:v>0.5377809324255192</x:v>
      </x:c>
      <x:c r="F1023" s="11" t="n">
        <x:v>0.43383950183450914</x:v>
      </x:c>
      <x:c r="G1023" s="11" t="n">
        <x:v>0.04923515722389593</x:v>
      </x:c>
      <x:c r="H1023" s="11" t="n">
        <x:v>0.15317658781490595</x:v>
      </x:c>
      <x:c r="I1023" s="11" t="n">
        <x:v>0.9</x:v>
      </x:c>
      <x:c r="J1023" s="13" t="n">
        <x:v>20</x:v>
      </x:c>
      <x:c r="K1023" s="22" t="b">
        <x:v>1</x:v>
      </x:c>
      <x:c r="L1023" s="13" t="n">
        <x:v>117</x:v>
      </x:c>
      <x:c r="M1023" s="13" t="n">
        <x:v>39</x:v>
      </x:c>
    </x:row>
    <x:row r="1024" ht="22" customHeight="1">
      <x:c r="A1024" s="17" t="str">
        <x:f>"14185000"</x:f>
        <x:v>14185000</x:v>
      </x:c>
      <x:c r="B1024" s="13" t="n">
        <x:v>42</x:v>
      </x:c>
      <x:c r="C1024" s="22" t="b">
        <x:v>1</x:v>
      </x:c>
      <x:c r="D1024" s="11" t="n">
        <x:v>0.6383646622122471</x:v>
      </x:c>
      <x:c r="E1024" s="11" t="n">
        <x:v>0.6087627336312522</x:v>
      </x:c>
      <x:c r="F1024" s="11" t="n">
        <x:v>0.4112908310694605</x:v>
      </x:c>
      <x:c r="G1024" s="11" t="n">
        <x:v>0.029601928580994863</x:v>
      </x:c>
      <x:c r="H1024" s="11" t="n">
        <x:v>0.22707383114278656</x:v>
      </x:c>
      <x:c r="I1024" s="11" t="n">
        <x:v>1</x:v>
      </x:c>
      <x:c r="J1024" s="13" t="n">
        <x:v>17</x:v>
      </x:c>
      <x:c r="K1024" s="22" t="b">
        <x:v>1</x:v>
      </x:c>
      <x:c r="L1024" s="13" t="n">
        <x:v>114</x:v>
      </x:c>
      <x:c r="M1024" s="13" t="n">
        <x:v>37</x:v>
      </x:c>
    </x:row>
    <x:row r="1025" ht="22" customHeight="1">
      <x:c r="A1025" s="17" t="str">
        <x:f>"14185000"</x:f>
        <x:v>14185000</x:v>
      </x:c>
      <x:c r="B1025" s="13" t="n">
        <x:v>42</x:v>
      </x:c>
      <x:c r="C1025" s="22" t="b">
        <x:v>0</x:v>
      </x:c>
      <x:c r="D1025" s="11" t="n">
        <x:v>0.545394296693765</x:v>
      </x:c>
      <x:c r="E1025" s="11" t="n">
        <x:v>0.5495568379172608</x:v>
      </x:c>
      <x:c r="F1025" s="11" t="n">
        <x:v>0.2722002424179406</x:v>
      </x:c>
      <x:c r="G1025" s="11" t="n">
        <x:v>-0.004162541223495797</x:v>
      </x:c>
      <x:c r="H1025" s="11" t="n">
        <x:v>0.27319405427582444</x:v>
      </x:c>
      <x:c r="I1025" s="11" t="n">
        <x:v>0.8</x:v>
      </x:c>
      <x:c r="J1025" s="13" t="n">
        <x:v>20</x:v>
      </x:c>
      <x:c r="K1025" s="22" t="b">
        <x:v>1</x:v>
      </x:c>
      <x:c r="L1025" s="13" t="n">
        <x:v>103</x:v>
      </x:c>
      <x:c r="M1025" s="13" t="n">
        <x:v>34</x:v>
      </x:c>
    </x:row>
    <x:row r="1026" ht="22" customHeight="1">
      <x:c r="A1026" s="17" t="str">
        <x:f>"14185900"</x:f>
        <x:v>14185900</x:v>
      </x:c>
      <x:c r="B1026" s="13" t="n">
        <x:v>42</x:v>
      </x:c>
      <x:c r="C1026" s="22" t="b">
        <x:v>1</x:v>
      </x:c>
      <x:c r="D1026" s="11" t="n">
        <x:v>0.6492671038902376</x:v>
      </x:c>
      <x:c r="E1026" s="11" t="n">
        <x:v>0.6040948948601284</x:v>
      </x:c>
      <x:c r="F1026" s="11" t="n">
        <x:v>0.4005956692792486</x:v>
      </x:c>
      <x:c r="G1026" s="11" t="n">
        <x:v>0.04517220903010921</x:v>
      </x:c>
      <x:c r="H1026" s="11" t="n">
        <x:v>0.24867143461098895</x:v>
      </x:c>
      <x:c r="I1026" s="11" t="n">
        <x:v>0.9473684210526315</x:v>
      </x:c>
      <x:c r="J1026" s="13" t="n">
        <x:v>19</x:v>
      </x:c>
      <x:c r="K1026" s="22" t="b">
        <x:v>1</x:v>
      </x:c>
      <x:c r="L1026" s="13" t="n">
        <x:v>108</x:v>
      </x:c>
      <x:c r="M1026" s="13" t="n">
        <x:v>36</x:v>
      </x:c>
    </x:row>
    <x:row r="1027" ht="22" customHeight="1">
      <x:c r="A1027" s="17" t="str">
        <x:f>"14185900"</x:f>
        <x:v>14185900</x:v>
      </x:c>
      <x:c r="B1027" s="13" t="n">
        <x:v>42</x:v>
      </x:c>
      <x:c r="C1027" s="22" t="b">
        <x:v>0</x:v>
      </x:c>
      <x:c r="D1027" s="11" t="n">
        <x:v>0.5948212558190216</x:v>
      </x:c>
      <x:c r="E1027" s="11" t="n">
        <x:v>0.5496518833540595</x:v>
      </x:c>
      <x:c r="F1027" s="11" t="n">
        <x:v>0.45393748716060456</x:v>
      </x:c>
      <x:c r="G1027" s="11" t="n">
        <x:v>0.04516937246496211</x:v>
      </x:c>
      <x:c r="H1027" s="11" t="n">
        <x:v>0.140883768658417</x:v>
      </x:c>
      <x:c r="I1027" s="11" t="n">
        <x:v>1</x:v>
      </x:c>
      <x:c r="J1027" s="13" t="n">
        <x:v>19</x:v>
      </x:c>
      <x:c r="K1027" s="22" t="b">
        <x:v>1</x:v>
      </x:c>
      <x:c r="L1027" s="13" t="n">
        <x:v>85</x:v>
      </x:c>
      <x:c r="M1027" s="13" t="n">
        <x:v>28</x:v>
      </x:c>
    </x:row>
    <x:row r="1028" ht="22" customHeight="1">
      <x:c r="A1028" s="17" t="str">
        <x:f>"14222500"</x:f>
        <x:v>14222500</x:v>
      </x:c>
      <x:c r="B1028" s="13" t="n">
        <x:v>42</x:v>
      </x:c>
      <x:c r="C1028" s="22" t="b">
        <x:v>1</x:v>
      </x:c>
      <x:c r="D1028" s="11" t="n">
        <x:v>0.8084491828471285</x:v>
      </x:c>
      <x:c r="E1028" s="11" t="n">
        <x:v>0.7750050879980404</x:v>
      </x:c>
      <x:c r="F1028" s="11" t="n">
        <x:v>0.3642778942151731</x:v>
      </x:c>
      <x:c r="G1028" s="11" t="n">
        <x:v>0.03344409484908817</x:v>
      </x:c>
      <x:c r="H1028" s="11" t="n">
        <x:v>0.44417128863195543</x:v>
      </x:c>
      <x:c r="I1028" s="11" t="n">
        <x:v>1</x:v>
      </x:c>
      <x:c r="J1028" s="13" t="n">
        <x:v>20</x:v>
      </x:c>
      <x:c r="K1028" s="22" t="b">
        <x:v>1</x:v>
      </x:c>
      <x:c r="L1028" s="13" t="n">
        <x:v>123</x:v>
      </x:c>
      <x:c r="M1028" s="13" t="n">
        <x:v>42</x:v>
      </x:c>
    </x:row>
    <x:row r="1029" ht="22" customHeight="1">
      <x:c r="A1029" s="17" t="str">
        <x:f>"14222500"</x:f>
        <x:v>14222500</x:v>
      </x:c>
      <x:c r="B1029" s="13" t="n">
        <x:v>42</x:v>
      </x:c>
      <x:c r="C1029" s="22" t="b">
        <x:v>0</x:v>
      </x:c>
      <x:c r="D1029" s="11" t="n">
        <x:v>0.717246428677248</x:v>
      </x:c>
      <x:c r="E1029" s="11" t="n">
        <x:v>0.6861948601341159</x:v>
      </x:c>
      <x:c r="F1029" s="11" t="n">
        <x:v>0.6497834323526585</x:v>
      </x:c>
      <x:c r="G1029" s="11" t="n">
        <x:v>0.03105156854313207</x:v>
      </x:c>
      <x:c r="H1029" s="11" t="n">
        <x:v>0.06746299632458952</x:v>
      </x:c>
      <x:c r="I1029" s="11" t="n">
        <x:v>0.5</x:v>
      </x:c>
      <x:c r="J1029" s="13" t="n">
        <x:v>20</x:v>
      </x:c>
      <x:c r="K1029" s="22" t="b">
        <x:v>0</x:v>
      </x:c>
      <x:c r="L1029" s="13" t="n">
        <x:v>145</x:v>
      </x:c>
      <x:c r="M1029" s="13" t="n">
        <x:v>54</x:v>
      </x:c>
    </x:row>
    <x:row r="1030" ht="22" customHeight="1">
      <x:c r="A1030" s="17" t="str">
        <x:f>"14236200"</x:f>
        <x:v>14236200</x:v>
      </x:c>
      <x:c r="B1030" s="13" t="n">
        <x:v>42</x:v>
      </x:c>
      <x:c r="C1030" s="22" t="b">
        <x:v>1</x:v>
      </x:c>
      <x:c r="D1030" s="11" t="n">
        <x:v>0.7886499966925758</x:v>
      </x:c>
      <x:c r="E1030" s="11" t="n">
        <x:v>0.6621897596409333</x:v>
      </x:c>
      <x:c r="F1030" s="11" t="n">
        <x:v>0.5371152022835524</x:v>
      </x:c>
      <x:c r="G1030" s="11" t="n">
        <x:v>0.12646023705164255</x:v>
      </x:c>
      <x:c r="H1030" s="11" t="n">
        <x:v>0.2515347944090235</x:v>
      </x:c>
      <x:c r="I1030" s="11" t="n">
        <x:v>1</x:v>
      </x:c>
      <x:c r="J1030" s="13" t="n">
        <x:v>13</x:v>
      </x:c>
      <x:c r="K1030" s="22" t="b">
        <x:v>0</x:v>
      </x:c>
      <x:c r="L1030" s="13" t="n">
        <x:v>72</x:v>
      </x:c>
      <x:c r="M1030" s="13" t="n">
        <x:v>24</x:v>
      </x:c>
    </x:row>
    <x:row r="1031" ht="22" customHeight="1">
      <x:c r="A1031" s="17" t="str">
        <x:f>"14236200"</x:f>
        <x:v>14236200</x:v>
      </x:c>
      <x:c r="B1031" s="13" t="n">
        <x:v>42</x:v>
      </x:c>
      <x:c r="C1031" s="22" t="b">
        <x:v>0</x:v>
      </x:c>
      <x:c r="D1031" s="11" t="n">
        <x:v>0.6696597920427911</x:v>
      </x:c>
      <x:c r="E1031" s="11" t="n">
        <x:v>0.5459719037872672</x:v>
      </x:c>
      <x:c r="F1031" s="11" t="n">
        <x:v>0.5166957880709331</x:v>
      </x:c>
      <x:c r="G1031" s="11" t="n">
        <x:v>0.1236878882555239</x:v>
      </x:c>
      <x:c r="H1031" s="11" t="n">
        <x:v>0.15296400397185805</x:v>
      </x:c>
      <x:c r="I1031" s="11" t="n">
        <x:v>0.2</x:v>
      </x:c>
      <x:c r="J1031" s="13" t="n">
        <x:v>15</x:v>
      </x:c>
      <x:c r="K1031" s="22" t="b">
        <x:v>0</x:v>
      </x:c>
      <x:c r="L1031" s="13" t="n">
        <x:v>98</x:v>
      </x:c>
      <x:c r="M1031" s="13" t="n">
        <x:v>31</x:v>
      </x:c>
    </x:row>
    <x:row r="1032" ht="22" customHeight="1">
      <x:c r="A1032" s="17" t="str">
        <x:f>"14301000"</x:f>
        <x:v>14301000</x:v>
      </x:c>
      <x:c r="B1032" s="13" t="n">
        <x:v>42</x:v>
      </x:c>
      <x:c r="C1032" s="22" t="b">
        <x:v>1</x:v>
      </x:c>
      <x:c r="D1032" s="11" t="n">
        <x:v>0.9403707573084072</x:v>
      </x:c>
      <x:c r="E1032" s="11" t="n">
        <x:v>0.9295845720272349</x:v>
      </x:c>
      <x:c r="F1032" s="11" t="n">
        <x:v>0.5755474573688643</x:v>
      </x:c>
      <x:c r="G1032" s="11" t="n">
        <x:v>0.010786185281172367</x:v>
      </x:c>
      <x:c r="H1032" s="11" t="n">
        <x:v>0.364823299939543</x:v>
      </x:c>
      <x:c r="I1032" s="11"/>
      <x:c r="J1032" s="13" t="n">
        <x:v>0</x:v>
      </x:c>
      <x:c r="K1032" s="22" t="b">
        <x:v>0</x:v>
      </x:c>
      <x:c r="L1032" s="13" t="n">
        <x:v>77</x:v>
      </x:c>
      <x:c r="M1032" s="13" t="n">
        <x:v>25</x:v>
      </x:c>
    </x:row>
    <x:row r="1033" ht="22" customHeight="1">
      <x:c r="A1033" s="17" t="str">
        <x:f>"14301000"</x:f>
        <x:v>14301000</x:v>
      </x:c>
      <x:c r="B1033" s="13" t="n">
        <x:v>42</x:v>
      </x:c>
      <x:c r="C1033" s="22" t="b">
        <x:v>0</x:v>
      </x:c>
      <x:c r="D1033" s="11" t="n">
        <x:v>0.8287561131532597</x:v>
      </x:c>
      <x:c r="E1033" s="11" t="n">
        <x:v>0.8349824687587418</x:v>
      </x:c>
      <x:c r="F1033" s="11" t="n">
        <x:v>0.2188900603159012</x:v>
      </x:c>
      <x:c r="G1033" s="11" t="n">
        <x:v>-0.006226355605482126</x:v>
      </x:c>
      <x:c r="H1033" s="11" t="n">
        <x:v>0.6098660528373585</x:v>
      </x:c>
      <x:c r="I1033" s="11"/>
      <x:c r="J1033" s="13" t="n">
        <x:v>0</x:v>
      </x:c>
      <x:c r="K1033" s="22" t="b">
        <x:v>0</x:v>
      </x:c>
      <x:c r="L1033" s="13" t="n">
        <x:v>112</x:v>
      </x:c>
      <x:c r="M1033" s="13" t="n">
        <x:v>37</x:v>
      </x:c>
    </x:row>
    <x:row r="1034" ht="22" customHeight="1">
      <x:c r="A1034" s="17" t="str">
        <x:f>"14305500"</x:f>
        <x:v>14305500</x:v>
      </x:c>
      <x:c r="B1034" s="13" t="n">
        <x:v>42</x:v>
      </x:c>
      <x:c r="C1034" s="22" t="b">
        <x:v>1</x:v>
      </x:c>
      <x:c r="D1034" s="11" t="n">
        <x:v>0.7682252441715456</x:v>
      </x:c>
      <x:c r="E1034" s="11" t="n">
        <x:v>0.6730314276990994</x:v>
      </x:c>
      <x:c r="F1034" s="11" t="n">
        <x:v>0.6324510066775464</x:v>
      </x:c>
      <x:c r="G1034" s="11" t="n">
        <x:v>0.09519381647244618</x:v>
      </x:c>
      <x:c r="H1034" s="11" t="n">
        <x:v>0.1357742374939992</x:v>
      </x:c>
      <x:c r="I1034" s="11" t="n">
        <x:v>1</x:v>
      </x:c>
      <x:c r="J1034" s="13" t="n">
        <x:v>20</x:v>
      </x:c>
      <x:c r="K1034" s="22" t="b">
        <x:v>0</x:v>
      </x:c>
      <x:c r="L1034" s="13" t="n">
        <x:v>133</x:v>
      </x:c>
      <x:c r="M1034" s="13" t="n">
        <x:v>47</x:v>
      </x:c>
    </x:row>
    <x:row r="1035" ht="22" customHeight="1">
      <x:c r="A1035" s="17" t="str">
        <x:f>"14305500"</x:f>
        <x:v>14305500</x:v>
      </x:c>
      <x:c r="B1035" s="13" t="n">
        <x:v>42</x:v>
      </x:c>
      <x:c r="C1035" s="22" t="b">
        <x:v>0</x:v>
      </x:c>
      <x:c r="D1035" s="11" t="n">
        <x:v>0.6929781019712025</x:v>
      </x:c>
      <x:c r="E1035" s="11" t="n">
        <x:v>0.6581226480834046</x:v>
      </x:c>
      <x:c r="F1035" s="11" t="n">
        <x:v>0.6474244938654447</x:v>
      </x:c>
      <x:c r="G1035" s="11" t="n">
        <x:v>0.03485545388779787</x:v>
      </x:c>
      <x:c r="H1035" s="11" t="n">
        <x:v>0.045553608105757815</x:v>
      </x:c>
      <x:c r="I1035" s="11"/>
      <x:c r="J1035" s="13" t="n">
        <x:v>0</x:v>
      </x:c>
      <x:c r="K1035" s="22" t="b">
        <x:v>0</x:v>
      </x:c>
      <x:c r="L1035" s="13" t="n">
        <x:v>74</x:v>
      </x:c>
      <x:c r="M1035" s="13" t="n">
        <x:v>24</x:v>
      </x:c>
    </x:row>
    <x:row r="1036" ht="22" customHeight="1">
      <x:c r="A1036" s="17" t="str">
        <x:f>"14306500"</x:f>
        <x:v>14306500</x:v>
      </x:c>
      <x:c r="B1036" s="13" t="n">
        <x:v>42</x:v>
      </x:c>
      <x:c r="C1036" s="22" t="b">
        <x:v>1</x:v>
      </x:c>
      <x:c r="D1036" s="11" t="n">
        <x:v>0.8569396959271434</x:v>
      </x:c>
      <x:c r="E1036" s="11" t="n">
        <x:v>0.8487560204887417</x:v>
      </x:c>
      <x:c r="F1036" s="11" t="n">
        <x:v>0.6437824577655924</x:v>
      </x:c>
      <x:c r="G1036" s="11" t="n">
        <x:v>0.008183675438401705</x:v>
      </x:c>
      <x:c r="H1036" s="11" t="n">
        <x:v>0.21315723816155097</x:v>
      </x:c>
      <x:c r="I1036" s="11" t="n">
        <x:v>0.6363636363636364</x:v>
      </x:c>
      <x:c r="J1036" s="13" t="n">
        <x:v>11</x:v>
      </x:c>
      <x:c r="K1036" s="22" t="b">
        <x:v>0</x:v>
      </x:c>
      <x:c r="L1036" s="13" t="n">
        <x:v>78</x:v>
      </x:c>
      <x:c r="M1036" s="13" t="n">
        <x:v>25</x:v>
      </x:c>
    </x:row>
    <x:row r="1037" ht="22" customHeight="1">
      <x:c r="A1037" s="17" t="str">
        <x:f>"14306500"</x:f>
        <x:v>14306500</x:v>
      </x:c>
      <x:c r="B1037" s="13" t="n">
        <x:v>42</x:v>
      </x:c>
      <x:c r="C1037" s="22" t="b">
        <x:v>0</x:v>
      </x:c>
      <x:c r="D1037" s="11" t="n">
        <x:v>0.7908611128610898</x:v>
      </x:c>
      <x:c r="E1037" s="11" t="n">
        <x:v>0.7939339459469176</x:v>
      </x:c>
      <x:c r="F1037" s="11" t="n">
        <x:v>0.4117232456598797</x:v>
      </x:c>
      <x:c r="G1037" s="11" t="n">
        <x:v>-0.003072833085827731</x:v>
      </x:c>
      <x:c r="H1037" s="11" t="n">
        <x:v>0.3791378672012101</x:v>
      </x:c>
      <x:c r="I1037" s="11" t="n">
        <x:v>0.875</x:v>
      </x:c>
      <x:c r="J1037" s="13" t="n">
        <x:v>16</x:v>
      </x:c>
      <x:c r="K1037" s="22" t="b">
        <x:v>1</x:v>
      </x:c>
      <x:c r="L1037" s="13" t="n">
        <x:v>92</x:v>
      </x:c>
      <x:c r="M1037" s="13" t="n">
        <x:v>30</x:v>
      </x:c>
    </x:row>
    <x:row r="1038" ht="22" customHeight="1">
      <x:c r="A1038" s="17" t="str">
        <x:f>"14309500"</x:f>
        <x:v>14309500</x:v>
      </x:c>
      <x:c r="B1038" s="13" t="n">
        <x:v>42</x:v>
      </x:c>
      <x:c r="C1038" s="22" t="b">
        <x:v>1</x:v>
      </x:c>
      <x:c r="D1038" s="11" t="n">
        <x:v>0.6993626360050138</x:v>
      </x:c>
      <x:c r="E1038" s="11" t="n">
        <x:v>0.6697116690783699</x:v>
      </x:c>
      <x:c r="F1038" s="11" t="n">
        <x:v>0.5949311821208261</x:v>
      </x:c>
      <x:c r="G1038" s="11" t="n">
        <x:v>0.02965096692664393</x:v>
      </x:c>
      <x:c r="H1038" s="11" t="n">
        <x:v>0.10443145388418773</x:v>
      </x:c>
      <x:c r="I1038" s="11" t="n">
        <x:v>1</x:v>
      </x:c>
      <x:c r="J1038" s="13" t="n">
        <x:v>18</x:v>
      </x:c>
      <x:c r="K1038" s="22" t="b">
        <x:v>1</x:v>
      </x:c>
      <x:c r="L1038" s="13" t="n">
        <x:v>133</x:v>
      </x:c>
      <x:c r="M1038" s="13" t="n">
        <x:v>47</x:v>
      </x:c>
    </x:row>
    <x:row r="1039" ht="22" customHeight="1">
      <x:c r="A1039" s="17" t="str">
        <x:f>"14309500"</x:f>
        <x:v>14309500</x:v>
      </x:c>
      <x:c r="B1039" s="13" t="n">
        <x:v>42</x:v>
      </x:c>
      <x:c r="C1039" s="22" t="b">
        <x:v>0</x:v>
      </x:c>
      <x:c r="D1039" s="11" t="n">
        <x:v>0.6550236611759752</x:v>
      </x:c>
      <x:c r="E1039" s="11" t="n">
        <x:v>0.6411877138882269</x:v>
      </x:c>
      <x:c r="F1039" s="11" t="n">
        <x:v>0.12070696229106126</x:v>
      </x:c>
      <x:c r="G1039" s="11" t="n">
        <x:v>0.013835947287748285</x:v>
      </x:c>
      <x:c r="H1039" s="11" t="n">
        <x:v>0.534316698884914</x:v>
      </x:c>
      <x:c r="I1039" s="11" t="n">
        <x:v>0.55</x:v>
      </x:c>
      <x:c r="J1039" s="13" t="n">
        <x:v>20</x:v>
      </x:c>
      <x:c r="K1039" s="22" t="b">
        <x:v>0</x:v>
      </x:c>
      <x:c r="L1039" s="13" t="n">
        <x:v>163</x:v>
      </x:c>
      <x:c r="M1039" s="13" t="n">
        <x:v>68</x:v>
      </x:c>
    </x:row>
    <x:row r="1040" ht="22" customHeight="1">
      <x:c r="A1040" s="17" t="str">
        <x:f>"14316700"</x:f>
        <x:v>14316700</x:v>
      </x:c>
      <x:c r="B1040" s="13" t="n">
        <x:v>42</x:v>
      </x:c>
      <x:c r="C1040" s="22" t="b">
        <x:v>1</x:v>
      </x:c>
      <x:c r="D1040" s="11" t="n">
        <x:v>0.7213563742420899</x:v>
      </x:c>
      <x:c r="E1040" s="11" t="n">
        <x:v>0.7199881012285089</x:v>
      </x:c>
      <x:c r="F1040" s="11" t="n">
        <x:v>0.4670149757448654</x:v>
      </x:c>
      <x:c r="G1040" s="11" t="n">
        <x:v>0.0013682730135810006</x:v>
      </x:c>
      <x:c r="H1040" s="11" t="n">
        <x:v>0.2543413984972245</x:v>
      </x:c>
      <x:c r="I1040" s="11" t="n">
        <x:v>1</x:v>
      </x:c>
      <x:c r="J1040" s="13" t="n">
        <x:v>8</x:v>
      </x:c>
      <x:c r="K1040" s="22" t="b">
        <x:v>1</x:v>
      </x:c>
      <x:c r="L1040" s="13" t="n">
        <x:v>83</x:v>
      </x:c>
      <x:c r="M1040" s="13" t="n">
        <x:v>27</x:v>
      </x:c>
    </x:row>
    <x:row r="1041" ht="22" customHeight="1">
      <x:c r="A1041" s="17" t="str">
        <x:f>"14316700"</x:f>
        <x:v>14316700</x:v>
      </x:c>
      <x:c r="B1041" s="13" t="n">
        <x:v>42</x:v>
      </x:c>
      <x:c r="C1041" s="22" t="b">
        <x:v>0</x:v>
      </x:c>
      <x:c r="D1041" s="11" t="n">
        <x:v>0.6441045983165894</x:v>
      </x:c>
      <x:c r="E1041" s="11" t="n">
        <x:v>0.605354969467688</x:v>
      </x:c>
      <x:c r="F1041" s="11" t="n">
        <x:v>0.28243057446385256</x:v>
      </x:c>
      <x:c r="G1041" s="11" t="n">
        <x:v>0.03874962884890143</x:v>
      </x:c>
      <x:c r="H1041" s="11" t="n">
        <x:v>0.36167402385273684</x:v>
      </x:c>
      <x:c r="I1041" s="11" t="n">
        <x:v>1</x:v>
      </x:c>
      <x:c r="J1041" s="13" t="n">
        <x:v>17</x:v>
      </x:c>
      <x:c r="K1041" s="22" t="b">
        <x:v>1</x:v>
      </x:c>
      <x:c r="L1041" s="13" t="n">
        <x:v>98</x:v>
      </x:c>
      <x:c r="M1041" s="13" t="n">
        <x:v>31</x:v>
      </x:c>
    </x:row>
    <x:row r="1042" ht="22" customHeight="1">
      <x:c r="A1042" s="17" t="str">
        <x:f>"14325000"</x:f>
        <x:v>14325000</x:v>
      </x:c>
      <x:c r="B1042" s="13" t="n">
        <x:v>42</x:v>
      </x:c>
      <x:c r="C1042" s="22" t="b">
        <x:v>1</x:v>
      </x:c>
      <x:c r="D1042" s="11" t="n">
        <x:v>0.714075531183002</x:v>
      </x:c>
      <x:c r="E1042" s="11" t="n">
        <x:v>0.6791902046822209</x:v>
      </x:c>
      <x:c r="F1042" s="11" t="n">
        <x:v>0.695372122749109</x:v>
      </x:c>
      <x:c r="G1042" s="11" t="n">
        <x:v>0.03488532650078113</x:v>
      </x:c>
      <x:c r="H1042" s="11" t="n">
        <x:v>0.018703408433893065</x:v>
      </x:c>
      <x:c r="I1042" s="11" t="n">
        <x:v>0.95</x:v>
      </x:c>
      <x:c r="J1042" s="13" t="n">
        <x:v>20</x:v>
      </x:c>
      <x:c r="K1042" s="22" t="b">
        <x:v>0</x:v>
      </x:c>
      <x:c r="L1042" s="13" t="n">
        <x:v>172</x:v>
      </x:c>
      <x:c r="M1042" s="13" t="n">
        <x:v>76</x:v>
      </x:c>
    </x:row>
    <x:row r="1043" ht="22" customHeight="1">
      <x:c r="A1043" s="17" t="str">
        <x:f>"14325000"</x:f>
        <x:v>14325000</x:v>
      </x:c>
      <x:c r="B1043" s="13" t="n">
        <x:v>42</x:v>
      </x:c>
      <x:c r="C1043" s="22" t="b">
        <x:v>0</x:v>
      </x:c>
      <x:c r="D1043" s="11" t="n">
        <x:v>0.6346697161169049</x:v>
      </x:c>
      <x:c r="E1043" s="11" t="n">
        <x:v>0.6223420956731915</x:v>
      </x:c>
      <x:c r="F1043" s="11" t="n">
        <x:v>0.4824612029247738</x:v>
      </x:c>
      <x:c r="G1043" s="11" t="n">
        <x:v>0.012327620443713383</x:v>
      </x:c>
      <x:c r="H1043" s="11" t="n">
        <x:v>0.15220851319213113</x:v>
      </x:c>
      <x:c r="I1043" s="11" t="n">
        <x:v>1</x:v>
      </x:c>
      <x:c r="J1043" s="13" t="n">
        <x:v>20</x:v>
      </x:c>
      <x:c r="K1043" s="22" t="b">
        <x:v>1</x:v>
      </x:c>
      <x:c r="L1043" s="13" t="n">
        <x:v>148</x:v>
      </x:c>
      <x:c r="M1043" s="13" t="n">
        <x:v>57</x:v>
      </x:c>
    </x:row>
    <x:row r="1044" ht="22" customHeight="1">
      <x:c r="A1044" s="17" t="str">
        <x:f>"14400000"</x:f>
        <x:v>14400000</x:v>
      </x:c>
      <x:c r="B1044" s="13" t="n">
        <x:v>42</x:v>
      </x:c>
      <x:c r="C1044" s="22" t="b">
        <x:v>1</x:v>
      </x:c>
      <x:c r="D1044" s="11" t="n">
        <x:v>0.7740210773202559</x:v>
      </x:c>
      <x:c r="E1044" s="11" t="n">
        <x:v>0.7490843872931182</x:v>
      </x:c>
      <x:c r="F1044" s="11" t="n">
        <x:v>0.6874610270437748</x:v>
      </x:c>
      <x:c r="G1044" s="11" t="n">
        <x:v>0.02493669002713772</x:v>
      </x:c>
      <x:c r="H1044" s="11" t="n">
        <x:v>0.08656005027648117</x:v>
      </x:c>
      <x:c r="I1044" s="11"/>
      <x:c r="J1044" s="13" t="n">
        <x:v>0</x:v>
      </x:c>
      <x:c r="K1044" s="22" t="b">
        <x:v>0</x:v>
      </x:c>
      <x:c r="L1044" s="13" t="n">
        <x:v>90</x:v>
      </x:c>
      <x:c r="M1044" s="13" t="n">
        <x:v>28</x:v>
      </x:c>
    </x:row>
    <x:row r="1045" ht="22" customHeight="1">
      <x:c r="A1045" s="17" t="str">
        <x:f>"14400000"</x:f>
        <x:v>14400000</x:v>
      </x:c>
      <x:c r="B1045" s="13" t="n">
        <x:v>42</x:v>
      </x:c>
      <x:c r="C1045" s="22" t="b">
        <x:v>0</x:v>
      </x:c>
      <x:c r="D1045" s="11" t="n">
        <x:v>0.7041852398354137</x:v>
      </x:c>
      <x:c r="E1045" s="11" t="n">
        <x:v>0.6541258690066608</x:v>
      </x:c>
      <x:c r="F1045" s="11" t="n">
        <x:v>0.5894446434725431</x:v>
      </x:c>
      <x:c r="G1045" s="11" t="n">
        <x:v>0.05005937082875289</x:v>
      </x:c>
      <x:c r="H1045" s="11" t="n">
        <x:v>0.1147405963628706</x:v>
      </x:c>
      <x:c r="I1045" s="11" t="n">
        <x:v>1</x:v>
      </x:c>
      <x:c r="J1045" s="13" t="n">
        <x:v>19</x:v>
      </x:c>
      <x:c r="K1045" s="22" t="b">
        <x:v>0</x:v>
      </x:c>
      <x:c r="L1045" s="13" t="n">
        <x:v>109</x:v>
      </x:c>
      <x:c r="M1045" s="13" t="n">
        <x:v>36</x:v>
      </x:c>
    </x:row>
    <x:row r="1046" ht="22" customHeight="1">
      <x:c r="A1046" s="17" t="str">
        <x:f>"01552500"</x:f>
        <x:v>01552500</x:v>
      </x:c>
      <x:c r="B1046" s="13" t="n">
        <x:v>43</x:v>
      </x:c>
      <x:c r="C1046" s="22" t="b">
        <x:v>1</x:v>
      </x:c>
      <x:c r="D1046" s="11" t="n">
        <x:v>0.3247587516414925</x:v>
      </x:c>
      <x:c r="E1046" s="11" t="n">
        <x:v>0.3055474138576848</x:v>
      </x:c>
      <x:c r="F1046" s="11" t="n">
        <x:v>0.31746945299053564</x:v>
      </x:c>
      <x:c r="G1046" s="11" t="n">
        <x:v>0.01921133778380768</x:v>
      </x:c>
      <x:c r="H1046" s="11" t="n">
        <x:v>0.007289298650956844</x:v>
      </x:c>
      <x:c r="I1046" s="11" t="n">
        <x:v>0</x:v>
      </x:c>
      <x:c r="J1046" s="13" t="n">
        <x:v>8</x:v>
      </x:c>
      <x:c r="K1046" s="22" t="b">
        <x:v>0</x:v>
      </x:c>
      <x:c r="L1046" s="13" t="n">
        <x:v>60</x:v>
      </x:c>
      <x:c r="M1046" s="13" t="n">
        <x:v>20</x:v>
      </x:c>
    </x:row>
    <x:row r="1047" ht="22" customHeight="1">
      <x:c r="A1047" s="17" t="str">
        <x:f>"01552500"</x:f>
        <x:v>01552500</x:v>
      </x:c>
      <x:c r="B1047" s="13" t="n">
        <x:v>43</x:v>
      </x:c>
      <x:c r="C1047" s="22" t="b">
        <x:v>0</x:v>
      </x:c>
      <x:c r="D1047" s="11" t="n">
        <x:v>0.20475244574820606</x:v>
      </x:c>
      <x:c r="E1047" s="11" t="n">
        <x:v>0.17260151181050043</x:v>
      </x:c>
      <x:c r="F1047" s="11" t="n">
        <x:v>0.10714142370994806</x:v>
      </x:c>
      <x:c r="G1047" s="11" t="n">
        <x:v>0.03215093393770563</x:v>
      </x:c>
      <x:c r="H1047" s="11" t="n">
        <x:v>0.097611022038258</x:v>
      </x:c>
      <x:c r="I1047" s="11" t="n">
        <x:v>0.6</x:v>
      </x:c>
      <x:c r="J1047" s="13" t="n">
        <x:v>20</x:v>
      </x:c>
      <x:c r="K1047" s="22" t="b">
        <x:v>0</x:v>
      </x:c>
      <x:c r="L1047" s="13" t="n">
        <x:v>116</x:v>
      </x:c>
      <x:c r="M1047" s="13" t="n">
        <x:v>39</x:v>
      </x:c>
    </x:row>
    <x:row r="1048" ht="22" customHeight="1">
      <x:c r="A1048" s="17" t="str">
        <x:f>"01552500"</x:f>
        <x:v>01552500</x:v>
      </x:c>
      <x:c r="B1048" s="13" t="n">
        <x:v>44</x:v>
      </x:c>
      <x:c r="C1048" s="22" t="b">
        <x:v>1</x:v>
      </x:c>
      <x:c r="D1048" s="11" t="n">
        <x:v>0.3160273161375161</x:v>
      </x:c>
      <x:c r="E1048" s="11" t="n">
        <x:v>0.27619165963722747</x:v>
      </x:c>
      <x:c r="F1048" s="11" t="n">
        <x:v>0.27163630911606906</x:v>
      </x:c>
      <x:c r="G1048" s="11" t="n">
        <x:v>0.03983565650028864</x:v>
      </x:c>
      <x:c r="H1048" s="11" t="n">
        <x:v>0.04439100702144705</x:v>
      </x:c>
      <x:c r="I1048" s="11" t="n">
        <x:v>0.4</x:v>
      </x:c>
      <x:c r="J1048" s="13" t="n">
        <x:v>20</x:v>
      </x:c>
      <x:c r="K1048" s="22" t="b">
        <x:v>0</x:v>
      </x:c>
      <x:c r="L1048" s="13" t="n">
        <x:v>97</x:v>
      </x:c>
      <x:c r="M1048" s="13" t="n">
        <x:v>31</x:v>
      </x:c>
    </x:row>
    <x:row r="1049" ht="22" customHeight="1">
      <x:c r="A1049" s="17" t="str">
        <x:f>"01552500"</x:f>
        <x:v>01552500</x:v>
      </x:c>
      <x:c r="B1049" s="13" t="n">
        <x:v>44</x:v>
      </x:c>
      <x:c r="C1049" s="22" t="b">
        <x:v>0</x:v>
      </x:c>
      <x:c r="D1049" s="11" t="n">
        <x:v>0.17447198428426403</x:v>
      </x:c>
      <x:c r="E1049" s="11" t="n">
        <x:v>0.15629594596884355</x:v>
      </x:c>
      <x:c r="F1049" s="11" t="n">
        <x:v>-0.37463193163690645</x:v>
      </x:c>
      <x:c r="G1049" s="11" t="n">
        <x:v>0.018176038315420473</x:v>
      </x:c>
      <x:c r="H1049" s="11" t="n">
        <x:v>0.5491039159211705</x:v>
      </x:c>
      <x:c r="I1049" s="11" t="n">
        <x:v>0.7894736842105263</x:v>
      </x:c>
      <x:c r="J1049" s="13" t="n">
        <x:v>19</x:v>
      </x:c>
      <x:c r="K1049" s="22" t="b">
        <x:v>0</x:v>
      </x:c>
      <x:c r="L1049" s="13" t="n">
        <x:v>104</x:v>
      </x:c>
      <x:c r="M1049" s="13" t="n">
        <x:v>34</x:v>
      </x:c>
    </x:row>
    <x:row r="1050" ht="22" customHeight="1">
      <x:c r="A1050" s="17" t="str">
        <x:f>"01634500"</x:f>
        <x:v>01634500</x:v>
      </x:c>
      <x:c r="B1050" s="13" t="n">
        <x:v>43</x:v>
      </x:c>
      <x:c r="C1050" s="22" t="b">
        <x:v>1</x:v>
      </x:c>
      <x:c r="D1050" s="11" t="n">
        <x:v>0.3818663000392577</x:v>
      </x:c>
      <x:c r="E1050" s="11" t="n">
        <x:v>0.37403895084859873</x:v>
      </x:c>
      <x:c r="F1050" s="11" t="n">
        <x:v>0.36389414647464247</x:v>
      </x:c>
      <x:c r="G1050" s="11" t="n">
        <x:v>0.007827349190658972</x:v>
      </x:c>
      <x:c r="H1050" s="11" t="n">
        <x:v>0.017972153564615234</x:v>
      </x:c>
      <x:c r="I1050" s="11" t="n">
        <x:v>0.45</x:v>
      </x:c>
      <x:c r="J1050" s="13" t="n">
        <x:v>20</x:v>
      </x:c>
      <x:c r="K1050" s="22" t="b">
        <x:v>0</x:v>
      </x:c>
      <x:c r="L1050" s="13" t="n">
        <x:v>135</x:v>
      </x:c>
      <x:c r="M1050" s="13" t="n">
        <x:v>49</x:v>
      </x:c>
    </x:row>
    <x:row r="1051" ht="22" customHeight="1">
      <x:c r="A1051" s="17" t="str">
        <x:f>"01634500"</x:f>
        <x:v>01634500</x:v>
      </x:c>
      <x:c r="B1051" s="13" t="n">
        <x:v>43</x:v>
      </x:c>
      <x:c r="C1051" s="22" t="b">
        <x:v>0</x:v>
      </x:c>
      <x:c r="D1051" s="11" t="n">
        <x:v>0.12801720376462677</x:v>
      </x:c>
      <x:c r="E1051" s="11" t="n">
        <x:v>0.12980836676880048</x:v>
      </x:c>
      <x:c r="F1051" s="11" t="n">
        <x:v>0.0620844348984847</x:v>
      </x:c>
      <x:c r="G1051" s="11" t="n">
        <x:v>-0.0017911630041737014</x:v>
      </x:c>
      <x:c r="H1051" s="11" t="n">
        <x:v>0.06593276886614208</x:v>
      </x:c>
      <x:c r="I1051" s="11" t="n">
        <x:v>1</x:v>
      </x:c>
      <x:c r="J1051" s="13" t="n">
        <x:v>18</x:v>
      </x:c>
      <x:c r="K1051" s="22" t="b">
        <x:v>1</x:v>
      </x:c>
      <x:c r="L1051" s="13" t="n">
        <x:v>88</x:v>
      </x:c>
      <x:c r="M1051" s="13" t="n">
        <x:v>28</x:v>
      </x:c>
    </x:row>
    <x:row r="1052" ht="22" customHeight="1">
      <x:c r="A1052" s="17" t="str">
        <x:f>"01634500"</x:f>
        <x:v>01634500</x:v>
      </x:c>
      <x:c r="B1052" s="13" t="n">
        <x:v>44</x:v>
      </x:c>
      <x:c r="C1052" s="22" t="b">
        <x:v>1</x:v>
      </x:c>
      <x:c r="D1052" s="11" t="n">
        <x:v>0.3762903351068072</x:v>
      </x:c>
      <x:c r="E1052" s="11" t="n">
        <x:v>0.4041629353087135</x:v>
      </x:c>
      <x:c r="F1052" s="11" t="n">
        <x:v>0.355594241213687</x:v>
      </x:c>
      <x:c r="G1052" s="11" t="n">
        <x:v>-0.027872600201906295</x:v>
      </x:c>
      <x:c r="H1052" s="11" t="n">
        <x:v>0.020696093893120215</x:v>
      </x:c>
      <x:c r="I1052" s="11" t="n">
        <x:v>0.6</x:v>
      </x:c>
      <x:c r="J1052" s="13" t="n">
        <x:v>20</x:v>
      </x:c>
      <x:c r="K1052" s="22" t="b">
        <x:v>0</x:v>
      </x:c>
      <x:c r="L1052" s="13" t="n">
        <x:v>145</x:v>
      </x:c>
      <x:c r="M1052" s="13" t="n">
        <x:v>54</x:v>
      </x:c>
    </x:row>
    <x:row r="1053" ht="22" customHeight="1">
      <x:c r="A1053" s="17" t="str">
        <x:f>"01634500"</x:f>
        <x:v>01634500</x:v>
      </x:c>
      <x:c r="B1053" s="13" t="n">
        <x:v>44</x:v>
      </x:c>
      <x:c r="C1053" s="22" t="b">
        <x:v>0</x:v>
      </x:c>
      <x:c r="D1053" s="11" t="n">
        <x:v>0.13236723047107102</x:v>
      </x:c>
      <x:c r="E1053" s="11" t="n">
        <x:v>0.11795811764418962</x:v>
      </x:c>
      <x:c r="F1053" s="11" t="n">
        <x:v>0.033875325574161175</x:v>
      </x:c>
      <x:c r="G1053" s="11" t="n">
        <x:v>0.014409112826881398</x:v>
      </x:c>
      <x:c r="H1053" s="11" t="n">
        <x:v>0.09849190489690984</x:v>
      </x:c>
      <x:c r="I1053" s="11" t="n">
        <x:v>1</x:v>
      </x:c>
      <x:c r="J1053" s="13" t="n">
        <x:v>15</x:v>
      </x:c>
      <x:c r="K1053" s="22" t="b">
        <x:v>1</x:v>
      </x:c>
      <x:c r="L1053" s="13" t="n">
        <x:v>78</x:v>
      </x:c>
      <x:c r="M1053" s="13" t="n">
        <x:v>25</x:v>
      </x:c>
    </x:row>
    <x:row r="1054" ht="22" customHeight="1">
      <x:c r="A1054" s="17" t="str">
        <x:f>"02312200"</x:f>
        <x:v>02312200</x:v>
      </x:c>
      <x:c r="B1054" s="13" t="n">
        <x:v>43</x:v>
      </x:c>
      <x:c r="C1054" s="22" t="b">
        <x:v>1</x:v>
      </x:c>
      <x:c r="D1054" s="11" t="n">
        <x:v>0.9717605011065252</x:v>
      </x:c>
      <x:c r="E1054" s="11" t="n">
        <x:v>0.9207633563125486</x:v>
      </x:c>
      <x:c r="F1054" s="11" t="n">
        <x:v>0.24883897766063967</x:v>
      </x:c>
      <x:c r="G1054" s="11" t="n">
        <x:v>0.050997144793976656</x:v>
      </x:c>
      <x:c r="H1054" s="11" t="n">
        <x:v>0.7229215234458856</x:v>
      </x:c>
      <x:c r="I1054" s="11"/>
      <x:c r="J1054" s="13" t="n">
        <x:v>0</x:v>
      </x:c>
      <x:c r="K1054" s="22" t="b">
        <x:v>0</x:v>
      </x:c>
      <x:c r="L1054" s="13" t="n">
        <x:v>40</x:v>
      </x:c>
      <x:c r="M1054" s="13" t="n">
        <x:v>15</x:v>
      </x:c>
    </x:row>
    <x:row r="1055" ht="22" customHeight="1">
      <x:c r="A1055" s="17" t="str">
        <x:f>"02312200"</x:f>
        <x:v>02312200</x:v>
      </x:c>
      <x:c r="B1055" s="13" t="n">
        <x:v>43</x:v>
      </x:c>
      <x:c r="C1055" s="22" t="b">
        <x:v>0</x:v>
      </x:c>
      <x:c r="D1055" s="11" t="n">
        <x:v>-3.7430240724398303</x:v>
      </x:c>
      <x:c r="E1055" s="11" t="n">
        <x:v>-1.8545227041291263</x:v>
      </x:c>
      <x:c r="F1055" s="11" t="n">
        <x:v>-10.0366230528428</x:v>
      </x:c>
      <x:c r="G1055" s="11" t="n">
        <x:v>-1.888501368310704</x:v>
      </x:c>
      <x:c r="H1055" s="11" t="n">
        <x:v>6.293598980402971</x:v>
      </x:c>
      <x:c r="I1055" s="11" t="n">
        <x:v>0.8947368421052632</x:v>
      </x:c>
      <x:c r="J1055" s="13" t="n">
        <x:v>19</x:v>
      </x:c>
      <x:c r="K1055" s="22" t="b">
        <x:v>1</x:v>
      </x:c>
      <x:c r="L1055" s="13" t="n">
        <x:v>114</x:v>
      </x:c>
      <x:c r="M1055" s="13" t="n">
        <x:v>37</x:v>
      </x:c>
    </x:row>
    <x:row r="1056" ht="22" customHeight="1">
      <x:c r="A1056" s="17" t="str">
        <x:f>"02312200"</x:f>
        <x:v>02312200</x:v>
      </x:c>
      <x:c r="B1056" s="13" t="n">
        <x:v>44</x:v>
      </x:c>
      <x:c r="C1056" s="22" t="b">
        <x:v>1</x:v>
      </x:c>
      <x:c r="D1056" s="11" t="n">
        <x:v>0.9735794158945197</x:v>
      </x:c>
      <x:c r="E1056" s="11" t="n">
        <x:v>0.9552128166224046</x:v>
      </x:c>
      <x:c r="F1056" s="11" t="n">
        <x:v>0.5251093998923337</x:v>
      </x:c>
      <x:c r="G1056" s="11" t="n">
        <x:v>0.018366599272115036</x:v>
      </x:c>
      <x:c r="H1056" s="11" t="n">
        <x:v>0.44847001600218594</x:v>
      </x:c>
      <x:c r="I1056" s="11"/>
      <x:c r="J1056" s="13" t="n">
        <x:v>0</x:v>
      </x:c>
      <x:c r="K1056" s="22" t="b">
        <x:v>0</x:v>
      </x:c>
      <x:c r="L1056" s="13" t="n">
        <x:v>34</x:v>
      </x:c>
      <x:c r="M1056" s="13" t="n">
        <x:v>13</x:v>
      </x:c>
    </x:row>
    <x:row r="1057" ht="22" customHeight="1">
      <x:c r="A1057" s="17" t="str">
        <x:f>"02312200"</x:f>
        <x:v>02312200</x:v>
      </x:c>
      <x:c r="B1057" s="13" t="n">
        <x:v>44</x:v>
      </x:c>
      <x:c r="C1057" s="22" t="b">
        <x:v>0</x:v>
      </x:c>
      <x:c r="D1057" s="11" t="n">
        <x:v>-3.9997425494776113</x:v>
      </x:c>
      <x:c r="E1057" s="11" t="n">
        <x:v>-1.7345074990399336</x:v>
      </x:c>
      <x:c r="F1057" s="11" t="n">
        <x:v>-51.87674727529387</x:v>
      </x:c>
      <x:c r="G1057" s="11" t="n">
        <x:v>-2.2652350504376777</x:v>
      </x:c>
      <x:c r="H1057" s="11" t="n">
        <x:v>47.87700472581626</x:v>
      </x:c>
      <x:c r="I1057" s="11" t="n">
        <x:v>0.9</x:v>
      </x:c>
      <x:c r="J1057" s="13" t="n">
        <x:v>20</x:v>
      </x:c>
      <x:c r="K1057" s="22" t="b">
        <x:v>1</x:v>
      </x:c>
      <x:c r="L1057" s="13" t="n">
        <x:v>111</x:v>
      </x:c>
      <x:c r="M1057" s="13" t="n">
        <x:v>37</x:v>
      </x:c>
    </x:row>
    <x:row r="1058" ht="22" customHeight="1">
      <x:c r="A1058" s="17" t="str">
        <x:f>"03604000"</x:f>
        <x:v>03604000</x:v>
      </x:c>
      <x:c r="B1058" s="13" t="n">
        <x:v>43</x:v>
      </x:c>
      <x:c r="C1058" s="22" t="b">
        <x:v>1</x:v>
      </x:c>
      <x:c r="D1058" s="11" t="n">
        <x:v>0.34504524006748283</x:v>
      </x:c>
      <x:c r="E1058" s="11" t="n">
        <x:v>0.3406270626088458</x:v>
      </x:c>
      <x:c r="F1058" s="11" t="n">
        <x:v>-0.10693835067831214</x:v>
      </x:c>
      <x:c r="G1058" s="11" t="n">
        <x:v>0.00441817745863704</x:v>
      </x:c>
      <x:c r="H1058" s="11" t="n">
        <x:v>0.45198359074579497</x:v>
      </x:c>
      <x:c r="I1058" s="11" t="n">
        <x:v>0.9</x:v>
      </x:c>
      <x:c r="J1058" s="13" t="n">
        <x:v>20</x:v>
      </x:c>
      <x:c r="K1058" s="22" t="b">
        <x:v>1</x:v>
      </x:c>
      <x:c r="L1058" s="13" t="n">
        <x:v>152</x:v>
      </x:c>
      <x:c r="M1058" s="13" t="n">
        <x:v>59</x:v>
      </x:c>
    </x:row>
    <x:row r="1059" ht="22" customHeight="1">
      <x:c r="A1059" s="17" t="str">
        <x:f>"03604000"</x:f>
        <x:v>03604000</x:v>
      </x:c>
      <x:c r="B1059" s="13" t="n">
        <x:v>43</x:v>
      </x:c>
      <x:c r="C1059" s="22" t="b">
        <x:v>0</x:v>
      </x:c>
      <x:c r="D1059" s="11" t="n">
        <x:v>0.35128484046020925</x:v>
      </x:c>
      <x:c r="E1059" s="11" t="n">
        <x:v>0.2635413877519649</x:v>
      </x:c>
      <x:c r="F1059" s="11" t="n">
        <x:v>-0.3773027537323572</x:v>
      </x:c>
      <x:c r="G1059" s="11" t="n">
        <x:v>0.08774345270824435</x:v>
      </x:c>
      <x:c r="H1059" s="11" t="n">
        <x:v>0.7285875941925665</x:v>
      </x:c>
      <x:c r="I1059" s="11" t="n">
        <x:v>0.8</x:v>
      </x:c>
      <x:c r="J1059" s="13" t="n">
        <x:v>20</x:v>
      </x:c>
      <x:c r="K1059" s="22" t="b">
        <x:v>0</x:v>
      </x:c>
      <x:c r="L1059" s="13" t="n">
        <x:v>146</x:v>
      </x:c>
      <x:c r="M1059" s="13" t="n">
        <x:v>58</x:v>
      </x:c>
    </x:row>
    <x:row r="1060" ht="22" customHeight="1">
      <x:c r="A1060" s="17" t="str">
        <x:f>"03604000"</x:f>
        <x:v>03604000</x:v>
      </x:c>
      <x:c r="B1060" s="13" t="n">
        <x:v>44</x:v>
      </x:c>
      <x:c r="C1060" s="22" t="b">
        <x:v>1</x:v>
      </x:c>
      <x:c r="D1060" s="11" t="n">
        <x:v>0.398254570294284</x:v>
      </x:c>
      <x:c r="E1060" s="11" t="n">
        <x:v>0.37143506915968916</x:v>
      </x:c>
      <x:c r="F1060" s="11" t="n">
        <x:v>-0.4473766337156426</x:v>
      </x:c>
      <x:c r="G1060" s="11" t="n">
        <x:v>0.02681950113459486</x:v>
      </x:c>
      <x:c r="H1060" s="11" t="n">
        <x:v>0.8456312040099266</x:v>
      </x:c>
      <x:c r="I1060" s="11" t="n">
        <x:v>1</x:v>
      </x:c>
      <x:c r="J1060" s="13" t="n">
        <x:v>5</x:v>
      </x:c>
      <x:c r="K1060" s="22" t="b">
        <x:v>1</x:v>
      </x:c>
      <x:c r="L1060" s="13" t="n">
        <x:v>82</x:v>
      </x:c>
      <x:c r="M1060" s="13" t="n">
        <x:v>26</x:v>
      </x:c>
    </x:row>
    <x:row r="1061" ht="22" customHeight="1">
      <x:c r="A1061" s="17" t="str">
        <x:f>"03604000"</x:f>
        <x:v>03604000</x:v>
      </x:c>
      <x:c r="B1061" s="13" t="n">
        <x:v>44</x:v>
      </x:c>
      <x:c r="C1061" s="22" t="b">
        <x:v>0</x:v>
      </x:c>
      <x:c r="D1061" s="11" t="n">
        <x:v>0.31146314401170594</x:v>
      </x:c>
      <x:c r="E1061" s="11" t="n">
        <x:v>0.28242153719493956</x:v>
      </x:c>
      <x:c r="F1061" s="11" t="n">
        <x:v>-0.8477387635201803</x:v>
      </x:c>
      <x:c r="G1061" s="11" t="n">
        <x:v>0.029041606816766374</x:v>
      </x:c>
      <x:c r="H1061" s="11" t="n">
        <x:v>1.1592019075318862</x:v>
      </x:c>
      <x:c r="I1061" s="11" t="n">
        <x:v>0.5</x:v>
      </x:c>
      <x:c r="J1061" s="13" t="n">
        <x:v>20</x:v>
      </x:c>
      <x:c r="K1061" s="22" t="b">
        <x:v>0</x:v>
      </x:c>
      <x:c r="L1061" s="13" t="n">
        <x:v>152</x:v>
      </x:c>
      <x:c r="M1061" s="13" t="n">
        <x:v>59</x:v>
      </x:c>
    </x:row>
    <x:row r="1062" ht="22" customHeight="1">
      <x:c r="A1062" s="17" t="str">
        <x:f>"04127997"</x:f>
        <x:v>04127997</x:v>
      </x:c>
      <x:c r="B1062" s="13" t="n">
        <x:v>43</x:v>
      </x:c>
      <x:c r="C1062" s="22" t="b">
        <x:v>1</x:v>
      </x:c>
      <x:c r="D1062" s="11" t="n">
        <x:v>0.7243039967705336</x:v>
      </x:c>
      <x:c r="E1062" s="11" t="n">
        <x:v>0.7300058541338159</x:v>
      </x:c>
      <x:c r="F1062" s="11" t="n">
        <x:v>0.2517308926167182</x:v>
      </x:c>
      <x:c r="G1062" s="11" t="n">
        <x:v>-0.0057018573632823255</x:v>
      </x:c>
      <x:c r="H1062" s="11" t="n">
        <x:v>0.47257310415381537</x:v>
      </x:c>
      <x:c r="I1062" s="11" t="n">
        <x:v>1</x:v>
      </x:c>
      <x:c r="J1062" s="13" t="n">
        <x:v>20</x:v>
      </x:c>
      <x:c r="K1062" s="22" t="b">
        <x:v>1</x:v>
      </x:c>
      <x:c r="L1062" s="13" t="n">
        <x:v>171</x:v>
      </x:c>
      <x:c r="M1062" s="13" t="n">
        <x:v>75</x:v>
      </x:c>
    </x:row>
    <x:row r="1063" ht="22" customHeight="1">
      <x:c r="A1063" s="17" t="str">
        <x:f>"04127997"</x:f>
        <x:v>04127997</x:v>
      </x:c>
      <x:c r="B1063" s="13" t="n">
        <x:v>43</x:v>
      </x:c>
      <x:c r="C1063" s="22" t="b">
        <x:v>0</x:v>
      </x:c>
      <x:c r="D1063" s="11" t="n">
        <x:v>0.5401051020921599</x:v>
      </x:c>
      <x:c r="E1063" s="11" t="n">
        <x:v>0.5570014776129828</x:v>
      </x:c>
      <x:c r="F1063" s="11" t="n">
        <x:v>-0.39504232564342856</x:v>
      </x:c>
      <x:c r="G1063" s="11" t="n">
        <x:v>-0.016896375520822904</x:v>
      </x:c>
      <x:c r="H1063" s="11" t="n">
        <x:v>0.9351474277355885</x:v>
      </x:c>
      <x:c r="I1063" s="11" t="n">
        <x:v>0.8</x:v>
      </x:c>
      <x:c r="J1063" s="13" t="n">
        <x:v>20</x:v>
      </x:c>
      <x:c r="K1063" s="22" t="b">
        <x:v>1</x:v>
      </x:c>
      <x:c r="L1063" s="13" t="n">
        <x:v>171</x:v>
      </x:c>
      <x:c r="M1063" s="13" t="n">
        <x:v>75</x:v>
      </x:c>
    </x:row>
    <x:row r="1064" ht="22" customHeight="1">
      <x:c r="A1064" s="17" t="str">
        <x:f>"04127997"</x:f>
        <x:v>04127997</x:v>
      </x:c>
      <x:c r="B1064" s="13" t="n">
        <x:v>44</x:v>
      </x:c>
      <x:c r="C1064" s="22" t="b">
        <x:v>1</x:v>
      </x:c>
      <x:c r="D1064" s="11" t="n">
        <x:v>0.7405241839763544</x:v>
      </x:c>
      <x:c r="E1064" s="11" t="n">
        <x:v>0.7348743807784957</x:v>
      </x:c>
      <x:c r="F1064" s="11" t="n">
        <x:v>0.46625473802238016</x:v>
      </x:c>
      <x:c r="G1064" s="11" t="n">
        <x:v>0.005649803197858794</x:v>
      </x:c>
      <x:c r="H1064" s="11" t="n">
        <x:v>0.2742694459539743</x:v>
      </x:c>
      <x:c r="I1064" s="11" t="n">
        <x:v>0.95</x:v>
      </x:c>
      <x:c r="J1064" s="13" t="n">
        <x:v>20</x:v>
      </x:c>
      <x:c r="K1064" s="22" t="b">
        <x:v>1</x:v>
      </x:c>
      <x:c r="L1064" s="13" t="n">
        <x:v>94</x:v>
      </x:c>
      <x:c r="M1064" s="13" t="n">
        <x:v>30</x:v>
      </x:c>
    </x:row>
    <x:row r="1065" ht="22" customHeight="1">
      <x:c r="A1065" s="17" t="str">
        <x:f>"04127997"</x:f>
        <x:v>04127997</x:v>
      </x:c>
      <x:c r="B1065" s="13" t="n">
        <x:v>44</x:v>
      </x:c>
      <x:c r="C1065" s="22" t="b">
        <x:v>0</x:v>
      </x:c>
      <x:c r="D1065" s="11" t="n">
        <x:v>0.5376349920822824</x:v>
      </x:c>
      <x:c r="E1065" s="11" t="n">
        <x:v>0.5240476188474342</x:v>
      </x:c>
      <x:c r="F1065" s="11" t="n">
        <x:v>-0.5150594067299086</x:v>
      </x:c>
      <x:c r="G1065" s="11" t="n">
        <x:v>0.013587373234848155</x:v>
      </x:c>
      <x:c r="H1065" s="11" t="n">
        <x:v>1.052694398812191</x:v>
      </x:c>
      <x:c r="I1065" s="11" t="n">
        <x:v>1</x:v>
      </x:c>
      <x:c r="J1065" s="13" t="n">
        <x:v>20</x:v>
      </x:c>
      <x:c r="K1065" s="22" t="b">
        <x:v>1</x:v>
      </x:c>
      <x:c r="L1065" s="13" t="n">
        <x:v>151</x:v>
      </x:c>
      <x:c r="M1065" s="13" t="n">
        <x:v>59</x:v>
      </x:c>
    </x:row>
    <x:row r="1066" ht="22" customHeight="1">
      <x:c r="A1066" s="17" t="str">
        <x:f>"05393500"</x:f>
        <x:v>05393500</x:v>
      </x:c>
      <x:c r="B1066" s="13" t="n">
        <x:v>43</x:v>
      </x:c>
      <x:c r="C1066" s="22" t="b">
        <x:v>1</x:v>
      </x:c>
      <x:c r="D1066" s="11" t="n">
        <x:v>0.8016960848403725</x:v>
      </x:c>
      <x:c r="E1066" s="11" t="n">
        <x:v>0.7932778732836026</x:v>
      </x:c>
      <x:c r="F1066" s="11" t="n">
        <x:v>0.5388454535384954</x:v>
      </x:c>
      <x:c r="G1066" s="11" t="n">
        <x:v>0.008418211556769917</x:v>
      </x:c>
      <x:c r="H1066" s="11" t="n">
        <x:v>0.262850631301877</x:v>
      </x:c>
      <x:c r="I1066" s="11" t="n">
        <x:v>0.9</x:v>
      </x:c>
      <x:c r="J1066" s="13" t="n">
        <x:v>20</x:v>
      </x:c>
      <x:c r="K1066" s="22" t="b">
        <x:v>1</x:v>
      </x:c>
      <x:c r="L1066" s="13" t="n">
        <x:v>142</x:v>
      </x:c>
      <x:c r="M1066" s="13" t="n">
        <x:v>53</x:v>
      </x:c>
    </x:row>
    <x:row r="1067" ht="22" customHeight="1">
      <x:c r="A1067" s="17" t="str">
        <x:f>"05393500"</x:f>
        <x:v>05393500</x:v>
      </x:c>
      <x:c r="B1067" s="13" t="n">
        <x:v>43</x:v>
      </x:c>
      <x:c r="C1067" s="22" t="b">
        <x:v>0</x:v>
      </x:c>
      <x:c r="D1067" s="11" t="n">
        <x:v>0.6437078270266616</x:v>
      </x:c>
      <x:c r="E1067" s="11" t="n">
        <x:v>0.6471097331512947</x:v>
      </x:c>
      <x:c r="F1067" s="11" t="n">
        <x:v>-1.060743514556524</x:v>
      </x:c>
      <x:c r="G1067" s="11" t="n">
        <x:v>-0.0034019061246330917</x:v>
      </x:c>
      <x:c r="H1067" s="11" t="n">
        <x:v>1.7044513415831857</x:v>
      </x:c>
      <x:c r="I1067" s="11" t="n">
        <x:v>0.75</x:v>
      </x:c>
      <x:c r="J1067" s="13" t="n">
        <x:v>20</x:v>
      </x:c>
      <x:c r="K1067" s="22" t="b">
        <x:v>0</x:v>
      </x:c>
      <x:c r="L1067" s="13" t="n">
        <x:v>146</x:v>
      </x:c>
      <x:c r="M1067" s="13" t="n">
        <x:v>55</x:v>
      </x:c>
    </x:row>
    <x:row r="1068" ht="22" customHeight="1">
      <x:c r="A1068" s="17" t="str">
        <x:f>"05393500"</x:f>
        <x:v>05393500</x:v>
      </x:c>
      <x:c r="B1068" s="13" t="n">
        <x:v>44</x:v>
      </x:c>
      <x:c r="C1068" s="22" t="b">
        <x:v>1</x:v>
      </x:c>
      <x:c r="D1068" s="11" t="n">
        <x:v>0.8083117328710747</x:v>
      </x:c>
      <x:c r="E1068" s="11" t="n">
        <x:v>0.7994739052717655</x:v>
      </x:c>
      <x:c r="F1068" s="11" t="n">
        <x:v>0.645427179049954</x:v>
      </x:c>
      <x:c r="G1068" s="11" t="n">
        <x:v>0.008837827599309178</x:v>
      </x:c>
      <x:c r="H1068" s="11" t="n">
        <x:v>0.16288455382112077</x:v>
      </x:c>
      <x:c r="I1068" s="11" t="n">
        <x:v>1</x:v>
      </x:c>
      <x:c r="J1068" s="13" t="n">
        <x:v>8</x:v>
      </x:c>
      <x:c r="K1068" s="22" t="b">
        <x:v>1</x:v>
      </x:c>
      <x:c r="L1068" s="13" t="n">
        <x:v>93</x:v>
      </x:c>
      <x:c r="M1068" s="13" t="n">
        <x:v>30</x:v>
      </x:c>
    </x:row>
    <x:row r="1069" ht="22" customHeight="1">
      <x:c r="A1069" s="17" t="str">
        <x:f>"05393500"</x:f>
        <x:v>05393500</x:v>
      </x:c>
      <x:c r="B1069" s="13" t="n">
        <x:v>44</x:v>
      </x:c>
      <x:c r="C1069" s="22" t="b">
        <x:v>0</x:v>
      </x:c>
      <x:c r="D1069" s="11" t="n">
        <x:v>0.629728419740764</x:v>
      </x:c>
      <x:c r="E1069" s="11" t="n">
        <x:v>0.6239500627365916</x:v>
      </x:c>
      <x:c r="F1069" s="11" t="n">
        <x:v>-1.8932524261829622</x:v>
      </x:c>
      <x:c r="G1069" s="11" t="n">
        <x:v>0.005778357004172396</x:v>
      </x:c>
      <x:c r="H1069" s="11" t="n">
        <x:v>2.522980845923726</x:v>
      </x:c>
      <x:c r="I1069" s="11" t="n">
        <x:v>0.9473684210526315</x:v>
      </x:c>
      <x:c r="J1069" s="13" t="n">
        <x:v>19</x:v>
      </x:c>
      <x:c r="K1069" s="22" t="b">
        <x:v>1</x:v>
      </x:c>
      <x:c r="L1069" s="13" t="n">
        <x:v>141</x:v>
      </x:c>
      <x:c r="M1069" s="13" t="n">
        <x:v>52</x:v>
      </x:c>
    </x:row>
    <x:row r="1070" ht="22" customHeight="1">
      <x:c r="A1070" s="17" t="str">
        <x:f>"06601000"</x:f>
        <x:v>06601000</x:v>
      </x:c>
      <x:c r="B1070" s="13" t="n">
        <x:v>43</x:v>
      </x:c>
      <x:c r="C1070" s="22" t="b">
        <x:v>1</x:v>
      </x:c>
      <x:c r="D1070" s="11" t="n">
        <x:v>0.18213588673809267</x:v>
      </x:c>
      <x:c r="E1070" s="11" t="n">
        <x:v>0.1522169631918976</x:v>
      </x:c>
      <x:c r="F1070" s="11" t="n">
        <x:v>0.1647003792365176</x:v>
      </x:c>
      <x:c r="G1070" s="11" t="n">
        <x:v>0.029918923546195075</x:v>
      </x:c>
      <x:c r="H1070" s="11" t="n">
        <x:v>0.017435507501575076</x:v>
      </x:c>
      <x:c r="I1070" s="11" t="n">
        <x:v>1</x:v>
      </x:c>
      <x:c r="J1070" s="13" t="n">
        <x:v>15</x:v>
      </x:c>
      <x:c r="K1070" s="22" t="b">
        <x:v>0</x:v>
      </x:c>
      <x:c r="L1070" s="13" t="n">
        <x:v>74</x:v>
      </x:c>
      <x:c r="M1070" s="13" t="n">
        <x:v>24</x:v>
      </x:c>
    </x:row>
    <x:row r="1071" ht="22" customHeight="1">
      <x:c r="A1071" s="17" t="str">
        <x:f>"06601000"</x:f>
        <x:v>06601000</x:v>
      </x:c>
      <x:c r="B1071" s="13" t="n">
        <x:v>43</x:v>
      </x:c>
      <x:c r="C1071" s="22" t="b">
        <x:v>0</x:v>
      </x:c>
      <x:c r="D1071" s="11" t="n">
        <x:v>0.03169235204445486</x:v>
      </x:c>
      <x:c r="E1071" s="11" t="n">
        <x:v>0.05281703532616033</x:v>
      </x:c>
      <x:c r="F1071" s="11" t="n">
        <x:v>0.03213646907611545</x:v>
      </x:c>
      <x:c r="G1071" s="11" t="n">
        <x:v>-0.02112468328170547</x:v>
      </x:c>
      <x:c r="H1071" s="11" t="n">
        <x:v>-0.0004441170316605847</x:v>
      </x:c>
      <x:c r="I1071" s="11" t="n">
        <x:v>0.9</x:v>
      </x:c>
      <x:c r="J1071" s="13" t="n">
        <x:v>20</x:v>
      </x:c>
      <x:c r="K1071" s="22" t="b">
        <x:v>0</x:v>
      </x:c>
      <x:c r="L1071" s="13" t="n">
        <x:v>118</x:v>
      </x:c>
      <x:c r="M1071" s="13" t="n">
        <x:v>43</x:v>
      </x:c>
    </x:row>
    <x:row r="1072" ht="22" customHeight="1">
      <x:c r="A1072" s="17" t="str">
        <x:f>"06601000"</x:f>
        <x:v>06601000</x:v>
      </x:c>
      <x:c r="B1072" s="13" t="n">
        <x:v>44</x:v>
      </x:c>
      <x:c r="C1072" s="22" t="b">
        <x:v>1</x:v>
      </x:c>
      <x:c r="D1072" s="11" t="n">
        <x:v>0.1871163495639565</x:v>
      </x:c>
      <x:c r="E1072" s="11" t="n">
        <x:v>0.19640719780030746</x:v>
      </x:c>
      <x:c r="F1072" s="11" t="n">
        <x:v>0.17850607297611432</x:v>
      </x:c>
      <x:c r="G1072" s="11" t="n">
        <x:v>-0.009290848236350957</x:v>
      </x:c>
      <x:c r="H1072" s="11" t="n">
        <x:v>0.008610276587842192</x:v>
      </x:c>
      <x:c r="I1072" s="11" t="n">
        <x:v>1</x:v>
      </x:c>
      <x:c r="J1072" s="13" t="n">
        <x:v>12</x:v>
      </x:c>
      <x:c r="K1072" s="22" t="b">
        <x:v>0</x:v>
      </x:c>
      <x:c r="L1072" s="13" t="n">
        <x:v>73</x:v>
      </x:c>
      <x:c r="M1072" s="13" t="n">
        <x:v>24</x:v>
      </x:c>
    </x:row>
    <x:row r="1073" ht="22" customHeight="1">
      <x:c r="A1073" s="17" t="str">
        <x:f>"06601000"</x:f>
        <x:v>06601000</x:v>
      </x:c>
      <x:c r="B1073" s="13" t="n">
        <x:v>44</x:v>
      </x:c>
      <x:c r="C1073" s="22" t="b">
        <x:v>0</x:v>
      </x:c>
      <x:c r="D1073" s="11" t="n">
        <x:v>0.08579309675567404</x:v>
      </x:c>
      <x:c r="E1073" s="11" t="n">
        <x:v>0.0573909783511618</x:v>
      </x:c>
      <x:c r="F1073" s="11" t="n">
        <x:v>-0.015585536090085172</x:v>
      </x:c>
      <x:c r="G1073" s="11" t="n">
        <x:v>0.028402118404512233</x:v>
      </x:c>
      <x:c r="H1073" s="11" t="n">
        <x:v>0.10137863284575921</x:v>
      </x:c>
      <x:c r="I1073" s="11" t="n">
        <x:v>0.25</x:v>
      </x:c>
      <x:c r="J1073" s="13" t="n">
        <x:v>20</x:v>
      </x:c>
      <x:c r="K1073" s="22" t="b">
        <x:v>0</x:v>
      </x:c>
      <x:c r="L1073" s="13" t="n">
        <x:v>100</x:v>
      </x:c>
      <x:c r="M1073" s="13" t="n">
        <x:v>34</x:v>
      </x:c>
    </x:row>
    <x:row r="1074" ht="22" customHeight="1">
      <x:c r="A1074" s="17" t="str">
        <x:f>"08158700"</x:f>
        <x:v>08158700</x:v>
      </x:c>
      <x:c r="B1074" s="13" t="n">
        <x:v>43</x:v>
      </x:c>
      <x:c r="C1074" s="22" t="b">
        <x:v>1</x:v>
      </x:c>
      <x:c r="D1074" s="11" t="n">
        <x:v>0.11417905555076735</x:v>
      </x:c>
      <x:c r="E1074" s="11" t="n">
        <x:v>-0.06853932853734213</x:v>
      </x:c>
      <x:c r="F1074" s="11" t="n">
        <x:v>0.09134888784247608</x:v>
      </x:c>
      <x:c r="G1074" s="11" t="n">
        <x:v>0.18271838408810948</x:v>
      </x:c>
      <x:c r="H1074" s="11" t="n">
        <x:v>0.02283016770829127</x:v>
      </x:c>
      <x:c r="I1074" s="11" t="n">
        <x:v>0.6</x:v>
      </x:c>
      <x:c r="J1074" s="13" t="n">
        <x:v>20</x:v>
      </x:c>
      <x:c r="K1074" s="22" t="b">
        <x:v>0</x:v>
      </x:c>
      <x:c r="L1074" s="13" t="n">
        <x:v>139</x:v>
      </x:c>
      <x:c r="M1074" s="13" t="n">
        <x:v>51</x:v>
      </x:c>
    </x:row>
    <x:row r="1075" ht="22" customHeight="1">
      <x:c r="A1075" s="17" t="str">
        <x:f>"08158700"</x:f>
        <x:v>08158700</x:v>
      </x:c>
      <x:c r="B1075" s="13" t="n">
        <x:v>43</x:v>
      </x:c>
      <x:c r="C1075" s="22" t="b">
        <x:v>0</x:v>
      </x:c>
      <x:c r="D1075" s="11" t="n">
        <x:v>-0.01722651908611983</x:v>
      </x:c>
      <x:c r="E1075" s="11" t="n">
        <x:v>-1.2438081949163942</x:v>
      </x:c>
      <x:c r="F1075" s="11" t="n">
        <x:v>-0.0992564216830445</x:v>
      </x:c>
      <x:c r="G1075" s="11" t="n">
        <x:v>1.2265816758302743</x:v>
      </x:c>
      <x:c r="H1075" s="11" t="n">
        <x:v>0.08202990259692466</x:v>
      </x:c>
      <x:c r="I1075" s="11"/>
      <x:c r="J1075" s="13" t="n">
        <x:v>0</x:v>
      </x:c>
      <x:c r="K1075" s="22" t="b">
        <x:v>0</x:v>
      </x:c>
      <x:c r="L1075" s="13" t="n">
        <x:v>93</x:v>
      </x:c>
      <x:c r="M1075" s="13" t="n">
        <x:v>30</x:v>
      </x:c>
    </x:row>
    <x:row r="1076" ht="22" customHeight="1">
      <x:c r="A1076" s="17" t="str">
        <x:f>"08158700"</x:f>
        <x:v>08158700</x:v>
      </x:c>
      <x:c r="B1076" s="13" t="n">
        <x:v>44</x:v>
      </x:c>
      <x:c r="C1076" s="22" t="b">
        <x:v>1</x:v>
      </x:c>
      <x:c r="D1076" s="11" t="n">
        <x:v>0.11681343987460979</x:v>
      </x:c>
      <x:c r="E1076" s="11" t="n">
        <x:v>0.0038124480180592446</x:v>
      </x:c>
      <x:c r="F1076" s="11" t="n">
        <x:v>0.06994297051130594</x:v>
      </x:c>
      <x:c r="G1076" s="11" t="n">
        <x:v>0.11300099185655055</x:v>
      </x:c>
      <x:c r="H1076" s="11" t="n">
        <x:v>0.04687046936330386</x:v>
      </x:c>
      <x:c r="I1076" s="11" t="n">
        <x:v>0.25</x:v>
      </x:c>
      <x:c r="J1076" s="13" t="n">
        <x:v>20</x:v>
      </x:c>
      <x:c r="K1076" s="22" t="b">
        <x:v>0</x:v>
      </x:c>
      <x:c r="L1076" s="13" t="n">
        <x:v>85</x:v>
      </x:c>
      <x:c r="M1076" s="13" t="n">
        <x:v>27</x:v>
      </x:c>
    </x:row>
    <x:row r="1077" ht="22" customHeight="1">
      <x:c r="A1077" s="17" t="str">
        <x:f>"08158700"</x:f>
        <x:v>08158700</x:v>
      </x:c>
      <x:c r="B1077" s="13" t="n">
        <x:v>44</x:v>
      </x:c>
      <x:c r="C1077" s="22" t="b">
        <x:v>0</x:v>
      </x:c>
      <x:c r="D1077" s="11" t="n">
        <x:v>0.03132780420131376</x:v>
      </x:c>
      <x:c r="E1077" s="11" t="n">
        <x:v>-0.4437422541029621</x:v>
      </x:c>
      <x:c r="F1077" s="11" t="n">
        <x:v>-0.2501372850061532</x:v>
      </x:c>
      <x:c r="G1077" s="11" t="n">
        <x:v>0.47507005830427584</x:v>
      </x:c>
      <x:c r="H1077" s="11" t="n">
        <x:v>0.28146508920746693</x:v>
      </x:c>
      <x:c r="I1077" s="11"/>
      <x:c r="J1077" s="13" t="n">
        <x:v>0</x:v>
      </x:c>
      <x:c r="K1077" s="22" t="b">
        <x:v>0</x:v>
      </x:c>
      <x:c r="L1077" s="13" t="n">
        <x:v>96</x:v>
      </x:c>
      <x:c r="M1077" s="13" t="n">
        <x:v>31</x:v>
      </x:c>
    </x:row>
    <x:row r="1078" ht="22" customHeight="1">
      <x:c r="A1078" s="17" t="str">
        <x:f>"10172700"</x:f>
        <x:v>10172700</x:v>
      </x:c>
      <x:c r="B1078" s="13" t="n">
        <x:v>43</x:v>
      </x:c>
      <x:c r="C1078" s="22" t="b">
        <x:v>1</x:v>
      </x:c>
      <x:c r="D1078" s="11" t="n">
        <x:v>0.9279001826843891</x:v>
      </x:c>
      <x:c r="E1078" s="11" t="n">
        <x:v>0.8716983437657652</x:v>
      </x:c>
      <x:c r="F1078" s="11" t="n">
        <x:v>-0.46437908906113323</x:v>
      </x:c>
      <x:c r="G1078" s="11" t="n">
        <x:v>0.05620183891862396</x:v>
      </x:c>
      <x:c r="H1078" s="11" t="n">
        <x:v>1.3922792717455224</x:v>
      </x:c>
      <x:c r="I1078" s="11" t="n">
        <x:v>1</x:v>
      </x:c>
      <x:c r="J1078" s="13" t="n">
        <x:v>14</x:v>
      </x:c>
      <x:c r="K1078" s="22" t="b">
        <x:v>0</x:v>
      </x:c>
      <x:c r="L1078" s="13" t="n">
        <x:v>69</x:v>
      </x:c>
      <x:c r="M1078" s="13" t="n">
        <x:v>23</x:v>
      </x:c>
    </x:row>
    <x:row r="1079" ht="22" customHeight="1">
      <x:c r="A1079" s="17" t="str">
        <x:f>"10172700"</x:f>
        <x:v>10172700</x:v>
      </x:c>
      <x:c r="B1079" s="13" t="n">
        <x:v>43</x:v>
      </x:c>
      <x:c r="C1079" s="22" t="b">
        <x:v>0</x:v>
      </x:c>
      <x:c r="D1079" s="11" t="n">
        <x:v>0.045269665580498386</x:v>
      </x:c>
      <x:c r="E1079" s="11" t="n">
        <x:v>-0.4793189282546231</x:v>
      </x:c>
      <x:c r="F1079" s="11" t="n">
        <x:v>-1.160265921935416</x:v>
      </x:c>
      <x:c r="G1079" s="11" t="n">
        <x:v>0.5245885938351215</x:v>
      </x:c>
      <x:c r="H1079" s="11" t="n">
        <x:v>1.2055355875159144</x:v>
      </x:c>
      <x:c r="I1079" s="11" t="n">
        <x:v>1</x:v>
      </x:c>
      <x:c r="J1079" s="13" t="n">
        <x:v>20</x:v>
      </x:c>
      <x:c r="K1079" s="22" t="b">
        <x:v>0</x:v>
      </x:c>
      <x:c r="L1079" s="13" t="n">
        <x:v>145</x:v>
      </x:c>
      <x:c r="M1079" s="13" t="n">
        <x:v>54</x:v>
      </x:c>
    </x:row>
    <x:row r="1080" ht="22" customHeight="1">
      <x:c r="A1080" s="17" t="str">
        <x:f>"10172700"</x:f>
        <x:v>10172700</x:v>
      </x:c>
      <x:c r="B1080" s="13" t="n">
        <x:v>44</x:v>
      </x:c>
      <x:c r="C1080" s="22" t="b">
        <x:v>1</x:v>
      </x:c>
      <x:c r="D1080" s="11" t="n">
        <x:v>0.926047686246345</x:v>
      </x:c>
      <x:c r="E1080" s="11" t="n">
        <x:v>0.8848307440465173</x:v>
      </x:c>
      <x:c r="F1080" s="11" t="n">
        <x:v>0.6747984800460092</x:v>
      </x:c>
      <x:c r="G1080" s="11" t="n">
        <x:v>0.041216942199827744</x:v>
      </x:c>
      <x:c r="H1080" s="11" t="n">
        <x:v>0.25124920620033586</x:v>
      </x:c>
      <x:c r="I1080" s="11" t="n">
        <x:v>0</x:v>
      </x:c>
      <x:c r="J1080" s="13" t="n">
        <x:v>19</x:v>
      </x:c>
      <x:c r="K1080" s="22" t="b">
        <x:v>0</x:v>
      </x:c>
      <x:c r="L1080" s="13" t="n">
        <x:v>70</x:v>
      </x:c>
      <x:c r="M1080" s="13" t="n">
        <x:v>23</x:v>
      </x:c>
    </x:row>
    <x:row r="1081" ht="22" customHeight="1">
      <x:c r="A1081" s="17" t="str">
        <x:f>"10172700"</x:f>
        <x:v>10172700</x:v>
      </x:c>
      <x:c r="B1081" s="13" t="n">
        <x:v>44</x:v>
      </x:c>
      <x:c r="C1081" s="22" t="b">
        <x:v>0</x:v>
      </x:c>
      <x:c r="D1081" s="11" t="n">
        <x:v>0.013342436841641825</x:v>
      </x:c>
      <x:c r="E1081" s="11" t="n">
        <x:v>-0.5555824050536</x:v>
      </x:c>
      <x:c r="F1081" s="11" t="n">
        <x:v>-5.14077566061357</x:v>
      </x:c>
      <x:c r="G1081" s="11" t="n">
        <x:v>0.5689248418952418</x:v>
      </x:c>
      <x:c r="H1081" s="11" t="n">
        <x:v>5.154118097455211</x:v>
      </x:c>
      <x:c r="I1081" s="11" t="n">
        <x:v>0.2</x:v>
      </x:c>
      <x:c r="J1081" s="13" t="n">
        <x:v>20</x:v>
      </x:c>
      <x:c r="K1081" s="22" t="b">
        <x:v>0</x:v>
      </x:c>
      <x:c r="L1081" s="13" t="n">
        <x:v>105</x:v>
      </x:c>
      <x:c r="M1081" s="13" t="n">
        <x:v>34</x:v>
      </x:c>
    </x:row>
    <x:row r="1082" ht="22" customHeight="1">
      <x:c r="A1082" s="17" t="str">
        <x:f>"10234500"</x:f>
        <x:v>10234500</x:v>
      </x:c>
      <x:c r="B1082" s="13" t="n">
        <x:v>43</x:v>
      </x:c>
      <x:c r="C1082" s="22" t="b">
        <x:v>1</x:v>
      </x:c>
      <x:c r="D1082" s="11" t="n">
        <x:v>0.9684548714749293</x:v>
      </x:c>
      <x:c r="E1082" s="11" t="n">
        <x:v>0.9576293601408004</x:v>
      </x:c>
      <x:c r="F1082" s="11" t="n">
        <x:v>0.48504146105003043</x:v>
      </x:c>
      <x:c r="G1082" s="11" t="n">
        <x:v>0.010825511334128901</x:v>
      </x:c>
      <x:c r="H1082" s="11" t="n">
        <x:v>0.4834134104248988</x:v>
      </x:c>
      <x:c r="I1082" s="11" t="n">
        <x:v>1</x:v>
      </x:c>
      <x:c r="J1082" s="13" t="n">
        <x:v>10</x:v>
      </x:c>
      <x:c r="K1082" s="22" t="b">
        <x:v>1</x:v>
      </x:c>
      <x:c r="L1082" s="13" t="n">
        <x:v>44</x:v>
      </x:c>
      <x:c r="M1082" s="13" t="n">
        <x:v>16</x:v>
      </x:c>
    </x:row>
    <x:row r="1083" ht="22" customHeight="1">
      <x:c r="A1083" s="17" t="str">
        <x:f>"10234500"</x:f>
        <x:v>10234500</x:v>
      </x:c>
      <x:c r="B1083" s="13" t="n">
        <x:v>43</x:v>
      </x:c>
      <x:c r="C1083" s="22" t="b">
        <x:v>0</x:v>
      </x:c>
      <x:c r="D1083" s="11" t="n">
        <x:v>0.7321042256592976</x:v>
      </x:c>
      <x:c r="E1083" s="11" t="n">
        <x:v>0.689926208241815</x:v>
      </x:c>
      <x:c r="F1083" s="11" t="n">
        <x:v>-0.2156767795284995</x:v>
      </x:c>
      <x:c r="G1083" s="11" t="n">
        <x:v>0.042178017417482505</x:v>
      </x:c>
      <x:c r="H1083" s="11" t="n">
        <x:v>0.9477810051877971</x:v>
      </x:c>
      <x:c r="I1083" s="11" t="n">
        <x:v>1</x:v>
      </x:c>
      <x:c r="J1083" s="13" t="n">
        <x:v>16</x:v>
      </x:c>
      <x:c r="K1083" s="22" t="b">
        <x:v>1</x:v>
      </x:c>
      <x:c r="L1083" s="13" t="n">
        <x:v>104</x:v>
      </x:c>
      <x:c r="M1083" s="13" t="n">
        <x:v>36</x:v>
      </x:c>
    </x:row>
    <x:row r="1084" ht="22" customHeight="1">
      <x:c r="A1084" s="17" t="str">
        <x:f>"10234500"</x:f>
        <x:v>10234500</x:v>
      </x:c>
      <x:c r="B1084" s="13" t="n">
        <x:v>44</x:v>
      </x:c>
      <x:c r="C1084" s="22" t="b">
        <x:v>1</x:v>
      </x:c>
      <x:c r="D1084" s="11" t="n">
        <x:v>0.9697607217129145</x:v>
      </x:c>
      <x:c r="E1084" s="11" t="n">
        <x:v>0.9644989413185729</x:v>
      </x:c>
      <x:c r="F1084" s="11" t="n">
        <x:v>0.513715306060884</x:v>
      </x:c>
      <x:c r="G1084" s="11" t="n">
        <x:v>0.005261780394341553</x:v>
      </x:c>
      <x:c r="H1084" s="11" t="n">
        <x:v>0.4560454156520305</x:v>
      </x:c>
      <x:c r="I1084" s="11"/>
      <x:c r="J1084" s="13" t="n">
        <x:v>0</x:v>
      </x:c>
      <x:c r="K1084" s="22" t="b">
        <x:v>0</x:v>
      </x:c>
      <x:c r="L1084" s="13" t="n">
        <x:v>48</x:v>
      </x:c>
      <x:c r="M1084" s="13" t="n">
        <x:v>17</x:v>
      </x:c>
    </x:row>
    <x:row r="1085" ht="22" customHeight="1">
      <x:c r="A1085" s="17" t="str">
        <x:f>"10234500"</x:f>
        <x:v>10234500</x:v>
      </x:c>
      <x:c r="B1085" s="13" t="n">
        <x:v>44</x:v>
      </x:c>
      <x:c r="C1085" s="22" t="b">
        <x:v>0</x:v>
      </x:c>
      <x:c r="D1085" s="11" t="n">
        <x:v>0.7836367545718023</x:v>
      </x:c>
      <x:c r="E1085" s="11" t="n">
        <x:v>0.6375673949350622</x:v>
      </x:c>
      <x:c r="F1085" s="11" t="n">
        <x:v>0.14800480868686205</x:v>
      </x:c>
      <x:c r="G1085" s="11" t="n">
        <x:v>0.14606935963674006</x:v>
      </x:c>
      <x:c r="H1085" s="11" t="n">
        <x:v>0.6356319458849402</x:v>
      </x:c>
      <x:c r="I1085" s="11" t="n">
        <x:v>0.7777777777777778</x:v>
      </x:c>
      <x:c r="J1085" s="13" t="n">
        <x:v>18</x:v>
      </x:c>
      <x:c r="K1085" s="22" t="b">
        <x:v>0</x:v>
      </x:c>
      <x:c r="L1085" s="13" t="n">
        <x:v>109</x:v>
      </x:c>
      <x:c r="M1085" s="13" t="n">
        <x:v>39</x:v>
      </x:c>
    </x:row>
    <x:row r="1086" ht="22" customHeight="1">
      <x:c r="A1086" s="17" t="str">
        <x:f>"10343500"</x:f>
        <x:v>10343500</x:v>
      </x:c>
      <x:c r="B1086" s="13" t="n">
        <x:v>43</x:v>
      </x:c>
      <x:c r="C1086" s="22" t="b">
        <x:v>1</x:v>
      </x:c>
      <x:c r="D1086" s="11" t="n">
        <x:v>0.9503132527595319</x:v>
      </x:c>
      <x:c r="E1086" s="11" t="n">
        <x:v>0.8907398186619767</x:v>
      </x:c>
      <x:c r="F1086" s="11" t="n">
        <x:v>0.6134082100722443</x:v>
      </x:c>
      <x:c r="G1086" s="11" t="n">
        <x:v>0.05957343409755522</x:v>
      </x:c>
      <x:c r="H1086" s="11" t="n">
        <x:v>0.3369050426872876</x:v>
      </x:c>
      <x:c r="I1086" s="11" t="n">
        <x:v>0.3157894736842105</x:v>
      </x:c>
      <x:c r="J1086" s="13" t="n">
        <x:v>19</x:v>
      </x:c>
      <x:c r="K1086" s="22" t="b">
        <x:v>0</x:v>
      </x:c>
      <x:c r="L1086" s="13" t="n">
        <x:v>95</x:v>
      </x:c>
      <x:c r="M1086" s="13" t="n">
        <x:v>31</x:v>
      </x:c>
    </x:row>
    <x:row r="1087" ht="22" customHeight="1">
      <x:c r="A1087" s="17" t="str">
        <x:f>"10343500"</x:f>
        <x:v>10343500</x:v>
      </x:c>
      <x:c r="B1087" s="13" t="n">
        <x:v>43</x:v>
      </x:c>
      <x:c r="C1087" s="22" t="b">
        <x:v>0</x:v>
      </x:c>
      <x:c r="D1087" s="11" t="n">
        <x:v>0.37890237528472426</x:v>
      </x:c>
      <x:c r="E1087" s="11" t="n">
        <x:v>0.473045058568735</x:v>
      </x:c>
      <x:c r="F1087" s="11" t="n">
        <x:v>-4.615695839897369</x:v>
      </x:c>
      <x:c r="G1087" s="11" t="n">
        <x:v>-0.09414268328401076</x:v>
      </x:c>
      <x:c r="H1087" s="11" t="n">
        <x:v>4.994598215182093</x:v>
      </x:c>
      <x:c r="I1087" s="11" t="n">
        <x:v>0.9</x:v>
      </x:c>
      <x:c r="J1087" s="13" t="n">
        <x:v>20</x:v>
      </x:c>
      <x:c r="K1087" s="22" t="b">
        <x:v>1</x:v>
      </x:c>
      <x:c r="L1087" s="13" t="n">
        <x:v>146</x:v>
      </x:c>
      <x:c r="M1087" s="13" t="n">
        <x:v>55</x:v>
      </x:c>
    </x:row>
    <x:row r="1088" ht="22" customHeight="1">
      <x:c r="A1088" s="17" t="str">
        <x:f>"10343500"</x:f>
        <x:v>10343500</x:v>
      </x:c>
      <x:c r="B1088" s="13" t="n">
        <x:v>44</x:v>
      </x:c>
      <x:c r="C1088" s="22" t="b">
        <x:v>1</x:v>
      </x:c>
      <x:c r="D1088" s="11" t="n">
        <x:v>0.9586912588067213</x:v>
      </x:c>
      <x:c r="E1088" s="11" t="n">
        <x:v>0.9177564258752899</x:v>
      </x:c>
      <x:c r="F1088" s="11" t="n">
        <x:v>0.4830214927982551</x:v>
      </x:c>
      <x:c r="G1088" s="11" t="n">
        <x:v>0.04093483293143141</x:v>
      </x:c>
      <x:c r="H1088" s="11" t="n">
        <x:v>0.4756697660084662</x:v>
      </x:c>
      <x:c r="I1088" s="11"/>
      <x:c r="J1088" s="13" t="n">
        <x:v>0</x:v>
      </x:c>
      <x:c r="K1088" s="22" t="b">
        <x:v>0</x:v>
      </x:c>
      <x:c r="L1088" s="13" t="n">
        <x:v>52</x:v>
      </x:c>
      <x:c r="M1088" s="13" t="n">
        <x:v>18</x:v>
      </x:c>
    </x:row>
    <x:row r="1089" ht="22" customHeight="1">
      <x:c r="A1089" s="17" t="str">
        <x:f>"10343500"</x:f>
        <x:v>10343500</x:v>
      </x:c>
      <x:c r="B1089" s="13" t="n">
        <x:v>44</x:v>
      </x:c>
      <x:c r="C1089" s="22" t="b">
        <x:v>0</x:v>
      </x:c>
      <x:c r="D1089" s="11" t="n">
        <x:v>0.2987005643751649</x:v>
      </x:c>
      <x:c r="E1089" s="11" t="n">
        <x:v>0.3590745579803949</x:v>
      </x:c>
      <x:c r="F1089" s="11" t="n">
        <x:v>-3.762369467555562</x:v>
      </x:c>
      <x:c r="G1089" s="11" t="n">
        <x:v>-0.06037399360522999</x:v>
      </x:c>
      <x:c r="H1089" s="11" t="n">
        <x:v>4.0610700319307265</x:v>
      </x:c>
      <x:c r="I1089" s="11" t="n">
        <x:v>1</x:v>
      </x:c>
      <x:c r="J1089" s="13" t="n">
        <x:v>20</x:v>
      </x:c>
      <x:c r="K1089" s="22" t="b">
        <x:v>1</x:v>
      </x:c>
      <x:c r="L1089" s="13" t="n">
        <x:v>132</x:v>
      </x:c>
      <x:c r="M1089" s="13" t="n">
        <x:v>47</x:v>
      </x:c>
    </x:row>
    <x:row r="1090" ht="22" customHeight="1">
      <x:c r="A1090" s="17" t="str">
        <x:f>"12035000"</x:f>
        <x:v>12035000</x:v>
      </x:c>
      <x:c r="B1090" s="13" t="n">
        <x:v>43</x:v>
      </x:c>
      <x:c r="C1090" s="22" t="b">
        <x:v>1</x:v>
      </x:c>
      <x:c r="D1090" s="11" t="n">
        <x:v>0.891526483557201</x:v>
      </x:c>
      <x:c r="E1090" s="11" t="n">
        <x:v>0.7705125675782469</x:v>
      </x:c>
      <x:c r="F1090" s="11" t="n">
        <x:v>0.7786064835271593</x:v>
      </x:c>
      <x:c r="G1090" s="11" t="n">
        <x:v>0.12101391597895406</x:v>
      </x:c>
      <x:c r="H1090" s="11" t="n">
        <x:v>0.11292000003004166</x:v>
      </x:c>
      <x:c r="I1090" s="11" t="n">
        <x:v>1</x:v>
      </x:c>
      <x:c r="J1090" s="13" t="n">
        <x:v>19</x:v>
      </x:c>
      <x:c r="K1090" s="22" t="b">
        <x:v>0</x:v>
      </x:c>
      <x:c r="L1090" s="13" t="n">
        <x:v>111</x:v>
      </x:c>
      <x:c r="M1090" s="13" t="n">
        <x:v>38</x:v>
      </x:c>
    </x:row>
    <x:row r="1091" ht="22" customHeight="1">
      <x:c r="A1091" s="17" t="str">
        <x:f>"12035000"</x:f>
        <x:v>12035000</x:v>
      </x:c>
      <x:c r="B1091" s="13" t="n">
        <x:v>43</x:v>
      </x:c>
      <x:c r="C1091" s="22" t="b">
        <x:v>0</x:v>
      </x:c>
      <x:c r="D1091" s="11" t="n">
        <x:v>0.8738781807029223</x:v>
      </x:c>
      <x:c r="E1091" s="11" t="n">
        <x:v>0.8590863062764271</x:v>
      </x:c>
      <x:c r="F1091" s="11" t="n">
        <x:v>0.6236095808688131</x:v>
      </x:c>
      <x:c r="G1091" s="11" t="n">
        <x:v>0.01479187442649521</x:v>
      </x:c>
      <x:c r="H1091" s="11" t="n">
        <x:v>0.2502685998341092</x:v>
      </x:c>
      <x:c r="I1091" s="11" t="n">
        <x:v>1</x:v>
      </x:c>
      <x:c r="J1091" s="13" t="n">
        <x:v>10</x:v>
      </x:c>
      <x:c r="K1091" s="22" t="b">
        <x:v>1</x:v>
      </x:c>
      <x:c r="L1091" s="13" t="n">
        <x:v>76</x:v>
      </x:c>
      <x:c r="M1091" s="13" t="n">
        <x:v>26</x:v>
      </x:c>
    </x:row>
    <x:row r="1092" ht="22" customHeight="1">
      <x:c r="A1092" s="17" t="str">
        <x:f>"12035000"</x:f>
        <x:v>12035000</x:v>
      </x:c>
      <x:c r="B1092" s="13" t="n">
        <x:v>44</x:v>
      </x:c>
      <x:c r="C1092" s="22" t="b">
        <x:v>1</x:v>
      </x:c>
      <x:c r="D1092" s="11" t="n">
        <x:v>0.9047702695943751</x:v>
      </x:c>
      <x:c r="E1092" s="11" t="n">
        <x:v>0.8678288521648714</x:v>
      </x:c>
      <x:c r="F1092" s="11" t="n">
        <x:v>0.7584452881565371</x:v>
      </x:c>
      <x:c r="G1092" s="11" t="n">
        <x:v>0.03694141742950374</x:v>
      </x:c>
      <x:c r="H1092" s="11" t="n">
        <x:v>0.146324981437838</x:v>
      </x:c>
      <x:c r="I1092" s="11" t="n">
        <x:v>1</x:v>
      </x:c>
      <x:c r="J1092" s="13" t="n">
        <x:v>20</x:v>
      </x:c>
      <x:c r="K1092" s="22" t="b">
        <x:v>1</x:v>
      </x:c>
      <x:c r="L1092" s="13" t="n">
        <x:v>158</x:v>
      </x:c>
      <x:c r="M1092" s="13" t="n">
        <x:v>64</x:v>
      </x:c>
    </x:row>
    <x:row r="1093" ht="22" customHeight="1">
      <x:c r="A1093" s="18" t="str">
        <x:f>"12035000"</x:f>
        <x:v>12035000</x:v>
      </x:c>
      <x:c r="B1093" s="15" t="n">
        <x:v>44</x:v>
      </x:c>
      <x:c r="C1093" s="23" t="b">
        <x:v>0</x:v>
      </x:c>
      <x:c r="D1093" s="16" t="n">
        <x:v>0.8675399997614514</x:v>
      </x:c>
      <x:c r="E1093" s="16" t="n">
        <x:v>0.8519121017926827</x:v>
      </x:c>
      <x:c r="F1093" s="16" t="n">
        <x:v>0.6193563968581406</x:v>
      </x:c>
      <x:c r="G1093" s="16" t="n">
        <x:v>0.015627897968768623</x:v>
      </x:c>
      <x:c r="H1093" s="16" t="n">
        <x:v>0.24818360290331076</x:v>
      </x:c>
      <x:c r="I1093" s="16" t="n">
        <x:v>1</x:v>
      </x:c>
      <x:c r="J1093" s="15" t="n">
        <x:v>15</x:v>
      </x:c>
      <x:c r="K1093" s="23" t="b">
        <x:v>1</x:v>
      </x:c>
      <x:c r="L1093" s="15" t="n">
        <x:v>91</x:v>
      </x:c>
      <x:c r="M1093" s="15" t="n">
        <x:v>29</x:v>
      </x:c>
    </x:row>
  </x:sheetData>
  <x:mergeCells>
    <x:mergeCell ref="A1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2" customHeight="1">
      <x:c r="A1" s="4" t="str">
        <x:v>Finite 10-epoch mask budget. Gate churn and threshold proximity do not prove convergence.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38" customHeight="1">
      <x:c r="A3" s="10" t="str">
        <x:v>Basin ID</x:v>
      </x:c>
      <x:c r="B3" s="10" t="str">
        <x:v>Seed</x:v>
      </x:c>
      <x:c r="C3" s="10" t="str">
        <x:v>Q history</x:v>
      </x:c>
      <x:c r="D3" s="10" t="str">
        <x:v>Last 3 gate churn</x:v>
      </x:c>
      <x:c r="E3" s="10" t="str">
        <x:v>Last 3 weight churn</x:v>
      </x:c>
      <x:c r="F3" s="10" t="str">
        <x:v>Final gates near .5</x:v>
      </x:c>
      <x:c r="G3" s="10" t="str">
        <x:v>Mask best epoch</x:v>
      </x:c>
      <x:c r="H3" s="10" t="str">
        <x:v>Best val MSE</x:v>
      </x:c>
      <x:c r="I3" s="10" t="str">
        <x:v>Final val MSE</x:v>
      </x:c>
      <x:c r="J3" s="10" t="str">
        <x:v>Training seconds</x:v>
      </x:c>
      <x:c r="K3" s="10" t="str">
        <x:v>Job seconds</x:v>
      </x:c>
      <x:c r="L3" s="10" t="str">
        <x:v>Selected gates near .5</x:v>
      </x:c>
      <x:c r="M3" s="10" t="str">
        <x:v>Selected matrix density</x:v>
      </x:c>
    </x:row>
    <x:row r="4" ht="22" customHeight="1">
      <x:c r="A4" s="17" t="str">
        <x:f>"01013500"</x:f>
        <x:v>01013500</x:v>
      </x:c>
      <x:c r="B4" s="13" t="n">
        <x:v>42</x:v>
      </x:c>
      <x:c r="C4" s="22" t="b">
        <x:v>1</x:v>
      </x:c>
      <x:c r="D4" s="11" t="n">
        <x:v>0.013201320233444334</x:v>
      </x:c>
      <x:c r="E4" s="11" t="n">
        <x:v>0.0005730852329482</x:v>
      </x:c>
      <x:c r="F4" s="11" t="n">
        <x:v>0.1856435686349868</x:v>
      </x:c>
      <x:c r="G4" s="13" t="n">
        <x:v>10</x:v>
      </x:c>
      <x:c r="H4" s="11" t="n">
        <x:v>0.0226377211511135</x:v>
      </x:c>
      <x:c r="I4" s="11" t="n">
        <x:v>0.0226377211511135</x:v>
      </x:c>
      <x:c r="J4" s="24" t="n">
        <x:v>121.32306218519807</x:v>
      </x:c>
      <x:c r="K4" s="24" t="n">
        <x:v>134.71591758728027</x:v>
      </x:c>
      <x:c r="L4" s="11" t="n">
        <x:v>0.1856435686349868</x:v>
      </x:c>
      <x:c r="M4" s="11" t="n">
        <x:v>0.0999393239617347</x:v>
      </x:c>
    </x:row>
    <x:row r="5" ht="22" customHeight="1">
      <x:c r="A5" s="17" t="str">
        <x:f>"01013500"</x:f>
        <x:v>01013500</x:v>
      </x:c>
      <x:c r="B5" s="13" t="n">
        <x:v>42</x:v>
      </x:c>
      <x:c r="C5" s="22" t="b">
        <x:v>0</x:v>
      </x:c>
      <x:c r="D5" s="11" t="n">
        <x:v>0.027295285214980366</x:v>
      </x:c>
      <x:c r="E5" s="11" t="n">
        <x:v>0.00032383419844936664</x:v>
      </x:c>
      <x:c r="F5" s="11" t="n">
        <x:v>0.4590570628643036</x:v>
      </x:c>
      <x:c r="G5" s="13" t="n">
        <x:v>5</x:v>
      </x:c>
      <x:c r="H5" s="11" t="n">
        <x:v>0.3145807087421417</x:v>
      </x:c>
      <x:c r="I5" s="11" t="n">
        <x:v>0.3672864139080047</x:v>
      </x:c>
      <x:c r="J5" s="24" t="n">
        <x:v>123.0121355401352</x:v>
      </x:c>
      <x:c r="K5" s="24" t="n">
        <x:v>159.25472950935364</x:v>
      </x:c>
      <x:c r="L5" s="11" t="n">
        <x:v>0.655086874961853</x:v>
      </x:c>
      <x:c r="M5" s="11" t="n">
        <x:v>0.0999332070350647</x:v>
      </x:c>
    </x:row>
    <x:row r="6" ht="22" customHeight="1">
      <x:c r="A6" s="17" t="str">
        <x:f>"01022500"</x:f>
        <x:v>01022500</x:v>
      </x:c>
      <x:c r="B6" s="13" t="n">
        <x:v>42</x:v>
      </x:c>
      <x:c r="C6" s="22" t="b">
        <x:v>1</x:v>
      </x:c>
      <x:c r="D6" s="11" t="n">
        <x:v>0.041254125535488066</x:v>
      </x:c>
      <x:c r="E6" s="11" t="n">
        <x:v>0.0004382416373118334</x:v>
      </x:c>
      <x:c r="F6" s="11" t="n">
        <x:v>0.4678217768669128</x:v>
      </x:c>
      <x:c r="G6" s="13" t="n">
        <x:v>10</x:v>
      </x:c>
      <x:c r="H6" s="11" t="n">
        <x:v>0.2819171845912933</x:v>
      </x:c>
      <x:c r="I6" s="11" t="n">
        <x:v>0.2819171845912933</x:v>
      </x:c>
      <x:c r="J6" s="24" t="n">
        <x:v>121.73022932372987</x:v>
      </x:c>
      <x:c r="K6" s="24" t="n">
        <x:v>150.75723814964294</x:v>
      </x:c>
      <x:c r="L6" s="11" t="n">
        <x:v>0.4678217768669128</x:v>
      </x:c>
      <x:c r="M6" s="11" t="n">
        <x:v>0.0999393239617347</x:v>
      </x:c>
    </x:row>
    <x:row r="7" ht="22" customHeight="1">
      <x:c r="A7" s="17" t="str">
        <x:f>"01022500"</x:f>
        <x:v>01022500</x:v>
      </x:c>
      <x:c r="B7" s="13" t="n">
        <x:v>42</x:v>
      </x:c>
      <x:c r="C7" s="22" t="b">
        <x:v>0</x:v>
      </x:c>
      <x:c r="D7" s="11" t="n">
        <x:v>0.03722084375719223</x:v>
      </x:c>
      <x:c r="E7" s="11" t="n">
        <x:v>0.00020914291962973334</x:v>
      </x:c>
      <x:c r="F7" s="11" t="n">
        <x:v>0.5210918188095093</x:v>
      </x:c>
      <x:c r="G7" s="13" t="n">
        <x:v>10</x:v>
      </x:c>
      <x:c r="H7" s="11" t="n">
        <x:v>0.6464342474937439</x:v>
      </x:c>
      <x:c r="I7" s="11" t="n">
        <x:v>0.6464342474937439</x:v>
      </x:c>
      <x:c r="J7" s="24" t="n">
        <x:v>122.65173670835793</x:v>
      </x:c>
      <x:c r="K7" s="24" t="n">
        <x:v>156.74229979515076</x:v>
      </x:c>
      <x:c r="L7" s="11" t="n">
        <x:v>0.5210918188095093</x:v>
      </x:c>
      <x:c r="M7" s="11" t="n">
        <x:v>0.0999332070350647</x:v>
      </x:c>
    </x:row>
    <x:row r="8" ht="22" customHeight="1">
      <x:c r="A8" s="17" t="str">
        <x:f>"01030500"</x:f>
        <x:v>01030500</x:v>
      </x:c>
      <x:c r="B8" s="13" t="n">
        <x:v>42</x:v>
      </x:c>
      <x:c r="C8" s="22" t="b">
        <x:v>1</x:v>
      </x:c>
      <x:c r="D8" s="11" t="n">
        <x:v>0.0148514853790402</x:v>
      </x:c>
      <x:c r="E8" s="11" t="n">
        <x:v>0.00042475727968846667</x:v>
      </x:c>
      <x:c r="F8" s="11" t="n">
        <x:v>0.2178217768669128</x:v>
      </x:c>
      <x:c r="G8" s="13" t="n">
        <x:v>9</x:v>
      </x:c>
      <x:c r="H8" s="11" t="n">
        <x:v>0.0095968749374151</x:v>
      </x:c>
      <x:c r="I8" s="11" t="n">
        <x:v>0.0099794790148735</x:v>
      </x:c>
      <x:c r="J8" s="24" t="n">
        <x:v>126.1316569140181</x:v>
      </x:c>
      <x:c r="K8" s="24" t="n">
        <x:v>144.9435818195343</x:v>
      </x:c>
      <x:c r="L8" s="11" t="n">
        <x:v>0.2301980257034301</x:v>
      </x:c>
      <x:c r="M8" s="11" t="n">
        <x:v>0.0999393239617347</x:v>
      </x:c>
    </x:row>
    <x:row r="9" ht="22" customHeight="1">
      <x:c r="A9" s="17" t="str">
        <x:f>"01030500"</x:f>
        <x:v>01030500</x:v>
      </x:c>
      <x:c r="B9" s="13" t="n">
        <x:v>42</x:v>
      </x:c>
      <x:c r="C9" s="22" t="b">
        <x:v>0</x:v>
      </x:c>
      <x:c r="D9" s="11" t="n">
        <x:v>0.03143093424538763</x:v>
      </x:c>
      <x:c r="E9" s="11" t="n">
        <x:v>0.00030359455073866666</x:v>
      </x:c>
      <x:c r="F9" s="11" t="n">
        <x:v>0.5136476159095764</x:v>
      </x:c>
      <x:c r="G9" s="13" t="n">
        <x:v>5</x:v>
      </x:c>
      <x:c r="H9" s="11" t="n">
        <x:v>0.2266116291284561</x:v>
      </x:c>
      <x:c r="I9" s="11" t="n">
        <x:v>0.2289771139621734</x:v>
      </x:c>
      <x:c r="J9" s="24" t="n">
        <x:v>125.29474808648229</x:v>
      </x:c>
      <x:c r="K9" s="24" t="n">
        <x:v>164.17505168914795</x:v>
      </x:c>
      <x:c r="L9" s="11" t="n">
        <x:v>0.714640200138092</x:v>
      </x:c>
      <x:c r="M9" s="11" t="n">
        <x:v>0.0999332070350647</x:v>
      </x:c>
    </x:row>
    <x:row r="10" ht="22" customHeight="1">
      <x:c r="A10" s="17" t="str">
        <x:f>"01031500"</x:f>
        <x:v>01031500</x:v>
      </x:c>
      <x:c r="B10" s="13" t="n">
        <x:v>42</x:v>
      </x:c>
      <x:c r="C10" s="22" t="b">
        <x:v>1</x:v>
      </x:c>
      <x:c r="D10" s="11" t="n">
        <x:v>0.0297029707580804</x:v>
      </x:c>
      <x:c r="E10" s="11" t="n">
        <x:v>0.0007618662396756</x:v>
      </x:c>
      <x:c r="F10" s="11" t="n">
        <x:v>0.3861386179924011</x:v>
      </x:c>
      <x:c r="G10" s="13" t="n">
        <x:v>3</x:v>
      </x:c>
      <x:c r="H10" s="11" t="n">
        <x:v>0.4562091827392578</x:v>
      </x:c>
      <x:c r="I10" s="11" t="n">
        <x:v>0.4642150104045868</x:v>
      </x:c>
      <x:c r="J10" s="24" t="n">
        <x:v>124.24010893609375</x:v>
      </x:c>
      <x:c r="K10" s="24" t="n">
        <x:v>161.28228044509888</x:v>
      </x:c>
      <x:c r="L10" s="11" t="n">
        <x:v>0.7400990128517151</x:v>
      </x:c>
      <x:c r="M10" s="11" t="n">
        <x:v>0.0999393239617347</x:v>
      </x:c>
    </x:row>
    <x:row r="11" ht="22" customHeight="1">
      <x:c r="A11" s="17" t="str">
        <x:f>"01031500"</x:f>
        <x:v>01031500</x:v>
      </x:c>
      <x:c r="B11" s="13" t="n">
        <x:v>42</x:v>
      </x:c>
      <x:c r="C11" s="22" t="b">
        <x:v>0</x:v>
      </x:c>
      <x:c r="D11" s="11" t="n">
        <x:v>0.031430934555828495</x:v>
      </x:c>
      <x:c r="E11" s="11" t="n">
        <x:v>0.0002496221907979667</x:v>
      </x:c>
      <x:c r="F11" s="11" t="n">
        <x:v>0.5334987640380859</x:v>
      </x:c>
      <x:c r="G11" s="13" t="n">
        <x:v>4</x:v>
      </x:c>
      <x:c r="H11" s="11" t="n">
        <x:v>0.7389814853668213</x:v>
      </x:c>
      <x:c r="I11" s="11" t="n">
        <x:v>0.7915260791778564</x:v>
      </x:c>
      <x:c r="J11" s="24" t="n">
        <x:v>121.89317901525646</x:v>
      </x:c>
      <x:c r="K11" s="24" t="n">
        <x:v>162.9130461215973</x:v>
      </x:c>
      <x:c r="L11" s="11" t="n">
        <x:v>0.8089330196380615</x:v>
      </x:c>
      <x:c r="M11" s="11" t="n">
        <x:v>0.0999332070350647</x:v>
      </x:c>
    </x:row>
    <x:row r="12" ht="22" customHeight="1">
      <x:c r="A12" s="17" t="str">
        <x:f>"01047000"</x:f>
        <x:v>01047000</x:v>
      </x:c>
      <x:c r="B12" s="13" t="n">
        <x:v>42</x:v>
      </x:c>
      <x:c r="C12" s="22" t="b">
        <x:v>1</x:v>
      </x:c>
      <x:c r="D12" s="11" t="n">
        <x:v>0.03465346557398633</x:v>
      </x:c>
      <x:c r="E12" s="11" t="n">
        <x:v>0.0005933117548313667</x:v>
      </x:c>
      <x:c r="F12" s="11" t="n">
        <x:v>0.4207920730113983</x:v>
      </x:c>
      <x:c r="G12" s="13" t="n">
        <x:v>6</x:v>
      </x:c>
      <x:c r="H12" s="11" t="n">
        <x:v>0.4984782636165619</x:v>
      </x:c>
      <x:c r="I12" s="11" t="n">
        <x:v>0.5090850591659546</x:v>
      </x:c>
      <x:c r="J12" s="24" t="n">
        <x:v>121.82717167399824</x:v>
      </x:c>
      <x:c r="K12" s="24" t="n">
        <x:v>146.0991461277008</x:v>
      </x:c>
      <x:c r="L12" s="11" t="n">
        <x:v>0.5767326951026917</x:v>
      </x:c>
      <x:c r="M12" s="11" t="n">
        <x:v>0.0999393239617347</x:v>
      </x:c>
    </x:row>
    <x:row r="13" ht="22" customHeight="1">
      <x:c r="A13" s="17" t="str">
        <x:f>"01047000"</x:f>
        <x:v>01047000</x:v>
      </x:c>
      <x:c r="B13" s="13" t="n">
        <x:v>42</x:v>
      </x:c>
      <x:c r="C13" s="22" t="b">
        <x:v>0</x:v>
      </x:c>
      <x:c r="D13" s="11" t="n">
        <x:v>0.0330851934850215</x:v>
      </x:c>
      <x:c r="E13" s="11" t="n">
        <x:v>0.0002158894640160333</x:v>
      </x:c>
      <x:c r="F13" s="11" t="n">
        <x:v>0.5384615659713745</x:v>
      </x:c>
      <x:c r="G13" s="13" t="n">
        <x:v>4</x:v>
      </x:c>
      <x:c r="H13" s="11" t="n">
        <x:v>0.7826022505760193</x:v>
      </x:c>
      <x:c r="I13" s="11" t="n">
        <x:v>0.8411356210708618</x:v>
      </x:c>
      <x:c r="J13" s="24" t="n">
        <x:v>122.44317863415927</x:v>
      </x:c>
      <x:c r="K13" s="24" t="n">
        <x:v>167.58609890937805</x:v>
      </x:c>
      <x:c r="L13" s="11" t="n">
        <x:v>0.7965260744094849</x:v>
      </x:c>
      <x:c r="M13" s="11" t="n">
        <x:v>0.0999332070350647</x:v>
      </x:c>
    </x:row>
    <x:row r="14" ht="22" customHeight="1">
      <x:c r="A14" s="17" t="str">
        <x:f>"01052500"</x:f>
        <x:v>01052500</x:v>
      </x:c>
      <x:c r="B14" s="13" t="n">
        <x:v>42</x:v>
      </x:c>
      <x:c r="C14" s="22" t="b">
        <x:v>1</x:v>
      </x:c>
      <x:c r="D14" s="11" t="n">
        <x:v>0.0313531352827946</x:v>
      </x:c>
      <x:c r="E14" s="11" t="n">
        <x:v>0.0004112729220650667</x:v>
      </x:c>
      <x:c r="F14" s="11" t="n">
        <x:v>0.4108910858631134</x:v>
      </x:c>
      <x:c r="G14" s="13" t="n">
        <x:v>8</x:v>
      </x:c>
      <x:c r="H14" s="11" t="n">
        <x:v>0.3255282938480377</x:v>
      </x:c>
      <x:c r="I14" s="11" t="n">
        <x:v>0.3354445099830627</x:v>
      </x:c>
      <x:c r="J14" s="24" t="n">
        <x:v>122.12211982533336</x:v>
      </x:c>
      <x:c r="K14" s="24" t="n">
        <x:v>148.62660384178162</x:v>
      </x:c>
      <x:c r="L14" s="11" t="n">
        <x:v>0.4727722704410553</x:v>
      </x:c>
      <x:c r="M14" s="11" t="n">
        <x:v>0.0999393239617347</x:v>
      </x:c>
    </x:row>
    <x:row r="15" ht="22" customHeight="1">
      <x:c r="A15" s="17" t="str">
        <x:f>"01052500"</x:f>
        <x:v>01052500</x:v>
      </x:c>
      <x:c r="B15" s="13" t="n">
        <x:v>42</x:v>
      </x:c>
      <x:c r="C15" s="22" t="b">
        <x:v>0</x:v>
      </x:c>
      <x:c r="D15" s="11" t="n">
        <x:v>0.048800662159919704</x:v>
      </x:c>
      <x:c r="E15" s="11" t="n">
        <x:v>0.00022938255763916668</x:v>
      </x:c>
      <x:c r="F15" s="11" t="n">
        <x:v>0.5459057092666626</x:v>
      </x:c>
      <x:c r="G15" s="13" t="n">
        <x:v>5</x:v>
      </x:c>
      <x:c r="H15" s="11" t="n">
        <x:v>0.5591967105865479</x:v>
      </x:c>
      <x:c r="I15" s="11" t="n">
        <x:v>0.6354098320007324</x:v>
      </x:c>
      <x:c r="J15" s="24" t="n">
        <x:v>121.72673282586038</x:v>
      </x:c>
      <x:c r="K15" s="24" t="n">
        <x:v>165.6248209476471</x:v>
      </x:c>
      <x:c r="L15" s="11" t="n">
        <x:v>0.7543424367904663</x:v>
      </x:c>
      <x:c r="M15" s="11" t="n">
        <x:v>0.0999332070350647</x:v>
      </x:c>
    </x:row>
    <x:row r="16" ht="22" customHeight="1">
      <x:c r="A16" s="17" t="str">
        <x:f>"01054200"</x:f>
        <x:v>01054200</x:v>
      </x:c>
      <x:c r="B16" s="13" t="n">
        <x:v>42</x:v>
      </x:c>
      <x:c r="C16" s="22" t="b">
        <x:v>1</x:v>
      </x:c>
      <x:c r="D16" s="11" t="n">
        <x:v>0.038778878748416866</x:v>
      </x:c>
      <x:c r="E16" s="11" t="n">
        <x:v>0.0005393743243378334</x:v>
      </x:c>
      <x:c r="F16" s="11" t="n">
        <x:v>0.3415841460227966</x:v>
      </x:c>
      <x:c r="G16" s="13" t="n">
        <x:v>1</x:v>
      </x:c>
      <x:c r="H16" s="11" t="n">
        <x:v>0.588009238243103</x:v>
      </x:c>
      <x:c r="I16" s="11" t="n">
        <x:v>0.6001344323158264</x:v>
      </x:c>
      <x:c r="J16" s="24" t="n">
        <x:v>125.0055777085945</x:v>
      </x:c>
      <x:c r="K16" s="24" t="n">
        <x:v>160.647878408432</x:v>
      </x:c>
      <x:c r="L16" s="11" t="n">
        <x:v>0.9777227640151978</x:v>
      </x:c>
      <x:c r="M16" s="11" t="n">
        <x:v>0.0999393239617347</x:v>
      </x:c>
    </x:row>
    <x:row r="17" ht="22" customHeight="1">
      <x:c r="A17" s="17" t="str">
        <x:f>"01054200"</x:f>
        <x:v>01054200</x:v>
      </x:c>
      <x:c r="B17" s="13" t="n">
        <x:v>42</x:v>
      </x:c>
      <x:c r="C17" s="22" t="b">
        <x:v>0</x:v>
      </x:c>
      <x:c r="D17" s="11" t="n">
        <x:v>0.037220843757192236</x:v>
      </x:c>
      <x:c r="E17" s="11" t="n">
        <x:v>0.0005599633053255</x:v>
      </x:c>
      <x:c r="F17" s="11" t="n">
        <x:v>0.4913151264190674</x:v>
      </x:c>
      <x:c r="G17" s="13" t="n">
        <x:v>3</x:v>
      </x:c>
      <x:c r="H17" s="11" t="n">
        <x:v>0.7932300567626953</x:v>
      </x:c>
      <x:c r="I17" s="11" t="n">
        <x:v>0.8364461064338684</x:v>
      </x:c>
      <x:c r="J17" s="24" t="n">
        <x:v>121.37343537900597</x:v>
      </x:c>
      <x:c r="K17" s="24" t="n">
        <x:v>158.9397418498993</x:v>
      </x:c>
      <x:c r="L17" s="11" t="n">
        <x:v>0.8287841081619263</x:v>
      </x:c>
      <x:c r="M17" s="11" t="n">
        <x:v>0.0999332070350647</x:v>
      </x:c>
    </x:row>
    <x:row r="18" ht="22" customHeight="1">
      <x:c r="A18" s="17" t="str">
        <x:f>"01055000"</x:f>
        <x:v>01055000</x:v>
      </x:c>
      <x:c r="B18" s="13" t="n">
        <x:v>42</x:v>
      </x:c>
      <x:c r="C18" s="22" t="b">
        <x:v>1</x:v>
      </x:c>
      <x:c r="D18" s="11" t="n">
        <x:v>0.01815181567023193</x:v>
      </x:c>
      <x:c r="E18" s="11" t="n">
        <x:v>0.0005730852135456666</x:v>
      </x:c>
      <x:c r="F18" s="11" t="n">
        <x:v>0.4133663475513458</x:v>
      </x:c>
      <x:c r="G18" s="13" t="n">
        <x:v>1</x:v>
      </x:c>
      <x:c r="H18" s="11" t="n">
        <x:v>0.5486239790916443</x:v>
      </x:c>
      <x:c r="I18" s="11" t="n">
        <x:v>0.5591620206832886</x:v>
      </x:c>
      <x:c r="J18" s="24" t="n">
        <x:v>131.60334479156882</x:v>
      </x:c>
      <x:c r="K18" s="24" t="n">
        <x:v>145.96766138076782</x:v>
      </x:c>
      <x:c r="L18" s="11" t="n">
        <x:v>0.9702970385551452</x:v>
      </x:c>
      <x:c r="M18" s="11" t="n">
        <x:v>0.0999393239617347</x:v>
      </x:c>
    </x:row>
    <x:row r="19" ht="22" customHeight="1">
      <x:c r="A19" s="17" t="str">
        <x:f>"01055000"</x:f>
        <x:v>01055000</x:v>
      </x:c>
      <x:c r="B19" s="13" t="n">
        <x:v>42</x:v>
      </x:c>
      <x:c r="C19" s="22" t="b">
        <x:v>0</x:v>
      </x:c>
      <x:c r="D19" s="11" t="n">
        <x:v>0.06286187097430222</x:v>
      </x:c>
      <x:c r="E19" s="11" t="n">
        <x:v>0.0004317789183308333</x:v>
      </x:c>
      <x:c r="F19" s="11" t="n">
        <x:v>0.5235732197761536</x:v>
      </x:c>
      <x:c r="G19" s="13" t="n">
        <x:v>5</x:v>
      </x:c>
      <x:c r="H19" s="11" t="n">
        <x:v>0.797783613204956</x:v>
      </x:c>
      <x:c r="I19" s="11" t="n">
        <x:v>0.8624534606933594</x:v>
      </x:c>
      <x:c r="J19" s="24" t="n">
        <x:v>129.7014111140743</x:v>
      </x:c>
      <x:c r="K19" s="24" t="n">
        <x:v>157.32637357711792</x:v>
      </x:c>
      <x:c r="L19" s="11" t="n">
        <x:v>0.7047146558761597</x:v>
      </x:c>
      <x:c r="M19" s="11" t="n">
        <x:v>0.0999332070350647</x:v>
      </x:c>
    </x:row>
    <x:row r="20" ht="22" customHeight="1">
      <x:c r="A20" s="17" t="str">
        <x:f>"01057000"</x:f>
        <x:v>01057000</x:v>
      </x:c>
      <x:c r="B20" s="13" t="n">
        <x:v>42</x:v>
      </x:c>
      <x:c r="C20" s="22" t="b">
        <x:v>1</x:v>
      </x:c>
      <x:c r="D20" s="11" t="n">
        <x:v>0.035478547215461696</x:v>
      </x:c>
      <x:c r="E20" s="11" t="n">
        <x:v>0.0003438511339481333</x:v>
      </x:c>
      <x:c r="F20" s="11" t="n">
        <x:v>0.4331683218479156</x:v>
      </x:c>
      <x:c r="G20" s="13" t="n">
        <x:v>2</x:v>
      </x:c>
      <x:c r="H20" s="11" t="n">
        <x:v>0.4734910130500793</x:v>
      </x:c>
      <x:c r="I20" s="11" t="n">
        <x:v>0.4771705567836761</x:v>
      </x:c>
      <x:c r="J20" s="24" t="n">
        <x:v>125.71549526229501</x:v>
      </x:c>
      <x:c r="K20" s="24" t="n">
        <x:v>144.97323751449585</x:v>
      </x:c>
      <x:c r="L20" s="11" t="n">
        <x:v>0.8737623691558838</x:v>
      </x:c>
      <x:c r="M20" s="11" t="n">
        <x:v>0.0999393239617347</x:v>
      </x:c>
    </x:row>
    <x:row r="21" ht="22" customHeight="1">
      <x:c r="A21" s="17" t="str">
        <x:f>"01057000"</x:f>
        <x:v>01057000</x:v>
      </x:c>
      <x:c r="B21" s="13" t="n">
        <x:v>42</x:v>
      </x:c>
      <x:c r="C21" s="22" t="b">
        <x:v>0</x:v>
      </x:c>
      <x:c r="D21" s="11" t="n">
        <x:v>0.03887510361770783</x:v>
      </x:c>
      <x:c r="E21" s="11" t="n">
        <x:v>0.0002226360084023</x:v>
      </x:c>
      <x:c r="F21" s="11" t="n">
        <x:v>0.5260545611381531</x:v>
      </x:c>
      <x:c r="G21" s="13" t="n">
        <x:v>6</x:v>
      </x:c>
      <x:c r="H21" s="11" t="n">
        <x:v>0.7407077550888062</x:v>
      </x:c>
      <x:c r="I21" s="11" t="n">
        <x:v>0.7530723214149475</x:v>
      </x:c>
      <x:c r="J21" s="24" t="n">
        <x:v>122.9750761622563</x:v>
      </x:c>
      <x:c r="K21" s="24" t="n">
        <x:v>153.43490266799927</x:v>
      </x:c>
      <x:c r="L21" s="11" t="n">
        <x:v>0.6947891116142273</x:v>
      </x:c>
      <x:c r="M21" s="11" t="n">
        <x:v>0.0999332070350647</x:v>
      </x:c>
    </x:row>
    <x:row r="22" ht="22" customHeight="1">
      <x:c r="A22" s="17" t="str">
        <x:f>"01073000"</x:f>
        <x:v>01073000</x:v>
      </x:c>
      <x:c r="B22" s="13" t="n">
        <x:v>42</x:v>
      </x:c>
      <x:c r="C22" s="22" t="b">
        <x:v>1</x:v>
      </x:c>
      <x:c r="D22" s="11" t="n">
        <x:v>0.03135313528279456</x:v>
      </x:c>
      <x:c r="E22" s="11" t="n">
        <x:v>0.0005326321503768</x:v>
      </x:c>
      <x:c r="F22" s="11" t="n">
        <x:v>0.3514851629734039</x:v>
      </x:c>
      <x:c r="G22" s="13" t="n">
        <x:v>9</x:v>
      </x:c>
      <x:c r="H22" s="11" t="n">
        <x:v>1.0550802946090698</x:v>
      </x:c>
      <x:c r="I22" s="11" t="n">
        <x:v>1.0666333436965942</x:v>
      </x:c>
      <x:c r="J22" s="24" t="n">
        <x:v>129.19969675224274</x:v>
      </x:c>
      <x:c r="K22" s="24" t="n">
        <x:v>148.22861456871033</x:v>
      </x:c>
      <x:c r="L22" s="11" t="n">
        <x:v>0.3886138498783111</x:v>
      </x:c>
      <x:c r="M22" s="11" t="n">
        <x:v>0.0999393239617347</x:v>
      </x:c>
    </x:row>
    <x:row r="23" ht="22" customHeight="1">
      <x:c r="A23" s="17" t="str">
        <x:f>"01073000"</x:f>
        <x:v>01073000</x:v>
      </x:c>
      <x:c r="B23" s="13" t="n">
        <x:v>42</x:v>
      </x:c>
      <x:c r="C23" s="22" t="b">
        <x:v>0</x:v>
      </x:c>
      <x:c r="D23" s="11" t="n">
        <x:v>0.042183622717857305</x:v>
      </x:c>
      <x:c r="E23" s="11" t="n">
        <x:v>0.00023612910445073337</x:v>
      </x:c>
      <x:c r="F23" s="11" t="n">
        <x:v>0.466501235961914</x:v>
      </x:c>
      <x:c r="G23" s="13" t="n">
        <x:v>10</x:v>
      </x:c>
      <x:c r="H23" s="11" t="n">
        <x:v>1.2458446025848389</x:v>
      </x:c>
      <x:c r="I23" s="11" t="n">
        <x:v>1.2458446025848389</x:v>
      </x:c>
      <x:c r="J23" s="24" t="n">
        <x:v>128.9302127333358</x:v>
      </x:c>
      <x:c r="K23" s="24" t="n">
        <x:v>155.631409406662</x:v>
      </x:c>
      <x:c r="L23" s="11" t="n">
        <x:v>0.466501235961914</x:v>
      </x:c>
      <x:c r="M23" s="11" t="n">
        <x:v>0.0999332070350647</x:v>
      </x:c>
    </x:row>
    <x:row r="24" ht="22" customHeight="1">
      <x:c r="A24" s="17" t="str">
        <x:f>"01078000"</x:f>
        <x:v>01078000</x:v>
      </x:c>
      <x:c r="B24" s="13" t="n">
        <x:v>42</x:v>
      </x:c>
      <x:c r="C24" s="22" t="b">
        <x:v>1</x:v>
      </x:c>
      <x:c r="D24" s="11" t="n">
        <x:v>0.03465346495310463</x:v>
      </x:c>
      <x:c r="E24" s="11" t="n">
        <x:v>0.0004247572893897333</x:v>
      </x:c>
      <x:c r="F24" s="11" t="n">
        <x:v>0.3589108884334564</x:v>
      </x:c>
      <x:c r="G24" s="13" t="n">
        <x:v>7</x:v>
      </x:c>
      <x:c r="H24" s="11" t="n">
        <x:v>0.4040742814540863</x:v>
      </x:c>
      <x:c r="I24" s="11" t="n">
        <x:v>0.4193077087402344</x:v>
      </x:c>
      <x:c r="J24" s="24" t="n">
        <x:v>127.09624349605292</x:v>
      </x:c>
      <x:c r="K24" s="24" t="n">
        <x:v>146.23349285125732</x:v>
      </x:c>
      <x:c r="L24" s="11" t="n">
        <x:v>0.4653465449810028</x:v>
      </x:c>
      <x:c r="M24" s="11" t="n">
        <x:v>0.0999393239617347</x:v>
      </x:c>
    </x:row>
    <x:row r="25" ht="22" customHeight="1">
      <x:c r="A25" s="17" t="str">
        <x:f>"01078000"</x:f>
        <x:v>01078000</x:v>
      </x:c>
      <x:c r="B25" s="13" t="n">
        <x:v>42</x:v>
      </x:c>
      <x:c r="C25" s="22" t="b">
        <x:v>0</x:v>
      </x:c>
      <x:c r="D25" s="11" t="n">
        <x:v>0.05541770160198206</x:v>
      </x:c>
      <x:c r="E25" s="11" t="n">
        <x:v>0.00016866364603623332</x:v>
      </x:c>
      <x:c r="F25" s="11" t="n">
        <x:v>0.6203473806381226</x:v>
      </x:c>
      <x:c r="G25" s="13" t="n">
        <x:v>7</x:v>
      </x:c>
      <x:c r="H25" s="11" t="n">
        <x:v>0.785690426826477</x:v>
      </x:c>
      <x:c r="I25" s="11" t="n">
        <x:v>0.8763660192489624</x:v>
      </x:c>
      <x:c r="J25" s="24" t="n">
        <x:v>131.3475886322558</x:v>
      </x:c>
      <x:c r="K25" s="24" t="n">
        <x:v>170.53419256210327</x:v>
      </x:c>
      <x:c r="L25" s="11" t="n">
        <x:v>0.6947891116142273</x:v>
      </x:c>
      <x:c r="M25" s="11" t="n">
        <x:v>0.0999332070350647</x:v>
      </x:c>
    </x:row>
    <x:row r="26" ht="22" customHeight="1">
      <x:c r="A26" s="17" t="str">
        <x:f>"01134500"</x:f>
        <x:v>01134500</x:v>
      </x:c>
      <x:c r="B26" s="13" t="n">
        <x:v>42</x:v>
      </x:c>
      <x:c r="C26" s="22" t="b">
        <x:v>1</x:v>
      </x:c>
      <x:c r="D26" s="11" t="n">
        <x:v>0.018151815359791067</x:v>
      </x:c>
      <x:c r="E26" s="11" t="n">
        <x:v>0.00030339805622736665</x:v>
      </x:c>
      <x:c r="F26" s="11" t="n">
        <x:v>0.4232673346996307</x:v>
      </x:c>
      <x:c r="G26" s="13" t="n">
        <x:v>3</x:v>
      </x:c>
      <x:c r="H26" s="11" t="n">
        <x:v>0.3397096395492553</x:v>
      </x:c>
      <x:c r="I26" s="11" t="n">
        <x:v>0.3583033382892608</x:v>
      </x:c>
      <x:c r="J26" s="24" t="n">
        <x:v>135.14088106248528</x:v>
      </x:c>
      <x:c r="K26" s="24" t="n">
        <x:v>164.14353251457214</x:v>
      </x:c>
      <x:c r="L26" s="11" t="n">
        <x:v>0.8366336822509766</x:v>
      </x:c>
      <x:c r="M26" s="11" t="n">
        <x:v>0.0999393239617347</x:v>
      </x:c>
    </x:row>
    <x:row r="27" ht="22" customHeight="1">
      <x:c r="A27" s="17" t="str">
        <x:f>"01134500"</x:f>
        <x:v>01134500</x:v>
      </x:c>
      <x:c r="B27" s="13" t="n">
        <x:v>42</x:v>
      </x:c>
      <x:c r="C27" s="22" t="b">
        <x:v>0</x:v>
      </x:c>
      <x:c r="D27" s="11" t="n">
        <x:v>0.0413564927875995</x:v>
      </x:c>
      <x:c r="E27" s="11" t="n">
        <x:v>0.00025636874003483336</x:v>
      </x:c>
      <x:c r="F27" s="11" t="n">
        <x:v>0.5707195997238159</x:v>
      </x:c>
      <x:c r="G27" s="13" t="n">
        <x:v>1</x:v>
      </x:c>
      <x:c r="H27" s="11" t="n">
        <x:v>0.5837308764457703</x:v>
      </x:c>
      <x:c r="I27" s="11" t="n">
        <x:v>0.6009195446968079</x:v>
      </x:c>
      <x:c r="J27" s="24" t="n">
        <x:v>129.79652290511876</x:v>
      </x:c>
      <x:c r="K27" s="24" t="n">
        <x:v>178.90828561782837</x:v>
      </x:c>
      <x:c r="L27" s="11" t="n">
        <x:v>0.9875930547714232</x:v>
      </x:c>
      <x:c r="M27" s="11" t="n">
        <x:v>0.0999332070350647</x:v>
      </x:c>
    </x:row>
    <x:row r="28" ht="22" customHeight="1">
      <x:c r="A28" s="17" t="str">
        <x:f>"01137500"</x:f>
        <x:v>01137500</x:v>
      </x:c>
      <x:c r="B28" s="13" t="n">
        <x:v>42</x:v>
      </x:c>
      <x:c r="C28" s="22" t="b">
        <x:v>1</x:v>
      </x:c>
      <x:c r="D28" s="11" t="n">
        <x:v>0.03547854845722513</x:v>
      </x:c>
      <x:c r="E28" s="11" t="n">
        <x:v>0.0010113268702601</x:v>
      </x:c>
      <x:c r="F28" s="11" t="n">
        <x:v>0.4108910858631134</x:v>
      </x:c>
      <x:c r="G28" s="13" t="n">
        <x:v>1</x:v>
      </x:c>
      <x:c r="H28" s="11" t="n">
        <x:v>0.4520813822746277</x:v>
      </x:c>
      <x:c r="I28" s="11" t="n">
        <x:v>0.4872402846813202</x:v>
      </x:c>
      <x:c r="J28" s="24" t="n">
        <x:v>129.79452284798026</x:v>
      </x:c>
      <x:c r="K28" s="24" t="n">
        <x:v>164.2477264404297</x:v>
      </x:c>
      <x:c r="L28" s="11" t="n">
        <x:v>0.9727723002433776</x:v>
      </x:c>
      <x:c r="M28" s="11" t="n">
        <x:v>0.0999393239617347</x:v>
      </x:c>
    </x:row>
    <x:row r="29" ht="22" customHeight="1">
      <x:c r="A29" s="17" t="str">
        <x:f>"01137500"</x:f>
        <x:v>01137500</x:v>
      </x:c>
      <x:c r="B29" s="13" t="n">
        <x:v>42</x:v>
      </x:c>
      <x:c r="C29" s="22" t="b">
        <x:v>0</x:v>
      </x:c>
      <x:c r="D29" s="11" t="n">
        <x:v>0.05128205070892963</x:v>
      </x:c>
      <x:c r="E29" s="11" t="n">
        <x:v>0.00033732728237126667</x:v>
      </x:c>
      <x:c r="F29" s="11" t="n">
        <x:v>0.5285359621047974</x:v>
      </x:c>
      <x:c r="G29" s="13" t="n">
        <x:v>2</x:v>
      </x:c>
      <x:c r="H29" s="11" t="n">
        <x:v>0.5872207283973694</x:v>
      </x:c>
      <x:c r="I29" s="11" t="n">
        <x:v>0.5942333340644836</x:v>
      </x:c>
      <x:c r="J29" s="24" t="n">
        <x:v>136.7814331566915</x:v>
      </x:c>
      <x:c r="K29" s="24" t="n">
        <x:v>174.48699641227722</x:v>
      </x:c>
      <x:c r="L29" s="11" t="n">
        <x:v>0.8933002352714539</x:v>
      </x:c>
      <x:c r="M29" s="11" t="n">
        <x:v>0.0999332070350647</x:v>
      </x:c>
    </x:row>
    <x:row r="30" ht="22" customHeight="1">
      <x:c r="A30" s="17" t="str">
        <x:f>"01139000"</x:f>
        <x:v>01139000</x:v>
      </x:c>
      <x:c r="B30" s="13" t="n">
        <x:v>42</x:v>
      </x:c>
      <x:c r="C30" s="22" t="b">
        <x:v>1</x:v>
      </x:c>
      <x:c r="D30" s="11" t="n">
        <x:v>0.02887788849572333</x:v>
      </x:c>
      <x:c r="E30" s="11" t="n">
        <x:v>0.00038430421166893333</x:v>
      </x:c>
      <x:c r="F30" s="11" t="n">
        <x:v>0.4331683218479156</x:v>
      </x:c>
      <x:c r="G30" s="13" t="n">
        <x:v>3</x:v>
      </x:c>
      <x:c r="H30" s="11" t="n">
        <x:v>0.3126294016838074</x:v>
      </x:c>
      <x:c r="I30" s="11" t="n">
        <x:v>0.3397054374217987</x:v>
      </x:c>
      <x:c r="J30" s="24" t="n">
        <x:v>130.09737839270383</x:v>
      </x:c>
      <x:c r="K30" s="24" t="n">
        <x:v>160.59759092330933</x:v>
      </x:c>
      <x:c r="L30" s="11" t="n">
        <x:v>0.8094059228897095</x:v>
      </x:c>
      <x:c r="M30" s="11" t="n">
        <x:v>0.0999393239617347</x:v>
      </x:c>
    </x:row>
    <x:row r="31" ht="22" customHeight="1">
      <x:c r="A31" s="17" t="str">
        <x:f>"01139000"</x:f>
        <x:v>01139000</x:v>
      </x:c>
      <x:c r="B31" s="13" t="n">
        <x:v>42</x:v>
      </x:c>
      <x:c r="C31" s="22" t="b">
        <x:v>0</x:v>
      </x:c>
      <x:c r="D31" s="11" t="n">
        <x:v>0.05789909139275546</x:v>
      </x:c>
      <x:c r="E31" s="11" t="n">
        <x:v>0.00031708765406310004</x:v>
      </x:c>
      <x:c r="F31" s="11" t="n">
        <x:v>0.6054590344429016</x:v>
      </x:c>
      <x:c r="G31" s="13" t="n">
        <x:v>3</x:v>
      </x:c>
      <x:c r="H31" s="11" t="n">
        <x:v>0.5498866438865662</x:v>
      </x:c>
      <x:c r="I31" s="11" t="n">
        <x:v>0.6183846592903137</x:v>
      </x:c>
      <x:c r="J31" s="24" t="n">
        <x:v>132.76405775733292</x:v>
      </x:c>
      <x:c r="K31" s="24" t="n">
        <x:v>175.79224038124084</x:v>
      </x:c>
      <x:c r="L31" s="11" t="n">
        <x:v>0.8982630372047424</x:v>
      </x:c>
      <x:c r="M31" s="11" t="n">
        <x:v>0.0999332070350647</x:v>
      </x:c>
    </x:row>
    <x:row r="32" ht="22" customHeight="1">
      <x:c r="A32" s="17" t="str">
        <x:f>"01139800"</x:f>
        <x:v>01139800</x:v>
      </x:c>
      <x:c r="B32" s="13" t="n">
        <x:v>42</x:v>
      </x:c>
      <x:c r="C32" s="22" t="b">
        <x:v>1</x:v>
      </x:c>
      <x:c r="D32" s="11" t="n">
        <x:v>0.0264026404668887</x:v>
      </x:c>
      <x:c r="E32" s="11" t="n">
        <x:v>0.00033036676662346665</x:v>
      </x:c>
      <x:c r="F32" s="11" t="n">
        <x:v>0.3811881244182586</x:v>
      </x:c>
      <x:c r="G32" s="13" t="n">
        <x:v>8</x:v>
      </x:c>
      <x:c r="H32" s="11" t="n">
        <x:v>0.2326010763645172</x:v>
      </x:c>
      <x:c r="I32" s="11" t="n">
        <x:v>0.2402011901140213</x:v>
      </x:c>
      <x:c r="J32" s="24" t="n">
        <x:v>141.4231596523896</x:v>
      </x:c>
      <x:c r="K32" s="24" t="n">
        <x:v>153.03416228294373</x:v>
      </x:c>
      <x:c r="L32" s="11" t="n">
        <x:v>0.4702970385551452</x:v>
      </x:c>
      <x:c r="M32" s="11" t="n">
        <x:v>0.0999393239617347</x:v>
      </x:c>
    </x:row>
    <x:row r="33" ht="22" customHeight="1">
      <x:c r="A33" s="17" t="str">
        <x:f>"01139800"</x:f>
        <x:v>01139800</x:v>
      </x:c>
      <x:c r="B33" s="13" t="n">
        <x:v>42</x:v>
      </x:c>
      <x:c r="C33" s="22" t="b">
        <x:v>0</x:v>
      </x:c>
      <x:c r="D33" s="11" t="n">
        <x:v>0.054590571671724264</x:v>
      </x:c>
      <x:c r="E33" s="11" t="n">
        <x:v>0.0003238341984494</x:v>
      </x:c>
      <x:c r="F33" s="11" t="n">
        <x:v>0.578163743019104</x:v>
      </x:c>
      <x:c r="G33" s="13" t="n">
        <x:v>10</x:v>
      </x:c>
      <x:c r="H33" s="11" t="n">
        <x:v>0.5154978036880493</x:v>
      </x:c>
      <x:c r="I33" s="11" t="n">
        <x:v>0.5154978036880493</x:v>
      </x:c>
      <x:c r="J33" s="24" t="n">
        <x:v>134.09012023266405</x:v>
      </x:c>
      <x:c r="K33" s="24" t="n">
        <x:v>161.47339820861816</x:v>
      </x:c>
      <x:c r="L33" s="11" t="n">
        <x:v>0.578163743019104</x:v>
      </x:c>
      <x:c r="M33" s="11" t="n">
        <x:v>0.0999332070350647</x:v>
      </x:c>
    </x:row>
    <x:row r="34" ht="22" customHeight="1">
      <x:c r="A34" s="17" t="str">
        <x:f>"01142500"</x:f>
        <x:v>01142500</x:v>
      </x:c>
      <x:c r="B34" s="13" t="n">
        <x:v>42</x:v>
      </x:c>
      <x:c r="C34" s="22" t="b">
        <x:v>1</x:v>
      </x:c>
      <x:c r="D34" s="11" t="n">
        <x:v>0.037128713602821</x:v>
      </x:c>
      <x:c r="E34" s="11" t="n">
        <x:v>0.00025620280454553336</x:v>
      </x:c>
      <x:c r="F34" s="11" t="n">
        <x:v>0.4603960514068603</x:v>
      </x:c>
      <x:c r="G34" s="13" t="n">
        <x:v>8</x:v>
      </x:c>
      <x:c r="H34" s="11" t="n">
        <x:v>0.2807645201683044</x:v>
      </x:c>
      <x:c r="I34" s="11" t="n">
        <x:v>0.2821843922138214</x:v>
      </x:c>
      <x:c r="J34" s="24" t="n">
        <x:v>134.01588269975036</x:v>
      </x:c>
      <x:c r="K34" s="24" t="n">
        <x:v>150.64363622665405</x:v>
      </x:c>
      <x:c r="L34" s="11" t="n">
        <x:v>0.5371286869049072</x:v>
      </x:c>
      <x:c r="M34" s="11" t="n">
        <x:v>0.0999393239617347</x:v>
      </x:c>
    </x:row>
    <x:row r="35" ht="22" customHeight="1">
      <x:c r="A35" s="17" t="str">
        <x:f>"01142500"</x:f>
        <x:v>01142500</x:v>
      </x:c>
      <x:c r="B35" s="13" t="n">
        <x:v>42</x:v>
      </x:c>
      <x:c r="C35" s="22" t="b">
        <x:v>0</x:v>
      </x:c>
      <x:c r="D35" s="11" t="n">
        <x:v>0.0496277920901775</x:v>
      </x:c>
      <x:c r="E35" s="11" t="n">
        <x:v>0.00023612909717476668</x:v>
      </x:c>
      <x:c r="F35" s="11" t="n">
        <x:v>0.5756824016571045</x:v>
      </x:c>
      <x:c r="G35" s="13" t="n">
        <x:v>3</x:v>
      </x:c>
      <x:c r="H35" s="11" t="n">
        <x:v>0.6895039081573486</x:v>
      </x:c>
      <x:c r="I35" s="11" t="n">
        <x:v>0.7176666259765625</x:v>
      </x:c>
      <x:c r="J35" s="24" t="n">
        <x:v>132.18454487621784</x:v>
      </x:c>
      <x:c r="K35" s="24" t="n">
        <x:v>168.07375121116638</x:v>
      </x:c>
      <x:c r="L35" s="11" t="n">
        <x:v>0.8908188343048096</x:v>
      </x:c>
      <x:c r="M35" s="11" t="n">
        <x:v>0.0999332070350647</x:v>
      </x:c>
    </x:row>
    <x:row r="36" ht="22" customHeight="1">
      <x:c r="A36" s="17" t="str">
        <x:f>"01144000"</x:f>
        <x:v>01144000</x:v>
      </x:c>
      <x:c r="B36" s="13" t="n">
        <x:v>42</x:v>
      </x:c>
      <x:c r="C36" s="22" t="b">
        <x:v>1</x:v>
      </x:c>
      <x:c r="D36" s="11" t="n">
        <x:v>0.0346534655739863</x:v>
      </x:c>
      <x:c r="E36" s="11" t="n">
        <x:v>0.0002427184517727667</x:v>
      </x:c>
      <x:c r="F36" s="11" t="n">
        <x:v>0.4702970385551452</x:v>
      </x:c>
      <x:c r="G36" s="13" t="n">
        <x:v>3</x:v>
      </x:c>
      <x:c r="H36" s="11" t="n">
        <x:v>0.3067858517169952</x:v>
      </x:c>
      <x:c r="I36" s="11" t="n">
        <x:v>0.3144728541374206</x:v>
      </x:c>
      <x:c r="J36" s="24" t="n">
        <x:v>134.90902830287814</x:v>
      </x:c>
      <x:c r="K36" s="24" t="n">
        <x:v>157.6373016834259</x:v>
      </x:c>
      <x:c r="L36" s="11" t="n">
        <x:v>0.8836633563041687</x:v>
      </x:c>
      <x:c r="M36" s="11" t="n">
        <x:v>0.0999393239617347</x:v>
      </x:c>
    </x:row>
    <x:row r="37" ht="22" customHeight="1">
      <x:c r="A37" s="17" t="str">
        <x:f>"01144000"</x:f>
        <x:v>01144000</x:v>
      </x:c>
      <x:c r="B37" s="13" t="n">
        <x:v>42</x:v>
      </x:c>
      <x:c r="C37" s="22" t="b">
        <x:v>0</x:v>
      </x:c>
      <x:c r="D37" s="11" t="n">
        <x:v>0.040529362857341704</x:v>
      </x:c>
      <x:c r="E37" s="11" t="n">
        <x:v>0.00021588946401603334</x:v>
      </x:c>
      <x:c r="F37" s="11" t="n">
        <x:v>0.5384615659713745</x:v>
      </x:c>
      <x:c r="G37" s="13" t="n">
        <x:v>10</x:v>
      </x:c>
      <x:c r="H37" s="11" t="n">
        <x:v>0.5216274261474609</x:v>
      </x:c>
      <x:c r="I37" s="11" t="n">
        <x:v>0.5216274261474609</x:v>
      </x:c>
      <x:c r="J37" s="24" t="n">
        <x:v>130.82403733581305</x:v>
      </x:c>
      <x:c r="K37" s="24" t="n">
        <x:v>163.17717909812927</x:v>
      </x:c>
      <x:c r="L37" s="11" t="n">
        <x:v>0.5384615659713745</x:v>
      </x:c>
      <x:c r="M37" s="11" t="n">
        <x:v>0.0999332070350647</x:v>
      </x:c>
    </x:row>
    <x:row r="38" ht="22" customHeight="1">
      <x:c r="A38" s="17" t="str">
        <x:f>"01162500"</x:f>
        <x:v>01162500</x:v>
      </x:c>
      <x:c r="B38" s="13" t="n">
        <x:v>42</x:v>
      </x:c>
      <x:c r="C38" s="22" t="b">
        <x:v>1</x:v>
      </x:c>
      <x:c r="D38" s="11" t="n">
        <x:v>0.0239273933693766</x:v>
      </x:c>
      <x:c r="E38" s="11" t="n">
        <x:v>0.00047195253622093336</x:v>
      </x:c>
      <x:c r="F38" s="11" t="n">
        <x:v>0.3094059526920318</x:v>
      </x:c>
      <x:c r="G38" s="13" t="n">
        <x:v>5</x:v>
      </x:c>
      <x:c r="H38" s="11" t="n">
        <x:v>0.1943379938602447</x:v>
      </x:c>
      <x:c r="I38" s="11" t="n">
        <x:v>0.1957101821899414</x:v>
      </x:c>
      <x:c r="J38" s="24" t="n">
        <x:v>129.2992119351402</x:v>
      </x:c>
      <x:c r="K38" s="24" t="n">
        <x:v>146.12207174301147</x:v>
      </x:c>
      <x:c r="L38" s="11" t="n">
        <x:v>0.5297029614448547</x:v>
      </x:c>
      <x:c r="M38" s="11" t="n">
        <x:v>0.0999393239617347</x:v>
      </x:c>
    </x:row>
    <x:row r="39" ht="22" customHeight="1">
      <x:c r="A39" s="17" t="str">
        <x:f>"01162500"</x:f>
        <x:v>01162500</x:v>
      </x:c>
      <x:c r="B39" s="13" t="n">
        <x:v>42</x:v>
      </x:c>
      <x:c r="C39" s="22" t="b">
        <x:v>0</x:v>
      </x:c>
      <x:c r="D39" s="11" t="n">
        <x:v>0.0397022329270839</x:v>
      </x:c>
      <x:c r="E39" s="11" t="n">
        <x:v>0.0001079447344333063</x:v>
      </x:c>
      <x:c r="F39" s="11" t="n">
        <x:v>0.5607940554618835</x:v>
      </x:c>
      <x:c r="G39" s="13" t="n">
        <x:v>2</x:v>
      </x:c>
      <x:c r="H39" s="11" t="n">
        <x:v>0.4813049733638763</x:v>
      </x:c>
      <x:c r="I39" s="11" t="n">
        <x:v>0.523079514503479</x:v>
      </x:c>
      <x:c r="J39" s="24" t="n">
        <x:v>136.54860754590482</x:v>
      </x:c>
      <x:c r="K39" s="24" t="n">
        <x:v>175.4948058128357</x:v>
      </x:c>
      <x:c r="L39" s="11" t="n">
        <x:v>0.9354838728904724</x:v>
      </x:c>
      <x:c r="M39" s="11" t="n">
        <x:v>0.0999332070350647</x:v>
      </x:c>
    </x:row>
    <x:row r="40" ht="22" customHeight="1">
      <x:c r="A40" s="17" t="str">
        <x:f>"01169000"</x:f>
        <x:v>01169000</x:v>
      </x:c>
      <x:c r="B40" s="13" t="n">
        <x:v>42</x:v>
      </x:c>
      <x:c r="C40" s="22" t="b">
        <x:v>1</x:v>
      </x:c>
      <x:c r="D40" s="11" t="n">
        <x:v>0.028052805612484532</x:v>
      </x:c>
      <x:c r="E40" s="11" t="n">
        <x:v>0.00041801510572739997</x:v>
      </x:c>
      <x:c r="F40" s="11" t="n">
        <x:v>0.4405940473079681</x:v>
      </x:c>
      <x:c r="G40" s="13" t="n">
        <x:v>3</x:v>
      </x:c>
      <x:c r="H40" s="11" t="n">
        <x:v>0.7979498505592346</x:v>
      </x:c>
      <x:c r="I40" s="11" t="n">
        <x:v>0.8236271142959595</x:v>
      </x:c>
      <x:c r="J40" s="24" t="n">
        <x:v>134.50422623660415</x:v>
      </x:c>
      <x:c r="K40" s="24" t="n">
        <x:v>156.55053234100342</x:v>
      </x:c>
      <x:c r="L40" s="11" t="n">
        <x:v>0.8242574334144592</x:v>
      </x:c>
      <x:c r="M40" s="11" t="n">
        <x:v>0.0999393239617347</x:v>
      </x:c>
    </x:row>
    <x:row r="41" ht="22" customHeight="1">
      <x:c r="A41" s="17" t="str">
        <x:f>"01169000"</x:f>
        <x:v>01169000</x:v>
      </x:c>
      <x:c r="B41" s="13" t="n">
        <x:v>42</x:v>
      </x:c>
      <x:c r="C41" s="22" t="b">
        <x:v>0</x:v>
      </x:c>
      <x:c r="D41" s="11" t="n">
        <x:v>0.0504549220204353</x:v>
      </x:c>
      <x:c r="E41" s="11" t="n">
        <x:v>0.0004722582040509</x:v>
      </x:c>
      <x:c r="F41" s="11" t="n">
        <x:v>0.5062034726142883</x:v>
      </x:c>
      <x:c r="G41" s="13" t="n">
        <x:v>1</x:v>
      </x:c>
      <x:c r="H41" s="11" t="n">
        <x:v>1.075387716293335</x:v>
      </x:c>
      <x:c r="I41" s="11" t="n">
        <x:v>1.2468289136886597</x:v>
      </x:c>
      <x:c r="J41" s="24" t="n">
        <x:v>135.67259131465107</x:v>
      </x:c>
      <x:c r="K41" s="24" t="n">
        <x:v>174.97647070884705</x:v>
      </x:c>
      <x:c r="L41" s="11" t="n">
        <x:v>0.970223307609558</x:v>
      </x:c>
      <x:c r="M41" s="11" t="n">
        <x:v>0.0999332070350647</x:v>
      </x:c>
    </x:row>
    <x:row r="42" ht="22" customHeight="1">
      <x:c r="A42" s="17" t="str">
        <x:f>"01170100"</x:f>
        <x:v>01170100</x:v>
      </x:c>
      <x:c r="B42" s="13" t="n">
        <x:v>42</x:v>
      </x:c>
      <x:c r="C42" s="22" t="b">
        <x:v>1</x:v>
      </x:c>
      <x:c r="D42" s="11" t="n">
        <x:v>0.05528052772084866</x:v>
      </x:c>
      <x:c r="E42" s="11" t="n">
        <x:v>0.000579827397208</x:v>
      </x:c>
      <x:c r="F42" s="11" t="n">
        <x:v>0.5272276997566223</x:v>
      </x:c>
      <x:c r="G42" s="13" t="n">
        <x:v>6</x:v>
      </x:c>
      <x:c r="H42" s="11" t="n">
        <x:v>0.4947546720504761</x:v>
      </x:c>
      <x:c r="I42" s="11" t="n">
        <x:v>0.5045063495635986</x:v>
      </x:c>
      <x:c r="J42" s="24" t="n">
        <x:v>137.91961079929024</x:v>
      </x:c>
      <x:c r="K42" s="24" t="n">
        <x:v>159.74378895759583</x:v>
      </x:c>
      <x:c r="L42" s="11" t="n">
        <x:v>0.655940592288971</x:v>
      </x:c>
      <x:c r="M42" s="11" t="n">
        <x:v>0.0999393239617347</x:v>
      </x:c>
    </x:row>
    <x:row r="43" ht="22" customHeight="1">
      <x:c r="A43" s="17" t="str">
        <x:f>"01170100"</x:f>
        <x:v>01170100</x:v>
      </x:c>
      <x:c r="B43" s="13" t="n">
        <x:v>42</x:v>
      </x:c>
      <x:c r="C43" s="22" t="b">
        <x:v>0</x:v>
      </x:c>
      <x:c r="D43" s="11" t="n">
        <x:v>0.0372208431363105</x:v>
      </x:c>
      <x:c r="E43" s="11" t="n">
        <x:v>0.00020239637039283333</x:v>
      </x:c>
      <x:c r="F43" s="11" t="n">
        <x:v>0.4913151264190674</x:v>
      </x:c>
      <x:c r="G43" s="13" t="n">
        <x:v>1</x:v>
      </x:c>
      <x:c r="H43" s="11" t="n">
        <x:v>0.7835042476654053</x:v>
      </x:c>
      <x:c r="I43" s="11" t="n">
        <x:v>0.8233952522277832</x:v>
      </x:c>
      <x:c r="J43" s="24" t="n">
        <x:v>145.10424608550966</x:v>
      </x:c>
      <x:c r="K43" s="24" t="n">
        <x:v>180.10287046432495</x:v>
      </x:c>
      <x:c r="L43" s="11" t="n">
        <x:v>0.9727047085762024</x:v>
      </x:c>
      <x:c r="M43" s="11" t="n">
        <x:v>0.0999332070350647</x:v>
      </x:c>
    </x:row>
    <x:row r="44" ht="22" customHeight="1">
      <x:c r="A44" s="17" t="str">
        <x:f>"01181000"</x:f>
        <x:v>01181000</x:v>
      </x:c>
      <x:c r="B44" s="13" t="n">
        <x:v>42</x:v>
      </x:c>
      <x:c r="C44" s="22" t="b">
        <x:v>1</x:v>
      </x:c>
      <x:c r="D44" s="11" t="n">
        <x:v>0.03547854845722513</x:v>
      </x:c>
      <x:c r="E44" s="11" t="n">
        <x:v>0.0008562567333379667</x:v>
      </x:c>
      <x:c r="F44" s="11" t="n">
        <x:v>0.4331683218479156</x:v>
      </x:c>
      <x:c r="G44" s="13" t="n">
        <x:v>1</x:v>
      </x:c>
      <x:c r="H44" s="11" t="n">
        <x:v>1.1297974586486816</x:v>
      </x:c>
      <x:c r="I44" s="11" t="n">
        <x:v>1.1661969423294067</x:v>
      </x:c>
      <x:c r="J44" s="24" t="n">
        <x:v>137.41545920446515</x:v>
      </x:c>
      <x:c r="K44" s="24" t="n">
        <x:v>175.4259102344513</x:v>
      </x:c>
      <x:c r="L44" s="11" t="n">
        <x:v>0.9628713130950928</x:v>
      </x:c>
      <x:c r="M44" s="11" t="n">
        <x:v>0.0999393239617347</x:v>
      </x:c>
    </x:row>
    <x:row r="45" ht="22" customHeight="1">
      <x:c r="A45" s="17" t="str">
        <x:f>"01181000"</x:f>
        <x:v>01181000</x:v>
      </x:c>
      <x:c r="B45" s="13" t="n">
        <x:v>42</x:v>
      </x:c>
      <x:c r="C45" s="22" t="b">
        <x:v>0</x:v>
      </x:c>
      <x:c r="D45" s="11" t="n">
        <x:v>0.0529363118112087</x:v>
      </x:c>
      <x:c r="E45" s="11" t="n">
        <x:v>0.00040479275048703337</x:v>
      </x:c>
      <x:c r="F45" s="11" t="n">
        <x:v>0.5508685111999512</x:v>
      </x:c>
      <x:c r="G45" s="13" t="n">
        <x:v>1</x:v>
      </x:c>
      <x:c r="H45" s="11" t="n">
        <x:v>1.3178939819335938</x:v>
      </x:c>
      <x:c r="I45" s="11" t="n">
        <x:v>1.404247522354126</x:v>
      </x:c>
      <x:c r="J45" s="24" t="n">
        <x:v>140.85402817837894</x:v>
      </x:c>
      <x:c r="K45" s="24" t="n">
        <x:v>174.860990524292</x:v>
      </x:c>
      <x:c r="L45" s="11" t="n">
        <x:v>0.9875930547714232</x:v>
      </x:c>
      <x:c r="M45" s="11" t="n">
        <x:v>0.0999332070350647</x:v>
      </x:c>
    </x:row>
    <x:row r="46" ht="22" customHeight="1">
      <x:c r="A46" s="17" t="str">
        <x:f>"01333000"</x:f>
        <x:v>01333000</x:v>
      </x:c>
      <x:c r="B46" s="13" t="n">
        <x:v>42</x:v>
      </x:c>
      <x:c r="C46" s="22" t="b">
        <x:v>1</x:v>
      </x:c>
      <x:c r="D46" s="11" t="n">
        <x:v>0.033828383932510926</x:v>
      </x:c>
      <x:c r="E46" s="11" t="n">
        <x:v>0.00024271844207150012</x:v>
      </x:c>
      <x:c r="F46" s="11" t="n">
        <x:v>0.4529702961444855</x:v>
      </x:c>
      <x:c r="G46" s="13" t="n">
        <x:v>9</x:v>
      </x:c>
      <x:c r="H46" s="11" t="n">
        <x:v>0.6876514554023743</x:v>
      </x:c>
      <x:c r="I46" s="11" t="n">
        <x:v>0.6954766511917114</x:v>
      </x:c>
      <x:c r="J46" s="24" t="n">
        <x:v>147.06116347480565</x:v>
      </x:c>
      <x:c r="K46" s="24" t="n">
        <x:v>159.48574042320251</x:v>
      </x:c>
      <x:c r="L46" s="11" t="n">
        <x:v>0.4851485192775726</x:v>
      </x:c>
      <x:c r="M46" s="11" t="n">
        <x:v>0.0999393239617347</x:v>
      </x:c>
    </x:row>
    <x:row r="47" ht="22" customHeight="1">
      <x:c r="A47" s="17" t="str">
        <x:f>"01333000"</x:f>
        <x:v>01333000</x:v>
      </x:c>
      <x:c r="B47" s="13" t="n">
        <x:v>42</x:v>
      </x:c>
      <x:c r="C47" s="22" t="b">
        <x:v>0</x:v>
      </x:c>
      <x:c r="D47" s="11" t="n">
        <x:v>0.057899091392755474</x:v>
      </x:c>
      <x:c r="E47" s="11" t="n">
        <x:v>0.00026986182880736663</x:v>
      </x:c>
      <x:c r="F47" s="11" t="n">
        <x:v>0.5880893468856812</x:v>
      </x:c>
      <x:c r="G47" s="13" t="n">
        <x:v>8</x:v>
      </x:c>
      <x:c r="H47" s="11" t="n">
        <x:v>1.1833146810531616</x:v>
      </x:c>
      <x:c r="I47" s="11" t="n">
        <x:v>1.2967532873153689</x:v>
      </x:c>
      <x:c r="J47" s="24" t="n">
        <x:v>141.36170585919172</x:v>
      </x:c>
      <x:c r="K47" s="24" t="n">
        <x:v>171.22460412979126</x:v>
      </x:c>
      <x:c r="L47" s="11" t="n">
        <x:v>0.6501240730285645</x:v>
      </x:c>
      <x:c r="M47" s="11" t="n">
        <x:v>0.0999332070350647</x:v>
      </x:c>
    </x:row>
    <x:row r="48" ht="22" customHeight="1">
      <x:c r="A48" s="17" t="str">
        <x:f>"01439500"</x:f>
        <x:v>01439500</x:v>
      </x:c>
      <x:c r="B48" s="13" t="n">
        <x:v>42</x:v>
      </x:c>
      <x:c r="C48" s="22" t="b">
        <x:v>1</x:v>
      </x:c>
      <x:c r="D48" s="11" t="n">
        <x:v>0.03052805364131923</x:v>
      </x:c>
      <x:c r="E48" s="11" t="n">
        <x:v>0.0005191477927534</x:v>
      </x:c>
      <x:c r="F48" s="11" t="n">
        <x:v>0.4034653604030609</x:v>
      </x:c>
      <x:c r="G48" s="13" t="n">
        <x:v>3</x:v>
      </x:c>
      <x:c r="H48" s="11" t="n">
        <x:v>0.5426005721092224</x:v>
      </x:c>
      <x:c r="I48" s="11" t="n">
        <x:v>0.5565383434295654</x:v>
      </x:c>
      <x:c r="J48" s="24" t="n">
        <x:v>138.64200474880636</x:v>
      </x:c>
      <x:c r="K48" s="24" t="n">
        <x:v>161.36405229568481</x:v>
      </x:c>
      <x:c r="L48" s="11" t="n">
        <x:v>0.7425742745399475</x:v>
      </x:c>
      <x:c r="M48" s="11" t="n">
        <x:v>0.0999393239617347</x:v>
      </x:c>
    </x:row>
    <x:row r="49" ht="22" customHeight="1">
      <x:c r="A49" s="17" t="str">
        <x:f>"01439500"</x:f>
        <x:v>01439500</x:v>
      </x:c>
      <x:c r="B49" s="13" t="n">
        <x:v>42</x:v>
      </x:c>
      <x:c r="C49" s="22" t="b">
        <x:v>0</x:v>
      </x:c>
      <x:c r="D49" s="11" t="n">
        <x:v>0.045492142438888494</x:v>
      </x:c>
      <x:c r="E49" s="11" t="n">
        <x:v>0.00032383419844936664</x:v>
      </x:c>
      <x:c r="F49" s="11" t="n">
        <x:v>0.5359801650047302</x:v>
      </x:c>
      <x:c r="G49" s="13" t="n">
        <x:v>7</x:v>
      </x:c>
      <x:c r="H49" s="11" t="n">
        <x:v>0.9213345646858216</x:v>
      </x:c>
      <x:c r="I49" s="11" t="n">
        <x:v>0.9645365476608276</x:v>
      </x:c>
      <x:c r="J49" s="24" t="n">
        <x:v>137.0940565727651</x:v>
      </x:c>
      <x:c r="K49" s="24" t="n">
        <x:v>157.96533036231995</x:v>
      </x:c>
      <x:c r="L49" s="11" t="n">
        <x:v>0.6426799297332764</x:v>
      </x:c>
      <x:c r="M49" s="11" t="n">
        <x:v>0.0999332070350647</x:v>
      </x:c>
    </x:row>
    <x:row r="50" ht="22" customHeight="1">
      <x:c r="A50" s="17" t="str">
        <x:f>"01440000"</x:f>
        <x:v>01440000</x:v>
      </x:c>
      <x:c r="B50" s="13" t="n">
        <x:v>42</x:v>
      </x:c>
      <x:c r="C50" s="22" t="b">
        <x:v>1</x:v>
      </x:c>
      <x:c r="D50" s="11" t="n">
        <x:v>0.02227722822378073</x:v>
      </x:c>
      <x:c r="E50" s="11" t="n">
        <x:v>0.0007955771482859333</x:v>
      </x:c>
      <x:c r="F50" s="11" t="n">
        <x:v>0.3737623691558838</x:v>
      </x:c>
      <x:c r="G50" s="13" t="n">
        <x:v>5</x:v>
      </x:c>
      <x:c r="H50" s="11" t="n">
        <x:v>0.8995327949523926</x:v>
      </x:c>
      <x:c r="I50" s="11" t="n">
        <x:v>0.9418009519577026</x:v>
      </x:c>
      <x:c r="J50" s="24" t="n">
        <x:v>138.35522575117648</x:v>
      </x:c>
      <x:c r="K50" s="24" t="n">
        <x:v>154.71137738227844</x:v>
      </x:c>
      <x:c r="L50" s="11" t="n">
        <x:v>0.6113861203193665</x:v>
      </x:c>
      <x:c r="M50" s="11" t="n">
        <x:v>0.0999393239617347</x:v>
      </x:c>
    </x:row>
    <x:row r="51" ht="22" customHeight="1">
      <x:c r="A51" s="17" t="str">
        <x:f>"01440000"</x:f>
        <x:v>01440000</x:v>
      </x:c>
      <x:c r="B51" s="13" t="n">
        <x:v>42</x:v>
      </x:c>
      <x:c r="C51" s="22" t="b">
        <x:v>0</x:v>
      </x:c>
      <x:c r="D51" s="11" t="n">
        <x:v>0.042183622717857305</x:v>
      </x:c>
      <x:c r="E51" s="11" t="n">
        <x:v>0.0005194840196054333</x:v>
      </x:c>
      <x:c r="F51" s="11" t="n">
        <x:v>0.4863523542881012</x:v>
      </x:c>
      <x:c r="G51" s="13" t="n">
        <x:v>5</x:v>
      </x:c>
      <x:c r="H51" s="11" t="n">
        <x:v>1.1098352670669556</x:v>
      </x:c>
      <x:c r="I51" s="11" t="n">
        <x:v>1.1848410367965698</x:v>
      </x:c>
      <x:c r="J51" s="24" t="n">
        <x:v>136.50344819761813</x:v>
      </x:c>
      <x:c r="K51" s="24" t="n">
        <x:v>158.9984953403473</x:v>
      </x:c>
      <x:c r="L51" s="11" t="n">
        <x:v>0.6749379634857178</x:v>
      </x:c>
      <x:c r="M51" s="11" t="n">
        <x:v>0.0999332070350647</x:v>
      </x:c>
    </x:row>
    <x:row r="52" ht="22" customHeight="1">
      <x:c r="A52" s="17" t="str">
        <x:f>"01440400"</x:f>
        <x:v>01440400</x:v>
      </x:c>
      <x:c r="B52" s="13" t="n">
        <x:v>42</x:v>
      </x:c>
      <x:c r="C52" s="22" t="b">
        <x:v>1</x:v>
      </x:c>
      <x:c r="D52" s="11" t="n">
        <x:v>0.03382838393251097</x:v>
      </x:c>
      <x:c r="E52" s="11" t="n">
        <x:v>0.00033036678117540004</x:v>
      </x:c>
      <x:c r="F52" s="11" t="n">
        <x:v>0.4232673346996307</x:v>
      </x:c>
      <x:c r="G52" s="13" t="n">
        <x:v>6</x:v>
      </x:c>
      <x:c r="H52" s="11" t="n">
        <x:v>1.058907985687256</x:v>
      </x:c>
      <x:c r="I52" s="11" t="n">
        <x:v>1.0894869565963743</x:v>
      </x:c>
      <x:c r="J52" s="24" t="n">
        <x:v>133.17415693588555</x:v>
      </x:c>
      <x:c r="K52" s="24" t="n">
        <x:v>146.65553832054138</x:v>
      </x:c>
      <x:c r="L52" s="11" t="n">
        <x:v>0.6113861203193665</x:v>
      </x:c>
      <x:c r="M52" s="11" t="n">
        <x:v>0.0999393239617347</x:v>
      </x:c>
    </x:row>
    <x:row r="53" ht="22" customHeight="1">
      <x:c r="A53" s="17" t="str">
        <x:f>"01440400"</x:f>
        <x:v>01440400</x:v>
      </x:c>
      <x:c r="B53" s="13" t="n">
        <x:v>42</x:v>
      </x:c>
      <x:c r="C53" s="22" t="b">
        <x:v>0</x:v>
      </x:c>
      <x:c r="D53" s="11" t="n">
        <x:v>0.040529362857341704</x:v>
      </x:c>
      <x:c r="E53" s="11" t="n">
        <x:v>0.00022938255763916668</x:v>
      </x:c>
      <x:c r="F53" s="11" t="n">
        <x:v>0.5012406706809998</x:v>
      </x:c>
      <x:c r="G53" s="13" t="n">
        <x:v>6</x:v>
      </x:c>
      <x:c r="H53" s="11" t="n">
        <x:v>1.4133305549621582</x:v>
      </x:c>
      <x:c r="I53" s="11" t="n">
        <x:v>1.4639557600021362</x:v>
      </x:c>
      <x:c r="J53" s="24" t="n">
        <x:v>134.542247899808</x:v>
      </x:c>
      <x:c r="K53" s="24" t="n">
        <x:v>156.29664373397827</x:v>
      </x:c>
      <x:c r="L53" s="11" t="n">
        <x:v>0.6848635077476501</x:v>
      </x:c>
      <x:c r="M53" s="11" t="n">
        <x:v>0.0999332070350647</x:v>
      </x:c>
    </x:row>
    <x:row r="54" ht="22" customHeight="1">
      <x:c r="A54" s="17" t="str">
        <x:f>"01451800"</x:f>
        <x:v>01451800</x:v>
      </x:c>
      <x:c r="B54" s="13" t="n">
        <x:v>42</x:v>
      </x:c>
      <x:c r="C54" s="22" t="b">
        <x:v>1</x:v>
      </x:c>
      <x:c r="D54" s="11" t="n">
        <x:v>0.029702970137198702</x:v>
      </x:c>
      <x:c r="E54" s="11" t="n">
        <x:v>0.0004112729317663334</x:v>
      </x:c>
      <x:c r="F54" s="11" t="n">
        <x:v>0.4356435537338257</x:v>
      </x:c>
      <x:c r="G54" s="13" t="n">
        <x:v>9</x:v>
      </x:c>
      <x:c r="H54" s="11" t="n">
        <x:v>0.7592788934707642</x:v>
      </x:c>
      <x:c r="I54" s="11" t="n">
        <x:v>0.783999502658844</x:v>
      </x:c>
      <x:c r="J54" s="24" t="n">
        <x:v>138.7041688784957</x:v>
      </x:c>
      <x:c r="K54" s="24" t="n">
        <x:v>152.6975326538086</x:v>
      </x:c>
      <x:c r="L54" s="11" t="n">
        <x:v>0.4727722704410553</x:v>
      </x:c>
      <x:c r="M54" s="11" t="n">
        <x:v>0.0999393239617347</x:v>
      </x:c>
    </x:row>
    <x:row r="55" ht="22" customHeight="1">
      <x:c r="A55" s="17" t="str">
        <x:f>"01451800"</x:f>
        <x:v>01451800</x:v>
      </x:c>
      <x:c r="B55" s="13" t="n">
        <x:v>42</x:v>
      </x:c>
      <x:c r="C55" s="22" t="b">
        <x:v>0</x:v>
      </x:c>
      <x:c r="D55" s="11" t="n">
        <x:v>0.042183622717857305</x:v>
      </x:c>
      <x:c r="E55" s="11" t="n">
        <x:v>0.00036431346476693333</x:v>
      </x:c>
      <x:c r="F55" s="11" t="n">
        <x:v>0.4913151264190674</x:v>
      </x:c>
      <x:c r="G55" s="13" t="n">
        <x:v>6</x:v>
      </x:c>
      <x:c r="H55" s="11" t="n">
        <x:v>0.8890044689178467</x:v>
      </x:c>
      <x:c r="I55" s="11" t="n">
        <x:v>0.915752112865448</x:v>
      </x:c>
      <x:c r="J55" s="24" t="n">
        <x:v>140.93367216177285</x:v>
      </x:c>
      <x:c r="K55" s="24" t="n">
        <x:v>161.12717270851135</x:v>
      </x:c>
      <x:c r="L55" s="11" t="n">
        <x:v>0.6947891116142273</x:v>
      </x:c>
      <x:c r="M55" s="11" t="n">
        <x:v>0.0999332070350647</x:v>
      </x:c>
    </x:row>
    <x:row r="56" ht="22" customHeight="1">
      <x:c r="A56" s="17" t="str">
        <x:f>"01484100"</x:f>
        <x:v>01484100</x:v>
      </x:c>
      <x:c r="B56" s="13" t="n">
        <x:v>42</x:v>
      </x:c>
      <x:c r="C56" s="22" t="b">
        <x:v>1</x:v>
      </x:c>
      <x:c r="D56" s="11" t="n">
        <x:v>0.019801980039725667</x:v>
      </x:c>
      <x:c r="E56" s="11" t="n">
        <x:v>0.00020226537405196668</x:v>
      </x:c>
      <x:c r="F56" s="11" t="n">
        <x:v>0.3267326653003692</x:v>
      </x:c>
      <x:c r="G56" s="13" t="n">
        <x:v>3</x:v>
      </x:c>
      <x:c r="H56" s="11" t="n">
        <x:v>0.3529970347881317</x:v>
      </x:c>
      <x:c r="I56" s="11" t="n">
        <x:v>0.3647255599498749</x:v>
      </x:c>
      <x:c r="J56" s="24" t="n">
        <x:v>134.6391742406413</x:v>
      </x:c>
      <x:c r="K56" s="24" t="n">
        <x:v>148.3405635356903</x:v>
      </x:c>
      <x:c r="L56" s="11" t="n">
        <x:v>0.646039605140686</x:v>
      </x:c>
      <x:c r="M56" s="11" t="n">
        <x:v>0.0999393239617347</x:v>
      </x:c>
    </x:row>
    <x:row r="57" ht="22" customHeight="1">
      <x:c r="A57" s="17" t="str">
        <x:f>"01484100"</x:f>
        <x:v>01484100</x:v>
      </x:c>
      <x:c r="B57" s="13" t="n">
        <x:v>42</x:v>
      </x:c>
      <x:c r="C57" s="22" t="b">
        <x:v>0</x:v>
      </x:c>
      <x:c r="D57" s="11" t="n">
        <x:v>0.022332505943874436</x:v>
      </x:c>
      <x:c r="E57" s="11" t="n">
        <x:v>0.0002158894591654</x:v>
      </x:c>
      <x:c r="F57" s="11" t="n">
        <x:v>0.4342431724071502</x:v>
      </x:c>
      <x:c r="G57" s="13" t="n">
        <x:v>1</x:v>
      </x:c>
      <x:c r="H57" s="11" t="n">
        <x:v>0.4917655289173126</x:v>
      </x:c>
      <x:c r="I57" s="11" t="n">
        <x:v>0.5237456560134888</x:v>
      </x:c>
      <x:c r="J57" s="24" t="n">
        <x:v>139.4236411647871</x:v>
      </x:c>
      <x:c r="K57" s="24" t="n">
        <x:v>163.99275398254395</x:v>
      </x:c>
      <x:c r="L57" s="11" t="n">
        <x:v>0.940446674823761</x:v>
      </x:c>
      <x:c r="M57" s="11" t="n">
        <x:v>0.0999332070350647</x:v>
      </x:c>
    </x:row>
    <x:row r="58" ht="22" customHeight="1">
      <x:c r="A58" s="17" t="str">
        <x:f>"01485500"</x:f>
        <x:v>01485500</x:v>
      </x:c>
      <x:c r="B58" s="13" t="n">
        <x:v>42</x:v>
      </x:c>
      <x:c r="C58" s="22" t="b">
        <x:v>1</x:v>
      </x:c>
      <x:c r="D58" s="11" t="n">
        <x:v>0.015676567951838135</x:v>
      </x:c>
      <x:c r="E58" s="11" t="n">
        <x:v>0.00025620280939616665</x:v>
      </x:c>
      <x:c r="F58" s="11" t="n">
        <x:v>0.3118811845779419</x:v>
      </x:c>
      <x:c r="G58" s="13" t="n">
        <x:v>7</x:v>
      </x:c>
      <x:c r="H58" s="11" t="n">
        <x:v>0.0508546233177185</x:v>
      </x:c>
      <x:c r="I58" s="11" t="n">
        <x:v>0.0555137582123279</x:v>
      </x:c>
      <x:c r="J58" s="24" t="n">
        <x:v>138.68291246518493</x:v>
      </x:c>
      <x:c r="K58" s="24" t="n">
        <x:v>153.21241307258606</x:v>
      </x:c>
      <x:c r="L58" s="11" t="n">
        <x:v>0.4306930601596832</x:v>
      </x:c>
      <x:c r="M58" s="11" t="n">
        <x:v>0.0999393239617347</x:v>
      </x:c>
    </x:row>
    <x:row r="59" ht="22" customHeight="1">
      <x:c r="A59" s="17" t="str">
        <x:f>"01485500"</x:f>
        <x:v>01485500</x:v>
      </x:c>
      <x:c r="B59" s="13" t="n">
        <x:v>42</x:v>
      </x:c>
      <x:c r="C59" s="22" t="b">
        <x:v>0</x:v>
      </x:c>
      <x:c r="D59" s="11" t="n">
        <x:v>0.03391232403616103</x:v>
      </x:c>
      <x:c r="E59" s="11" t="n">
        <x:v>0.0003373272872218667</x:v>
      </x:c>
      <x:c r="F59" s="11" t="n">
        <x:v>0.466501235961914</x:v>
      </x:c>
      <x:c r="G59" s="13" t="n">
        <x:v>3</x:v>
      </x:c>
      <x:c r="H59" s="11" t="n">
        <x:v>0.2324063330888748</x:v>
      </x:c>
      <x:c r="I59" s="11" t="n">
        <x:v>0.2504541575908661</x:v>
      </x:c>
      <x:c r="J59" s="24" t="n">
        <x:v>141.55447878409177</x:v>
      </x:c>
      <x:c r="K59" s="24" t="n">
        <x:v>162.24538207054138</x:v>
      </x:c>
      <x:c r="L59" s="11" t="n">
        <x:v>0.7617865800857544</x:v>
      </x:c>
      <x:c r="M59" s="11" t="n">
        <x:v>0.0999332070350647</x:v>
      </x:c>
    </x:row>
    <x:row r="60" ht="22" customHeight="1">
      <x:c r="A60" s="17" t="str">
        <x:f>"01486000"</x:f>
        <x:v>01486000</x:v>
      </x:c>
      <x:c r="B60" s="13" t="n">
        <x:v>42</x:v>
      </x:c>
      <x:c r="C60" s="22" t="b">
        <x:v>1</x:v>
      </x:c>
      <x:c r="D60" s="11" t="n">
        <x:v>0.032178217545151634</x:v>
      </x:c>
      <x:c r="E60" s="11" t="n">
        <x:v>0.0003573354867209</x:v>
      </x:c>
      <x:c r="F60" s="11" t="n">
        <x:v>0.3935643434524536</x:v>
      </x:c>
      <x:c r="G60" s="13" t="n">
        <x:v>1</x:v>
      </x:c>
      <x:c r="H60" s="11" t="n">
        <x:v>0.6865195631980896</x:v>
      </x:c>
      <x:c r="I60" s="11" t="n">
        <x:v>0.6982477903366089</x:v>
      </x:c>
      <x:c r="J60" s="24" t="n">
        <x:v>138.3755449904129</x:v>
      </x:c>
      <x:c r="K60" s="24" t="n">
        <x:v>157.52555966377258</x:v>
      </x:c>
      <x:c r="L60" s="11" t="n">
        <x:v>0.9628713130950928</x:v>
      </x:c>
      <x:c r="M60" s="11" t="n">
        <x:v>0.0999393239617347</x:v>
      </x:c>
    </x:row>
    <x:row r="61" ht="22" customHeight="1">
      <x:c r="A61" s="17" t="str">
        <x:f>"01486000"</x:f>
        <x:v>01486000</x:v>
      </x:c>
      <x:c r="B61" s="13" t="n">
        <x:v>42</x:v>
      </x:c>
      <x:c r="C61" s="22" t="b">
        <x:v>0</x:v>
      </x:c>
      <x:c r="D61" s="11" t="n">
        <x:v>0.02646815528472256</x:v>
      </x:c>
      <x:c r="E61" s="11" t="n">
        <x:v>0.0004857512928234667</x:v>
      </x:c>
      <x:c r="F61" s="11" t="n">
        <x:v>0.4367245733737945</x:v>
      </x:c>
      <x:c r="G61" s="13" t="n">
        <x:v>1</x:v>
      </x:c>
      <x:c r="H61" s="11" t="n">
        <x:v>0.8512045741081238</x:v>
      </x:c>
      <x:c r="I61" s="11" t="n">
        <x:v>0.8936794400215149</x:v>
      </x:c>
      <x:c r="J61" s="24" t="n">
        <x:v>133.90160065330565</x:v>
      </x:c>
      <x:c r="K61" s="24" t="n">
        <x:v>167.67385339736938</x:v>
      </x:c>
      <x:c r="L61" s="11" t="n">
        <x:v>0.96277916431427</x:v>
      </x:c>
      <x:c r="M61" s="11" t="n">
        <x:v>0.0999332070350647</x:v>
      </x:c>
    </x:row>
    <x:row r="62" ht="22" customHeight="1">
      <x:c r="A62" s="17" t="str">
        <x:f>"01487000"</x:f>
        <x:v>01487000</x:v>
      </x:c>
      <x:c r="B62" s="13" t="n">
        <x:v>42</x:v>
      </x:c>
      <x:c r="C62" s="22" t="b">
        <x:v>1</x:v>
      </x:c>
      <x:c r="D62" s="11" t="n">
        <x:v>0.027227722574025368</x:v>
      </x:c>
      <x:c r="E62" s="11" t="n">
        <x:v>0.0003505933176104667</x:v>
      </x:c>
      <x:c r="F62" s="11" t="n">
        <x:v>0.3663366436958313</x:v>
      </x:c>
      <x:c r="G62" s="13" t="n">
        <x:v>1</x:v>
      </x:c>
      <x:c r="H62" s="11" t="n">
        <x:v>0.1348322629928589</x:v>
      </x:c>
      <x:c r="I62" s="11" t="n">
        <x:v>0.1397038996219635</x:v>
      </x:c>
      <x:c r="J62" s="24" t="n">
        <x:v>135.64194796513766</x:v>
      </x:c>
      <x:c r="K62" s="24" t="n">
        <x:v>161.37204217910767</x:v>
      </x:c>
      <x:c r="L62" s="11" t="n">
        <x:v>0.9603960514068604</x:v>
      </x:c>
      <x:c r="M62" s="11" t="n">
        <x:v>0.0999393239617347</x:v>
      </x:c>
    </x:row>
    <x:row r="63" ht="22" customHeight="1">
      <x:c r="A63" s="17" t="str">
        <x:f>"01487000"</x:f>
        <x:v>01487000</x:v>
      </x:c>
      <x:c r="B63" s="13" t="n">
        <x:v>42</x:v>
      </x:c>
      <x:c r="C63" s="22" t="b">
        <x:v>0</x:v>
      </x:c>
      <x:c r="D63" s="11" t="n">
        <x:v>0.0430107526481151</x:v>
      </x:c>
      <x:c r="E63" s="11" t="n">
        <x:v>0.0002091429147791</x:v>
      </x:c>
      <x:c r="F63" s="11" t="n">
        <x:v>0.5235732197761536</x:v>
      </x:c>
      <x:c r="G63" s="13" t="n">
        <x:v>10</x:v>
      </x:c>
      <x:c r="H63" s="11" t="n">
        <x:v>0.3647814393043518</x:v>
      </x:c>
      <x:c r="I63" s="11" t="n">
        <x:v>0.3647814393043518</x:v>
      </x:c>
      <x:c r="J63" s="24" t="n">
        <x:v>133.37962239515036</x:v>
      </x:c>
      <x:c r="K63" s="24" t="n">
        <x:v>155.36824655532837</x:v>
      </x:c>
      <x:c r="L63" s="11" t="n">
        <x:v>0.5235732197761536</x:v>
      </x:c>
      <x:c r="M63" s="11" t="n">
        <x:v>0.0999332070350647</x:v>
      </x:c>
    </x:row>
    <x:row r="64" ht="22" customHeight="1">
      <x:c r="A64" s="17" t="str">
        <x:f>"01491000"</x:f>
        <x:v>01491000</x:v>
      </x:c>
      <x:c r="B64" s="13" t="n">
        <x:v>42</x:v>
      </x:c>
      <x:c r="C64" s="22" t="b">
        <x:v>1</x:v>
      </x:c>
      <x:c r="D64" s="11" t="n">
        <x:v>0.018976897932589</x:v>
      </x:c>
      <x:c r="E64" s="11" t="n">
        <x:v>0.00045846816889626667</x:v>
      </x:c>
      <x:c r="F64" s="11" t="n">
        <x:v>0.3861386179924011</x:v>
      </x:c>
      <x:c r="G64" s="13" t="n">
        <x:v>1</x:v>
      </x:c>
      <x:c r="H64" s="11" t="n">
        <x:v>0.1577907502651214</x:v>
      </x:c>
      <x:c r="I64" s="11" t="n">
        <x:v>0.161393791437149</x:v>
      </x:c>
      <x:c r="J64" s="24" t="n">
        <x:v>134.10664074495435</x:v>
      </x:c>
      <x:c r="K64" s="24" t="n">
        <x:v>159.4783182144165</x:v>
      </x:c>
      <x:c r="L64" s="11" t="n">
        <x:v>0.938118815422058</x:v>
      </x:c>
      <x:c r="M64" s="11" t="n">
        <x:v>0.0999393239617347</x:v>
      </x:c>
    </x:row>
    <x:row r="65" ht="22" customHeight="1">
      <x:c r="A65" s="17" t="str">
        <x:f>"01491000"</x:f>
        <x:v>01491000</x:v>
      </x:c>
      <x:c r="B65" s="13" t="n">
        <x:v>42</x:v>
      </x:c>
      <x:c r="C65" s="22" t="b">
        <x:v>0</x:v>
      </x:c>
      <x:c r="D65" s="11" t="n">
        <x:v>0.018196856913467167</x:v>
      </x:c>
      <x:c r="E65" s="11" t="n">
        <x:v>0.00037780655353946666</x:v>
      </x:c>
      <x:c r="F65" s="11" t="n">
        <x:v>0.4466501176357269</x:v>
      </x:c>
      <x:c r="G65" s="13" t="n">
        <x:v>6</x:v>
      </x:c>
      <x:c r="H65" s="11" t="n">
        <x:v>0.3434306383132934</x:v>
      </x:c>
      <x:c r="I65" s="11" t="n">
        <x:v>0.3526265621185303</x:v>
      </x:c>
      <x:c r="J65" s="24" t="n">
        <x:v>134.44602644443512</x:v>
      </x:c>
      <x:c r="K65" s="24" t="n">
        <x:v>152.0170178413391</x:v>
      </x:c>
      <x:c r="L65" s="11" t="n">
        <x:v>0.5905707478523254</x:v>
      </x:c>
      <x:c r="M65" s="11" t="n">
        <x:v>0.0999332070350647</x:v>
      </x:c>
    </x:row>
    <x:row r="66" ht="22" customHeight="1">
      <x:c r="A66" s="17" t="str">
        <x:f>"01510000"</x:f>
        <x:v>01510000</x:v>
      </x:c>
      <x:c r="B66" s="13" t="n">
        <x:v>42</x:v>
      </x:c>
      <x:c r="C66" s="22" t="b">
        <x:v>1</x:v>
      </x:c>
      <x:c r="D66" s="11" t="n">
        <x:v>0.03300330167015386</x:v>
      </x:c>
      <x:c r="E66" s="11" t="n">
        <x:v>0.0004247572893897333</x:v>
      </x:c>
      <x:c r="F66" s="11" t="n">
        <x:v>0.4009900987148285</x:v>
      </x:c>
      <x:c r="G66" s="13" t="n">
        <x:v>6</x:v>
      </x:c>
      <x:c r="H66" s="11" t="n">
        <x:v>0.5950633883476257</x:v>
      </x:c>
      <x:c r="I66" s="11" t="n">
        <x:v>0.6007832288742065</x:v>
      </x:c>
      <x:c r="J66" s="24" t="n">
        <x:v>136.1440747641027</x:v>
      </x:c>
      <x:c r="K66" s="24" t="n">
        <x:v>151.70717024803162</x:v>
      </x:c>
      <x:c r="L66" s="11" t="n">
        <x:v>0.5643564462661743</x:v>
      </x:c>
      <x:c r="M66" s="11" t="n">
        <x:v>0.0999393239617347</x:v>
      </x:c>
    </x:row>
    <x:row r="67" ht="22" customHeight="1">
      <x:c r="A67" s="17" t="str">
        <x:f>"01510000"</x:f>
        <x:v>01510000</x:v>
      </x:c>
      <x:c r="B67" s="13" t="n">
        <x:v>42</x:v>
      </x:c>
      <x:c r="C67" s="22" t="b">
        <x:v>0</x:v>
      </x:c>
      <x:c r="D67" s="11" t="n">
        <x:v>0.0421836227178573</x:v>
      </x:c>
      <x:c r="E67" s="11" t="n">
        <x:v>0.0003710600043025333</x:v>
      </x:c>
      <x:c r="F67" s="11" t="n">
        <x:v>0.5732010006904602</x:v>
      </x:c>
      <x:c r="G67" s="13" t="n">
        <x:v>9</x:v>
      </x:c>
      <x:c r="H67" s="11" t="n">
        <x:v>0.8450127243995667</x:v>
      </x:c>
      <x:c r="I67" s="11" t="n">
        <x:v>0.8569959402084351</x:v>
      </x:c>
      <x:c r="J67" s="24" t="n">
        <x:v>135.112275833264</x:v>
      </x:c>
      <x:c r="K67" s="24" t="n">
        <x:v>156.52118492126465</x:v>
      </x:c>
      <x:c r="L67" s="11" t="n">
        <x:v>0.6054590344429016</x:v>
      </x:c>
      <x:c r="M67" s="11" t="n">
        <x:v>0.0999332070350647</x:v>
      </x:c>
    </x:row>
    <x:row r="68" ht="22" customHeight="1">
      <x:c r="A68" s="17" t="str">
        <x:f>"01516500"</x:f>
        <x:v>01516500</x:v>
      </x:c>
      <x:c r="B68" s="13" t="n">
        <x:v>42</x:v>
      </x:c>
      <x:c r="C68" s="22" t="b">
        <x:v>1</x:v>
      </x:c>
      <x:c r="D68" s="11" t="n">
        <x:v>0.029702970137198702</x:v>
      </x:c>
      <x:c r="E68" s="11" t="n">
        <x:v>0.0002831715246429333</x:v>
      </x:c>
      <x:c r="F68" s="11" t="n">
        <x:v>0.3465346395969391</x:v>
      </x:c>
      <x:c r="G68" s="13" t="n">
        <x:v>6</x:v>
      </x:c>
      <x:c r="H68" s="11" t="n">
        <x:v>0.6623240113258362</x:v>
      </x:c>
      <x:c r="I68" s="11" t="n">
        <x:v>0.6709884405136108</x:v>
      </x:c>
      <x:c r="J68" s="24" t="n">
        <x:v>139.51170455571264</x:v>
      </x:c>
      <x:c r="K68" s="24" t="n">
        <x:v>152.306791305542</x:v>
      </x:c>
      <x:c r="L68" s="11" t="n">
        <x:v>0.5123762488365173</x:v>
      </x:c>
      <x:c r="M68" s="11" t="n">
        <x:v>0.0999393239617347</x:v>
      </x:c>
    </x:row>
    <x:row r="69" ht="22" customHeight="1">
      <x:c r="A69" s="17" t="str">
        <x:f>"01516500"</x:f>
        <x:v>01516500</x:v>
      </x:c>
      <x:c r="B69" s="13" t="n">
        <x:v>42</x:v>
      </x:c>
      <x:c r="C69" s="22" t="b">
        <x:v>0</x:v>
      </x:c>
      <x:c r="D69" s="11" t="n">
        <x:v>0.03804797368745003</x:v>
      </x:c>
      <x:c r="E69" s="11" t="n">
        <x:v>0.00040479274078576667</x:v>
      </x:c>
      <x:c r="F69" s="11" t="n">
        <x:v>0.4168734550476074</x:v>
      </x:c>
      <x:c r="G69" s="13" t="n">
        <x:v>4</x:v>
      </x:c>
      <x:c r="H69" s="11" t="n">
        <x:v>0.9602099657058716</x:v>
      </x:c>
      <x:c r="I69" s="11" t="n">
        <x:v>0.9989376664161682</x:v>
      </x:c>
      <x:c r="J69" s="24" t="n">
        <x:v>135.88069371227175</x:v>
      </x:c>
      <x:c r="K69" s="24" t="n">
        <x:v>152.67078971862793</x:v>
      </x:c>
      <x:c r="L69" s="11" t="n">
        <x:v>0.6749379634857178</x:v>
      </x:c>
      <x:c r="M69" s="11" t="n">
        <x:v>0.0999332070350647</x:v>
      </x:c>
    </x:row>
    <x:row r="70" ht="22" customHeight="1">
      <x:c r="A70" s="17" t="str">
        <x:f>"01532000"</x:f>
        <x:v>01532000</x:v>
      </x:c>
      <x:c r="B70" s="13" t="n">
        <x:v>42</x:v>
      </x:c>
      <x:c r="C70" s="22" t="b">
        <x:v>1</x:v>
      </x:c>
      <x:c r="D70" s="11" t="n">
        <x:v>0.040429044514894465</x:v>
      </x:c>
      <x:c r="E70" s="11" t="n">
        <x:v>0.0002966558774156333</x:v>
      </x:c>
      <x:c r="F70" s="11" t="n">
        <x:v>0.396039605140686</x:v>
      </x:c>
      <x:c r="G70" s="13" t="n">
        <x:v>9</x:v>
      </x:c>
      <x:c r="H70" s="11" t="n">
        <x:v>0.355852723121643</x:v>
      </x:c>
      <x:c r="I70" s="11" t="n">
        <x:v>0.3573090434074402</x:v>
      </x:c>
      <x:c r="J70" s="24" t="n">
        <x:v>143.18980236165226</x:v>
      </x:c>
      <x:c r="K70" s="24" t="n">
        <x:v>159.2326304912567</x:v>
      </x:c>
      <x:c r="L70" s="11" t="n">
        <x:v>0.4405940473079681</x:v>
      </x:c>
      <x:c r="M70" s="11" t="n">
        <x:v>0.0999393239617347</x:v>
      </x:c>
    </x:row>
    <x:row r="71" ht="22" customHeight="1">
      <x:c r="A71" s="17" t="str">
        <x:f>"01532000"</x:f>
        <x:v>01532000</x:v>
      </x:c>
      <x:c r="B71" s="13" t="n">
        <x:v>42</x:v>
      </x:c>
      <x:c r="C71" s="22" t="b">
        <x:v>0</x:v>
      </x:c>
      <x:c r="D71" s="11" t="n">
        <x:v>0.0397022329270839</x:v>
      </x:c>
      <x:c r="E71" s="11" t="n">
        <x:v>0.00041153929002266674</x:v>
      </x:c>
      <x:c r="F71" s="11" t="n">
        <x:v>0.4565756916999817</x:v>
      </x:c>
      <x:c r="G71" s="13" t="n">
        <x:v>9</x:v>
      </x:c>
      <x:c r="H71" s="11" t="n">
        <x:v>0.6299393177032471</x:v>
      </x:c>
      <x:c r="I71" s="11" t="n">
        <x:v>0.6344153881072998</x:v>
      </x:c>
      <x:c r="J71" s="24" t="n">
        <x:v>138.95216978155077</x:v>
      </x:c>
      <x:c r="K71" s="24" t="n">
        <x:v>154.80636644363403</x:v>
      </x:c>
      <x:c r="L71" s="11" t="n">
        <x:v>0.4838709533214569</x:v>
      </x:c>
      <x:c r="M71" s="11" t="n">
        <x:v>0.0999332070350647</x:v>
      </x:c>
    </x:row>
    <x:row r="72" ht="22" customHeight="1">
      <x:c r="A72" s="17" t="str">
        <x:f>"01539000"</x:f>
        <x:v>01539000</x:v>
      </x:c>
      <x:c r="B72" s="13" t="n">
        <x:v>42</x:v>
      </x:c>
      <x:c r="C72" s="22" t="b">
        <x:v>1</x:v>
      </x:c>
      <x:c r="D72" s="11" t="n">
        <x:v>0.0363036307195822</x:v>
      </x:c>
      <x:c r="E72" s="11" t="n">
        <x:v>0.0005933117451301</x:v>
      </x:c>
      <x:c r="F72" s="11" t="n">
        <x:v>0.4653465449810028</x:v>
      </x:c>
      <x:c r="G72" s="13" t="n">
        <x:v>3</x:v>
      </x:c>
      <x:c r="H72" s="11" t="n">
        <x:v>1.3177061080932615</x:v>
      </x:c>
      <x:c r="I72" s="11" t="n">
        <x:v>1.366188883781433</x:v>
      </x:c>
      <x:c r="J72" s="24" t="n">
        <x:v>142.9411143362522</x:v>
      </x:c>
      <x:c r="K72" s="24" t="n">
        <x:v>164.22527527809143</x:v>
      </x:c>
      <x:c r="L72" s="11" t="n">
        <x:v>0.8292078971862793</x:v>
      </x:c>
      <x:c r="M72" s="11" t="n">
        <x:v>0.0999393239617347</x:v>
      </x:c>
    </x:row>
    <x:row r="73" ht="22" customHeight="1">
      <x:c r="A73" s="17" t="str">
        <x:f>"01539000"</x:f>
        <x:v>01539000</x:v>
      </x:c>
      <x:c r="B73" s="13" t="n">
        <x:v>42</x:v>
      </x:c>
      <x:c r="C73" s="22" t="b">
        <x:v>0</x:v>
      </x:c>
      <x:c r="D73" s="11" t="n">
        <x:v>0.04962779084841403</x:v>
      </x:c>
      <x:c r="E73" s="11" t="n">
        <x:v>0.0004790047435865666</x:v>
      </x:c>
      <x:c r="F73" s="11" t="n">
        <x:v>0.4962779283523559</x:v>
      </x:c>
      <x:c r="G73" s="13" t="n">
        <x:v>9</x:v>
      </x:c>
      <x:c r="H73" s="11" t="n">
        <x:v>1.5969605445861816</x:v>
      </x:c>
      <x:c r="I73" s="11" t="n">
        <x:v>1.617676019668579</x:v>
      </x:c>
      <x:c r="J73" s="24" t="n">
        <x:v>144.47001772373915</x:v>
      </x:c>
      <x:c r="K73" s="24" t="n">
        <x:v>163.51964688301086</x:v>
      </x:c>
      <x:c r="L73" s="11" t="n">
        <x:v>0.5483871102333069</x:v>
      </x:c>
      <x:c r="M73" s="11" t="n">
        <x:v>0.0999332070350647</x:v>
      </x:c>
    </x:row>
    <x:row r="74" ht="22" customHeight="1">
      <x:c r="A74" s="17" t="str">
        <x:f>"01542810"</x:f>
        <x:v>01542810</x:v>
      </x:c>
      <x:c r="B74" s="13" t="n">
        <x:v>42</x:v>
      </x:c>
      <x:c r="C74" s="22" t="b">
        <x:v>1</x:v>
      </x:c>
      <x:c r="D74" s="11" t="n">
        <x:v>0.048679868380228634</x:v>
      </x:c>
      <x:c r="E74" s="11" t="n">
        <x:v>0.0004989212514677</x:v>
      </x:c>
      <x:c r="F74" s="11" t="n">
        <x:v>0.5198019742965698</x:v>
      </x:c>
      <x:c r="G74" s="13" t="n">
        <x:v>5</x:v>
      </x:c>
      <x:c r="H74" s="11" t="n">
        <x:v>0.4838311076164245</x:v>
      </x:c>
      <x:c r="I74" s="11" t="n">
        <x:v>0.4905131757259369</x:v>
      </x:c>
      <x:c r="J74" s="24" t="n">
        <x:v>139.46041318774223</x:v>
      </x:c>
      <x:c r="K74" s="24" t="n">
        <x:v>156.2142698764801</x:v>
      </x:c>
      <x:c r="L74" s="11" t="n">
        <x:v>0.7698019742965698</x:v>
      </x:c>
      <x:c r="M74" s="11" t="n">
        <x:v>0.0999393239617347</x:v>
      </x:c>
    </x:row>
    <x:row r="75" ht="22" customHeight="1">
      <x:c r="A75" s="17" t="str">
        <x:f>"01542810"</x:f>
        <x:v>01542810</x:v>
      </x:c>
      <x:c r="B75" s="13" t="n">
        <x:v>42</x:v>
      </x:c>
      <x:c r="C75" s="22" t="b">
        <x:v>0</x:v>
      </x:c>
      <x:c r="D75" s="11" t="n">
        <x:v>0.0355665832757949</x:v>
      </x:c>
      <x:c r="E75" s="11" t="n">
        <x:v>0.0002023963728181667</x:v>
      </x:c>
      <x:c r="F75" s="11" t="n">
        <x:v>0.5161290168762207</x:v>
      </x:c>
      <x:c r="G75" s="13" t="n">
        <x:v>8</x:v>
      </x:c>
      <x:c r="H75" s="11" t="n">
        <x:v>0.7439340353012085</x:v>
      </x:c>
      <x:c r="I75" s="11" t="n">
        <x:v>0.7498379349708557</x:v>
      </x:c>
      <x:c r="J75" s="24" t="n">
        <x:v>133.46780754439533</x:v>
      </x:c>
      <x:c r="K75" s="24" t="n">
        <x:v>154.75843954086304</x:v>
      </x:c>
      <x:c r="L75" s="11" t="n">
        <x:v>0.5856079459190369</x:v>
      </x:c>
      <x:c r="M75" s="11" t="n">
        <x:v>0.0999332070350647</x:v>
      </x:c>
    </x:row>
    <x:row r="76" ht="22" customHeight="1">
      <x:c r="A76" s="17" t="str">
        <x:f>"01543000"</x:f>
        <x:v>01543000</x:v>
      </x:c>
      <x:c r="B76" s="13" t="n">
        <x:v>42</x:v>
      </x:c>
      <x:c r="C76" s="22" t="b">
        <x:v>1</x:v>
      </x:c>
      <x:c r="D76" s="11" t="n">
        <x:v>0.0305280530204375</x:v>
      </x:c>
      <x:c r="E76" s="11" t="n">
        <x:v>0.0003371089502858</x:v>
      </x:c>
      <x:c r="F76" s="11" t="n">
        <x:v>0.398514837026596</x:v>
      </x:c>
      <x:c r="G76" s="13" t="n">
        <x:v>10</x:v>
      </x:c>
      <x:c r="H76" s="11" t="n">
        <x:v>0.443744421005249</x:v>
      </x:c>
      <x:c r="I76" s="11" t="n">
        <x:v>0.443744421005249</x:v>
      </x:c>
      <x:c r="J76" s="24" t="n">
        <x:v>132.94016889669</x:v>
      </x:c>
      <x:c r="K76" s="24" t="n">
        <x:v>145.63856768608093</x:v>
      </x:c>
      <x:c r="L76" s="11" t="n">
        <x:v>0.398514837026596</x:v>
      </x:c>
      <x:c r="M76" s="11" t="n">
        <x:v>0.0999393239617347</x:v>
      </x:c>
    </x:row>
    <x:row r="77" ht="22" customHeight="1">
      <x:c r="A77" s="17" t="str">
        <x:f>"01543000"</x:f>
        <x:v>01543000</x:v>
      </x:c>
      <x:c r="B77" s="13" t="n">
        <x:v>42</x:v>
      </x:c>
      <x:c r="C77" s="22" t="b">
        <x:v>0</x:v>
      </x:c>
      <x:c r="D77" s="11" t="n">
        <x:v>0.05459057042996083</x:v>
      </x:c>
      <x:c r="E77" s="11" t="n">
        <x:v>0.00037780657294200006</x:v>
      </x:c>
      <x:c r="F77" s="11" t="n">
        <x:v>0.5657567977905273</x:v>
      </x:c>
      <x:c r="G77" s="13" t="n">
        <x:v>5</x:v>
      </x:c>
      <x:c r="H77" s="11" t="n">
        <x:v>0.7508754730224609</x:v>
      </x:c>
      <x:c r="I77" s="11" t="n">
        <x:v>0.7841625213623047</x:v>
      </x:c>
      <x:c r="J77" s="24" t="n">
        <x:v>134.9911131868139</x:v>
      </x:c>
      <x:c r="K77" s="24" t="n">
        <x:v>165.19694995880127</x:v>
      </x:c>
      <x:c r="L77" s="11" t="n">
        <x:v>0.7419354915618896</x:v>
      </x:c>
      <x:c r="M77" s="11" t="n">
        <x:v>0.0999332070350647</x:v>
      </x:c>
    </x:row>
    <x:row r="78" ht="22" customHeight="1">
      <x:c r="A78" s="17" t="str">
        <x:f>"01543500"</x:f>
        <x:v>01543500</x:v>
      </x:c>
      <x:c r="B78" s="13" t="n">
        <x:v>42</x:v>
      </x:c>
      <x:c r="C78" s="22" t="b">
        <x:v>1</x:v>
      </x:c>
      <x:c r="D78" s="11" t="n">
        <x:v>0.03877887812753513</x:v>
      </x:c>
      <x:c r="E78" s="11" t="n">
        <x:v>0.0005124056187923333</x:v>
      </x:c>
      <x:c r="F78" s="11" t="n">
        <x:v>0.4158415794372558</x:v>
      </x:c>
      <x:c r="G78" s="13" t="n">
        <x:v>4</x:v>
      </x:c>
      <x:c r="H78" s="11" t="n">
        <x:v>0.5061973333358765</x:v>
      </x:c>
      <x:c r="I78" s="11" t="n">
        <x:v>0.5316763520240784</x:v>
      </x:c>
      <x:c r="J78" s="24" t="n">
        <x:v>132.1201151283458</x:v>
      </x:c>
      <x:c r="K78" s="24" t="n">
        <x:v>149.0329704284668</x:v>
      </x:c>
      <x:c r="L78" s="11" t="n">
        <x:v>0.7301980257034302</x:v>
      </x:c>
      <x:c r="M78" s="11" t="n">
        <x:v>0.0999393239617347</x:v>
      </x:c>
    </x:row>
    <x:row r="79" ht="22" customHeight="1">
      <x:c r="A79" s="17" t="str">
        <x:f>"01543500"</x:f>
        <x:v>01543500</x:v>
      </x:c>
      <x:c r="B79" s="13" t="n">
        <x:v>42</x:v>
      </x:c>
      <x:c r="C79" s="22" t="b">
        <x:v>0</x:v>
      </x:c>
      <x:c r="D79" s="11" t="n">
        <x:v>0.03639371382693443</x:v>
      </x:c>
      <x:c r="E79" s="11" t="n">
        <x:v>0.0003575669252313333</x:v>
      </x:c>
      <x:c r="F79" s="11" t="n">
        <x:v>0.5583126544952393</x:v>
      </x:c>
      <x:c r="G79" s="13" t="n">
        <x:v>8</x:v>
      </x:c>
      <x:c r="H79" s="11" t="n">
        <x:v>0.767873227596283</x:v>
      </x:c>
      <x:c r="I79" s="11" t="n">
        <x:v>0.7800617814064026</x:v>
      </x:c>
      <x:c r="J79" s="24" t="n">
        <x:v>131.16114396695048</x:v>
      </x:c>
      <x:c r="K79" s="24" t="n">
        <x:v>155.25415635108948</x:v>
      </x:c>
      <x:c r="L79" s="11" t="n">
        <x:v>0.593052089214325</x:v>
      </x:c>
      <x:c r="M79" s="11" t="n">
        <x:v>0.0999332070350647</x:v>
      </x:c>
    </x:row>
    <x:row r="80" ht="22" customHeight="1">
      <x:c r="A80" s="17" t="str">
        <x:f>"01544500"</x:f>
        <x:v>01544500</x:v>
      </x:c>
      <x:c r="B80" s="13" t="n">
        <x:v>42</x:v>
      </x:c>
      <x:c r="C80" s="22" t="b">
        <x:v>1</x:v>
      </x:c>
      <x:c r="D80" s="11" t="n">
        <x:v>0.03382838331162923</x:v>
      </x:c>
      <x:c r="E80" s="11" t="n">
        <x:v>0.0006000539384937</x:v>
      </x:c>
      <x:c r="F80" s="11" t="n">
        <x:v>0.4727722704410553</x:v>
      </x:c>
      <x:c r="G80" s="13" t="n">
        <x:v>5</x:v>
      </x:c>
      <x:c r="H80" s="11" t="n">
        <x:v>0.3578256070613861</x:v>
      </x:c>
      <x:c r="I80" s="11" t="n">
        <x:v>0.3660391569137573</x:v>
      </x:c>
      <x:c r="J80" s="24" t="n">
        <x:v>133.42647065036</x:v>
      </x:c>
      <x:c r="K80" s="24" t="n">
        <x:v>153.6110315322876</x:v>
      </x:c>
      <x:c r="L80" s="11" t="n">
        <x:v>0.6881188154220581</x:v>
      </x:c>
      <x:c r="M80" s="11" t="n">
        <x:v>0.0999393239617347</x:v>
      </x:c>
    </x:row>
    <x:row r="81" ht="22" customHeight="1">
      <x:c r="A81" s="17" t="str">
        <x:f>"01544500"</x:f>
        <x:v>01544500</x:v>
      </x:c>
      <x:c r="B81" s="13" t="n">
        <x:v>42</x:v>
      </x:c>
      <x:c r="C81" s="22" t="b">
        <x:v>0</x:v>
      </x:c>
      <x:c r="D81" s="11" t="n">
        <x:v>0.035566583896676635</x:v>
      </x:c>
      <x:c r="E81" s="11" t="n">
        <x:v>0.00023612909717484593</x:v>
      </x:c>
      <x:c r="F81" s="11" t="n">
        <x:v>0.5434243083000183</x:v>
      </x:c>
      <x:c r="G81" s="13" t="n">
        <x:v>6</x:v>
      </x:c>
      <x:c r="H81" s="11" t="n">
        <x:v>0.6089227199554443</x:v>
      </x:c>
      <x:c r="I81" s="11" t="n">
        <x:v>0.6493778228759766</x:v>
      </x:c>
      <x:c r="J81" s="24" t="n">
        <x:v>140.3320391708985</x:v>
      </x:c>
      <x:c r="K81" s="24" t="n">
        <x:v>167.01698851585388</x:v>
      </x:c>
      <x:c r="L81" s="11" t="n">
        <x:v>0.6575682163238525</x:v>
      </x:c>
      <x:c r="M81" s="11" t="n">
        <x:v>0.0999332070350647</x:v>
      </x:c>
    </x:row>
    <x:row r="82" ht="22" customHeight="1">
      <x:c r="A82" s="17" t="str">
        <x:f>"01545600"</x:f>
        <x:v>01545600</x:v>
      </x:c>
      <x:c r="B82" s="13" t="n">
        <x:v>42</x:v>
      </x:c>
      <x:c r="C82" s="22" t="b">
        <x:v>1</x:v>
      </x:c>
      <x:c r="D82" s="11" t="n">
        <x:v>0.03795379586517803</x:v>
      </x:c>
      <x:c r="E82" s="11" t="n">
        <x:v>0.00043824165671439995</x:v>
      </x:c>
      <x:c r="F82" s="11" t="n">
        <x:v>0.4084158539772033</x:v>
      </x:c>
      <x:c r="G82" s="13" t="n">
        <x:v>6</x:v>
      </x:c>
      <x:c r="H82" s="11" t="n">
        <x:v>0.3573964834213257</x:v>
      </x:c>
      <x:c r="I82" s="11" t="n">
        <x:v>0.3626210987567901</x:v>
      </x:c>
      <x:c r="J82" s="24" t="n">
        <x:v>134.43576366454363</x:v>
      </x:c>
      <x:c r="K82" s="24" t="n">
        <x:v>150.73268675804138</x:v>
      </x:c>
      <x:c r="L82" s="11" t="n">
        <x:v>0.5396039485931396</x:v>
      </x:c>
      <x:c r="M82" s="11" t="n">
        <x:v>0.0999393239617347</x:v>
      </x:c>
    </x:row>
    <x:row r="83" ht="22" customHeight="1">
      <x:c r="A83" s="17" t="str">
        <x:f>"01545600"</x:f>
        <x:v>01545600</x:v>
      </x:c>
      <x:c r="B83" s="13" t="n">
        <x:v>42</x:v>
      </x:c>
      <x:c r="C83" s="22" t="b">
        <x:v>0</x:v>
      </x:c>
      <x:c r="D83" s="11" t="n">
        <x:v>0.035566583896676635</x:v>
      </x:c>
      <x:c r="E83" s="11" t="n">
        <x:v>0.00021588945916541257</x:v>
      </x:c>
      <x:c r="F83" s="11" t="n">
        <x:v>0.4888337552547455</x:v>
      </x:c>
      <x:c r="G83" s="13" t="n">
        <x:v>10</x:v>
      </x:c>
      <x:c r="H83" s="11" t="n">
        <x:v>0.6365953087806702</x:v>
      </x:c>
      <x:c r="I83" s="11" t="n">
        <x:v>0.6365953087806702</x:v>
      </x:c>
      <x:c r="J83" s="24" t="n">
        <x:v>137.98183646705002</x:v>
      </x:c>
      <x:c r="K83" s="24" t="n">
        <x:v>158.72157621383667</x:v>
      </x:c>
      <x:c r="L83" s="11" t="n">
        <x:v>0.4888337552547455</x:v>
      </x:c>
      <x:c r="M83" s="11" t="n">
        <x:v>0.0999332070350647</x:v>
      </x:c>
    </x:row>
    <x:row r="84" ht="22" customHeight="1">
      <x:c r="A84" s="17" t="str">
        <x:f>"01547700"</x:f>
        <x:v>01547700</x:v>
      </x:c>
      <x:c r="B84" s="13" t="n">
        <x:v>42</x:v>
      </x:c>
      <x:c r="C84" s="22" t="b">
        <x:v>1</x:v>
      </x:c>
      <x:c r="D84" s="11" t="n">
        <x:v>0.03300329980750873</x:v>
      </x:c>
      <x:c r="E84" s="11" t="n">
        <x:v>0.0003438511339481333</x:v>
      </x:c>
      <x:c r="F84" s="11" t="n">
        <x:v>0.4282178282737732</x:v>
      </x:c>
      <x:c r="G84" s="13" t="n">
        <x:v>10</x:v>
      </x:c>
      <x:c r="H84" s="11" t="n">
        <x:v>1.1894103288650513</x:v>
      </x:c>
      <x:c r="I84" s="11" t="n">
        <x:v>1.1894103288650513</x:v>
      </x:c>
      <x:c r="J84" s="24" t="n">
        <x:v>143.2294696699828</x:v>
      </x:c>
      <x:c r="K84" s="24" t="n">
        <x:v>155.65745425224304</x:v>
      </x:c>
      <x:c r="L84" s="11" t="n">
        <x:v>0.4282178282737732</x:v>
      </x:c>
      <x:c r="M84" s="11" t="n">
        <x:v>0.0999393239617347</x:v>
      </x:c>
    </x:row>
    <x:row r="85" ht="22" customHeight="1">
      <x:c r="A85" s="17" t="str">
        <x:f>"01547700"</x:f>
        <x:v>01547700</x:v>
      </x:c>
      <x:c r="B85" s="13" t="n">
        <x:v>42</x:v>
      </x:c>
      <x:c r="C85" s="22" t="b">
        <x:v>0</x:v>
      </x:c>
      <x:c r="D85" s="11" t="n">
        <x:v>0.04218362333873903</x:v>
      </x:c>
      <x:c r="E85" s="11" t="n">
        <x:v>0.00022263600597696666</x:v>
      </x:c>
      <x:c r="F85" s="11" t="n">
        <x:v>0.4838709533214569</x:v>
      </x:c>
      <x:c r="G85" s="13" t="n">
        <x:v>3</x:v>
      </x:c>
      <x:c r="H85" s="11" t="n">
        <x:v>1.6172126531600952</x:v>
      </x:c>
      <x:c r="I85" s="11" t="n">
        <x:v>1.628983974456787</x:v>
      </x:c>
      <x:c r="J85" s="24" t="n">
        <x:v>139.23875225055963</x:v>
      </x:c>
      <x:c r="K85" s="24" t="n">
        <x:v>160.7111804485321</x:v>
      </x:c>
      <x:c r="L85" s="11" t="n">
        <x:v>0.7940446734428406</x:v>
      </x:c>
      <x:c r="M85" s="11" t="n">
        <x:v>0.0999332070350647</x:v>
      </x:c>
    </x:row>
    <x:row r="86" ht="22" customHeight="1">
      <x:c r="A86" s="17" t="str">
        <x:f>"01548500"</x:f>
        <x:v>01548500</x:v>
      </x:c>
      <x:c r="B86" s="13" t="n">
        <x:v>42</x:v>
      </x:c>
      <x:c r="C86" s="22" t="b">
        <x:v>1</x:v>
      </x:c>
      <x:c r="D86" s="11" t="n">
        <x:v>0.01980197988450523</x:v>
      </x:c>
      <x:c r="E86" s="11" t="n">
        <x:v>0.0003438511242468667</x:v>
      </x:c>
      <x:c r="F86" s="11" t="n">
        <x:v>0.3737623691558838</x:v>
      </x:c>
      <x:c r="G86" s="13" t="n">
        <x:v>8</x:v>
      </x:c>
      <x:c r="H86" s="11" t="n">
        <x:v>0.4344480633735657</x:v>
      </x:c>
      <x:c r="I86" s="11" t="n">
        <x:v>0.4401654899120331</x:v>
      </x:c>
      <x:c r="J86" s="24" t="n">
        <x:v>142.37860312033445</x:v>
      </x:c>
      <x:c r="K86" s="24" t="n">
        <x:v>156.37793493270874</x:v>
      </x:c>
      <x:c r="L86" s="11" t="n">
        <x:v>0.4579207897186279</x:v>
      </x:c>
      <x:c r="M86" s="11" t="n">
        <x:v>0.0999393239617347</x:v>
      </x:c>
    </x:row>
    <x:row r="87" ht="22" customHeight="1">
      <x:c r="A87" s="17" t="str">
        <x:f>"01548500"</x:f>
        <x:v>01548500</x:v>
      </x:c>
      <x:c r="B87" s="13" t="n">
        <x:v>42</x:v>
      </x:c>
      <x:c r="C87" s="22" t="b">
        <x:v>0</x:v>
      </x:c>
      <x:c r="D87" s="11" t="n">
        <x:v>0.037220843757192236</x:v>
      </x:c>
      <x:c r="E87" s="11" t="n">
        <x:v>0.00041153928032140004</x:v>
      </x:c>
      <x:c r="F87" s="11" t="n">
        <x:v>0.5161290168762207</x:v>
      </x:c>
      <x:c r="G87" s="13" t="n">
        <x:v>7</x:v>
      </x:c>
      <x:c r="H87" s="11" t="n">
        <x:v>0.704630434513092</x:v>
      </x:c>
      <x:c r="I87" s="11" t="n">
        <x:v>0.7080497145652771</x:v>
      </x:c>
      <x:c r="J87" s="24" t="n">
        <x:v>146.06064322497696</x:v>
      </x:c>
      <x:c r="K87" s="24" t="n">
        <x:v>166.96891403198242</x:v>
      </x:c>
      <x:c r="L87" s="11" t="n">
        <x:v>0.6054590344429016</x:v>
      </x:c>
      <x:c r="M87" s="11" t="n">
        <x:v>0.0999332070350647</x:v>
      </x:c>
    </x:row>
    <x:row r="88" ht="22" customHeight="1">
      <x:c r="A88" s="17" t="str">
        <x:f>"01549500"</x:f>
        <x:v>01549500</x:v>
      </x:c>
      <x:c r="B88" s="13" t="n">
        <x:v>42</x:v>
      </x:c>
      <x:c r="C88" s="22" t="b">
        <x:v>1</x:v>
      </x:c>
      <x:c r="D88" s="11" t="n">
        <x:v>0.0412541255354881</x:v>
      </x:c>
      <x:c r="E88" s="11" t="n">
        <x:v>0.0005528586819612333</x:v>
      </x:c>
      <x:c r="F88" s="11" t="n">
        <x:v>0.4306930601596832</x:v>
      </x:c>
      <x:c r="G88" s="13" t="n">
        <x:v>6</x:v>
      </x:c>
      <x:c r="H88" s="11" t="n">
        <x:v>0.4644190371036529</x:v>
      </x:c>
      <x:c r="I88" s="11" t="n">
        <x:v>0.4673946797847748</x:v>
      </x:c>
      <x:c r="J88" s="24" t="n">
        <x:v>140.76175373606384</x:v>
      </x:c>
      <x:c r="K88" s="24" t="n">
        <x:v>153.51427006721497</x:v>
      </x:c>
      <x:c r="L88" s="11" t="n">
        <x:v>0.5544554591178894</x:v>
      </x:c>
      <x:c r="M88" s="11" t="n">
        <x:v>0.0999393239617347</x:v>
      </x:c>
    </x:row>
    <x:row r="89" ht="22" customHeight="1">
      <x:c r="A89" s="17" t="str">
        <x:f>"01549500"</x:f>
        <x:v>01549500</x:v>
      </x:c>
      <x:c r="B89" s="13" t="n">
        <x:v>42</x:v>
      </x:c>
      <x:c r="C89" s="22" t="b">
        <x:v>0</x:v>
      </x:c>
      <x:c r="D89" s="11" t="n">
        <x:v>0.03970223292708391</x:v>
      </x:c>
      <x:c r="E89" s="11" t="n">
        <x:v>0.0005194840293066666</x:v>
      </x:c>
      <x:c r="F89" s="11" t="n">
        <x:v>0.4838709533214569</x:v>
      </x:c>
      <x:c r="G89" s="13" t="n">
        <x:v>2</x:v>
      </x:c>
      <x:c r="H89" s="11" t="n">
        <x:v>0.6712936758995056</x:v>
      </x:c>
      <x:c r="I89" s="11" t="n">
        <x:v>0.6814606785774231</x:v>
      </x:c>
      <x:c r="J89" s="24" t="n">
        <x:v>136.55762609280646</x:v>
      </x:c>
      <x:c r="K89" s="24" t="n">
        <x:v>158.20102310180664</x:v>
      </x:c>
      <x:c r="L89" s="11" t="n">
        <x:v>0.8908188343048096</x:v>
      </x:c>
      <x:c r="M89" s="11" t="n">
        <x:v>0.0999332070350647</x:v>
      </x:c>
    </x:row>
    <x:row r="90" ht="22" customHeight="1">
      <x:c r="A90" s="17" t="str">
        <x:f>"01550000"</x:f>
        <x:v>01550000</x:v>
      </x:c>
      <x:c r="B90" s="13" t="n">
        <x:v>42</x:v>
      </x:c>
      <x:c r="C90" s="22" t="b">
        <x:v>1</x:v>
      </x:c>
      <x:c r="D90" s="11" t="n">
        <x:v>0.023927392748494897</x:v>
      </x:c>
      <x:c r="E90" s="11" t="n">
        <x:v>0.00045172600463646667</x:v>
      </x:c>
      <x:c r="F90" s="11" t="n">
        <x:v>0.396039605140686</x:v>
      </x:c>
      <x:c r="G90" s="13" t="n">
        <x:v>1</x:v>
      </x:c>
      <x:c r="H90" s="11" t="n">
        <x:v>0.4647614657878876</x:v>
      </x:c>
      <x:c r="I90" s="11" t="n">
        <x:v>0.4777572751045227</x:v>
      </x:c>
      <x:c r="J90" s="24" t="n">
        <x:v>134.83248609304428</x:v>
      </x:c>
      <x:c r="K90" s="24" t="n">
        <x:v>152.68505120277405</x:v>
      </x:c>
      <x:c r="L90" s="11" t="n">
        <x:v>0.9628713130950928</x:v>
      </x:c>
      <x:c r="M90" s="11" t="n">
        <x:v>0.0999393239617347</x:v>
      </x:c>
    </x:row>
    <x:row r="91" ht="22" customHeight="1">
      <x:c r="A91" s="17" t="str">
        <x:f>"01550000"</x:f>
        <x:v>01550000</x:v>
      </x:c>
      <x:c r="B91" s="13" t="n">
        <x:v>42</x:v>
      </x:c>
      <x:c r="C91" s="22" t="b">
        <x:v>0</x:v>
      </x:c>
      <x:c r="D91" s="11" t="n">
        <x:v>0.03391232403616103</x:v>
      </x:c>
      <x:c r="E91" s="11" t="n">
        <x:v>0.0001686636436109</x:v>
      </x:c>
      <x:c r="F91" s="11" t="n">
        <x:v>0.4987592995166778</x:v>
      </x:c>
      <x:c r="G91" s="13" t="n">
        <x:v>2</x:v>
      </x:c>
      <x:c r="H91" s="11" t="n">
        <x:v>0.5985128283500671</x:v>
      </x:c>
      <x:c r="I91" s="11" t="n">
        <x:v>0.632038950920105</x:v>
      </x:c>
      <x:c r="J91" s="24" t="n">
        <x:v>134.4664395879954</x:v>
      </x:c>
      <x:c r="K91" s="24" t="n">
        <x:v>164.1687204837799</x:v>
      </x:c>
      <x:c r="L91" s="11" t="n">
        <x:v>0.9205955266952516</x:v>
      </x:c>
      <x:c r="M91" s="11" t="n">
        <x:v>0.0999332070350647</x:v>
      </x:c>
    </x:row>
    <x:row r="92" ht="22" customHeight="1">
      <x:c r="A92" s="17" t="str">
        <x:f>"01552000"</x:f>
        <x:v>01552000</x:v>
      </x:c>
      <x:c r="B92" s="13" t="n">
        <x:v>42</x:v>
      </x:c>
      <x:c r="C92" s="22" t="b">
        <x:v>1</x:v>
      </x:c>
      <x:c r="D92" s="11" t="n">
        <x:v>0.02887788849572333</x:v>
      </x:c>
      <x:c r="E92" s="11" t="n">
        <x:v>0.0006539913689872333</x:v>
      </x:c>
      <x:c r="F92" s="11" t="n">
        <x:v>0.4158415794372558</x:v>
      </x:c>
      <x:c r="G92" s="13" t="n">
        <x:v>10</x:v>
      </x:c>
      <x:c r="H92" s="11" t="n">
        <x:v>0.5385498404502869</x:v>
      </x:c>
      <x:c r="I92" s="11" t="n">
        <x:v>0.5385498404502869</x:v>
      </x:c>
      <x:c r="J92" s="24" t="n">
        <x:v>133.42847579624504</x:v>
      </x:c>
      <x:c r="K92" s="24" t="n">
        <x:v>148.14099049568176</x:v>
      </x:c>
      <x:c r="L92" s="11" t="n">
        <x:v>0.4158415794372558</x:v>
      </x:c>
      <x:c r="M92" s="11" t="n">
        <x:v>0.0999393239617347</x:v>
      </x:c>
    </x:row>
    <x:row r="93" ht="22" customHeight="1">
      <x:c r="A93" s="17" t="str">
        <x:f>"01552000"</x:f>
        <x:v>01552000</x:v>
      </x:c>
      <x:c r="B93" s="13" t="n">
        <x:v>42</x:v>
      </x:c>
      <x:c r="C93" s="22" t="b">
        <x:v>0</x:v>
      </x:c>
      <x:c r="D93" s="11" t="n">
        <x:v>0.0272952858358621</x:v>
      </x:c>
      <x:c r="E93" s="11" t="n">
        <x:v>0.00033732728237123333</x:v>
      </x:c>
      <x:c r="F93" s="11" t="n">
        <x:v>0.4913151264190674</x:v>
      </x:c>
      <x:c r="G93" s="13" t="n">
        <x:v>8</x:v>
      </x:c>
      <x:c r="H93" s="11" t="n">
        <x:v>0.6469293832778931</x:v>
      </x:c>
      <x:c r="I93" s="11" t="n">
        <x:v>0.6640660762786865</x:v>
      </x:c>
      <x:c r="J93" s="24" t="n">
        <x:v>135.18607166595757</x:v>
      </x:c>
      <x:c r="K93" s="24" t="n">
        <x:v>155.0946385860443</x:v>
      </x:c>
      <x:c r="L93" s="11" t="n">
        <x:v>0.5459057092666626</x:v>
      </x:c>
      <x:c r="M93" s="11" t="n">
        <x:v>0.0999332070350647</x:v>
      </x:c>
    </x:row>
    <x:row r="94" ht="22" customHeight="1">
      <x:c r="A94" s="17" t="str">
        <x:f>"01552500"</x:f>
        <x:v>01552500</x:v>
      </x:c>
      <x:c r="B94" s="13" t="n">
        <x:v>42</x:v>
      </x:c>
      <x:c r="C94" s="22" t="b">
        <x:v>1</x:v>
      </x:c>
      <x:c r="D94" s="11" t="n">
        <x:v>0.05033003290494278</x:v>
      </x:c>
      <x:c r="E94" s="11" t="n">
        <x:v>0.00047195253622093325</x:v>
      </x:c>
      <x:c r="F94" s="11" t="n">
        <x:v>0.3935643434524536</x:v>
      </x:c>
      <x:c r="G94" s="13" t="n">
        <x:v>9</x:v>
      </x:c>
      <x:c r="H94" s="11" t="n">
        <x:v>0.6979618072509766</x:v>
      </x:c>
      <x:c r="I94" s="11" t="n">
        <x:v>0.7044249773025513</x:v>
      </x:c>
      <x:c r="J94" s="24" t="n">
        <x:v>139.0134726660326</x:v>
      </x:c>
      <x:c r="K94" s="24" t="n">
        <x:v>154.4613070487976</x:v>
      </x:c>
      <x:c r="L94" s="11" t="n">
        <x:v>0.4232673346996307</x:v>
      </x:c>
      <x:c r="M94" s="11" t="n">
        <x:v>0.0999393239617347</x:v>
      </x:c>
    </x:row>
    <x:row r="95" ht="22" customHeight="1">
      <x:c r="A95" s="17" t="str">
        <x:f>"01552500"</x:f>
        <x:v>01552500</x:v>
      </x:c>
      <x:c r="B95" s="13" t="n">
        <x:v>42</x:v>
      </x:c>
      <x:c r="C95" s="22" t="b">
        <x:v>0</x:v>
      </x:c>
      <x:c r="D95" s="11" t="n">
        <x:v>0.05128205195069307</x:v>
      </x:c>
      <x:c r="E95" s="11" t="n">
        <x:v>0.00020914292205506668</x:v>
      </x:c>
      <x:c r="F95" s="11" t="n">
        <x:v>0.5161290168762207</x:v>
      </x:c>
      <x:c r="G95" s="13" t="n">
        <x:v>9</x:v>
      </x:c>
      <x:c r="H95" s="11" t="n">
        <x:v>0.9900839328765868</x:v>
      </x:c>
      <x:c r="I95" s="11" t="n">
        <x:v>0.9957386255264282</x:v>
      </x:c>
      <x:c r="J95" s="24" t="n">
        <x:v>136.93358399253339</x:v>
      </x:c>
      <x:c r="K95" s="24" t="n">
        <x:v>153.0973517894745</x:v>
      </x:c>
      <x:c r="L95" s="11" t="n">
        <x:v>0.5285359621047974</x:v>
      </x:c>
      <x:c r="M95" s="11" t="n">
        <x:v>0.0999332070350647</x:v>
      </x:c>
    </x:row>
    <x:row r="96" ht="22" customHeight="1">
      <x:c r="A96" s="17" t="str">
        <x:f>"01557500"</x:f>
        <x:v>01557500</x:v>
      </x:c>
      <x:c r="B96" s="13" t="n">
        <x:v>42</x:v>
      </x:c>
      <x:c r="C96" s="22" t="b">
        <x:v>1</x:v>
      </x:c>
      <x:c r="D96" s="11" t="n">
        <x:v>0.0445544564475615</x:v>
      </x:c>
      <x:c r="E96" s="11" t="n">
        <x:v>0.0004180151057273667</x:v>
      </x:c>
      <x:c r="F96" s="11" t="n">
        <x:v>0.5099009871482849</x:v>
      </x:c>
      <x:c r="G96" s="13" t="n">
        <x:v>10</x:v>
      </x:c>
      <x:c r="H96" s="11" t="n">
        <x:v>0.4975073039531708</x:v>
      </x:c>
      <x:c r="I96" s="11" t="n">
        <x:v>0.4975073039531708</x:v>
      </x:c>
      <x:c r="J96" s="24" t="n">
        <x:v>142.047376755625</x:v>
      </x:c>
      <x:c r="K96" s="24" t="n">
        <x:v>157.34312653541565</x:v>
      </x:c>
      <x:c r="L96" s="11" t="n">
        <x:v>0.5099009871482849</x:v>
      </x:c>
      <x:c r="M96" s="11" t="n">
        <x:v>0.0999393239617347</x:v>
      </x:c>
    </x:row>
    <x:row r="97" ht="22" customHeight="1">
      <x:c r="A97" s="17" t="str">
        <x:f>"01557500"</x:f>
        <x:v>01557500</x:v>
      </x:c>
      <x:c r="B97" s="13" t="n">
        <x:v>42</x:v>
      </x:c>
      <x:c r="C97" s="22" t="b">
        <x:v>0</x:v>
      </x:c>
      <x:c r="D97" s="11" t="n">
        <x:v>0.0421836227178573</x:v>
      </x:c>
      <x:c r="E97" s="11" t="n">
        <x:v>0.0003980462012501333</x:v>
      </x:c>
      <x:c r="F97" s="11" t="n">
        <x:v>0.5285359621047974</x:v>
      </x:c>
      <x:c r="G97" s="13" t="n">
        <x:v>10</x:v>
      </x:c>
      <x:c r="H97" s="11" t="n">
        <x:v>0.8318775296211243</x:v>
      </x:c>
      <x:c r="I97" s="11" t="n">
        <x:v>0.8318775296211243</x:v>
      </x:c>
      <x:c r="J97" s="24" t="n">
        <x:v>137.57566251792014</x:v>
      </x:c>
      <x:c r="K97" s="24" t="n">
        <x:v>158.2565860748291</x:v>
      </x:c>
      <x:c r="L97" s="11" t="n">
        <x:v>0.5285359621047974</x:v>
      </x:c>
      <x:c r="M97" s="11" t="n">
        <x:v>0.0999332070350647</x:v>
      </x:c>
    </x:row>
    <x:row r="98" ht="22" customHeight="1">
      <x:c r="A98" s="17" t="str">
        <x:f>"01567500"</x:f>
        <x:v>01567500</x:v>
      </x:c>
      <x:c r="B98" s="13" t="n">
        <x:v>42</x:v>
      </x:c>
      <x:c r="C98" s="22" t="b">
        <x:v>1</x:v>
      </x:c>
      <x:c r="D98" s="11" t="n">
        <x:v>0.027227723350127464</x:v>
      </x:c>
      <x:c r="E98" s="11" t="n">
        <x:v>0.0005056634351300334</x:v>
      </x:c>
      <x:c r="F98" s="11" t="n">
        <x:v>0.3663366436958313</x:v>
      </x:c>
      <x:c r="G98" s="13" t="n">
        <x:v>7</x:v>
      </x:c>
      <x:c r="H98" s="11" t="n">
        <x:v>0.5900651812553406</x:v>
      </x:c>
      <x:c r="I98" s="11" t="n">
        <x:v>0.5933496356010437</x:v>
      </x:c>
      <x:c r="J98" s="24" t="n">
        <x:v>142.14477638248354</x:v>
      </x:c>
      <x:c r="K98" s="24" t="n">
        <x:v>156.5224449634552</x:v>
      </x:c>
      <x:c r="L98" s="11" t="n">
        <x:v>0.4727722704410553</x:v>
      </x:c>
      <x:c r="M98" s="11" t="n">
        <x:v>0.0999393239617347</x:v>
      </x:c>
    </x:row>
    <x:row r="99" ht="22" customHeight="1">
      <x:c r="A99" s="17" t="str">
        <x:f>"01567500"</x:f>
        <x:v>01567500</x:v>
      </x:c>
      <x:c r="B99" s="13" t="n">
        <x:v>42</x:v>
      </x:c>
      <x:c r="C99" s="22" t="b">
        <x:v>0</x:v>
      </x:c>
      <x:c r="D99" s="11" t="n">
        <x:v>0.0372208431363105</x:v>
      </x:c>
      <x:c r="E99" s="11" t="n">
        <x:v>0.0003643134744682</x:v>
      </x:c>
      <x:c r="F99" s="11" t="n">
        <x:v>0.4416873455047607</x:v>
      </x:c>
      <x:c r="G99" s="13" t="n">
        <x:v>1</x:v>
      </x:c>
      <x:c r="H99" s="11" t="n">
        <x:v>0.7279147505760193</x:v>
      </x:c>
      <x:c r="I99" s="11" t="n">
        <x:v>0.7455263137817383</x:v>
      </x:c>
      <x:c r="J99" s="24" t="n">
        <x:v>137.88523064833134</x:v>
      </x:c>
      <x:c r="K99" s="24" t="n">
        <x:v>161.15864276885986</x:v>
      </x:c>
      <x:c r="L99" s="11" t="n">
        <x:v>0.940446674823761</x:v>
      </x:c>
      <x:c r="M99" s="11" t="n">
        <x:v>0.0999332070350647</x:v>
      </x:c>
    </x:row>
    <x:row r="100" ht="22" customHeight="1">
      <x:c r="A100" s="17" t="str">
        <x:f>"01568000"</x:f>
        <x:v>01568000</x:v>
      </x:c>
      <x:c r="B100" s="13" t="n">
        <x:v>42</x:v>
      </x:c>
      <x:c r="C100" s="22" t="b">
        <x:v>1</x:v>
      </x:c>
      <x:c r="D100" s="11" t="n">
        <x:v>0.0255775582045316</x:v>
      </x:c>
      <x:c r="E100" s="11" t="n">
        <x:v>0.00033036677147413334</x:v>
      </x:c>
      <x:c r="F100" s="11" t="n">
        <x:v>0.3366336524486542</x:v>
      </x:c>
      <x:c r="G100" s="13" t="n">
        <x:v>1</x:v>
      </x:c>
      <x:c r="H100" s="11" t="n">
        <x:v>0.7825382947921753</x:v>
      </x:c>
      <x:c r="I100" s="11" t="n">
        <x:v>0.794358491897583</x:v>
      </x:c>
      <x:c r="J100" s="24" t="n">
        <x:v>140.1365122590214</x:v>
      </x:c>
      <x:c r="K100" s="24" t="n">
        <x:v>159.41055011749268</x:v>
      </x:c>
      <x:c r="L100" s="11" t="n">
        <x:v>0.9702970385551452</x:v>
      </x:c>
      <x:c r="M100" s="11" t="n">
        <x:v>0.0999393239617347</x:v>
      </x:c>
    </x:row>
    <x:row r="101" ht="22" customHeight="1">
      <x:c r="A101" s="17" t="str">
        <x:f>"01568000"</x:f>
        <x:v>01568000</x:v>
      </x:c>
      <x:c r="B101" s="13" t="n">
        <x:v>42</x:v>
      </x:c>
      <x:c r="C101" s="22" t="b">
        <x:v>0</x:v>
      </x:c>
      <x:c r="D101" s="11" t="n">
        <x:v>0.0446650125086307</x:v>
      </x:c>
      <x:c r="E101" s="11" t="n">
        <x:v>0.00037106001400383335</x:v>
      </x:c>
      <x:c r="F101" s="11" t="n">
        <x:v>0.4615384638309479</x:v>
      </x:c>
      <x:c r="G101" s="13" t="n">
        <x:v>6</x:v>
      </x:c>
      <x:c r="H101" s="11" t="n">
        <x:v>0.8557857275009155</x:v>
      </x:c>
      <x:c r="I101" s="11" t="n">
        <x:v>0.8822978138923645</x:v>
      </x:c>
      <x:c r="J101" s="24" t="n">
        <x:v>145.32856021355838</x:v>
      </x:c>
      <x:c r="K101" s="24" t="n">
        <x:v>163.50771832466125</x:v>
      </x:c>
      <x:c r="L101" s="11" t="n">
        <x:v>0.5583126544952393</x:v>
      </x:c>
      <x:c r="M101" s="11" t="n">
        <x:v>0.0999332070350647</x:v>
      </x:c>
    </x:row>
    <x:row r="102" ht="22" customHeight="1">
      <x:c r="A102" s="17" t="str">
        <x:f>"01580000"</x:f>
        <x:v>01580000</x:v>
      </x:c>
      <x:c r="B102" s="13" t="n">
        <x:v>42</x:v>
      </x:c>
      <x:c r="C102" s="22" t="b">
        <x:v>1</x:v>
      </x:c>
      <x:c r="D102" s="11" t="n">
        <x:v>0.012376237660646402</x:v>
      </x:c>
      <x:c r="E102" s="11" t="n">
        <x:v>0.0007348975244288333</x:v>
      </x:c>
      <x:c r="F102" s="11" t="n">
        <x:v>0.2004950493574142</x:v>
      </x:c>
      <x:c r="G102" s="13" t="n">
        <x:v>6</x:v>
      </x:c>
      <x:c r="H102" s="11" t="n">
        <x:v>0.7660263776779175</x:v>
      </x:c>
      <x:c r="I102" s="11" t="n">
        <x:v>0.7703549861907959</x:v>
      </x:c>
      <x:c r="J102" s="24" t="n">
        <x:v>139.63990644551814</x:v>
      </x:c>
      <x:c r="K102" s="24" t="n">
        <x:v>146.34373378753662</x:v>
      </x:c>
      <x:c r="L102" s="11" t="n">
        <x:v>0.3712871372699737</x:v>
      </x:c>
      <x:c r="M102" s="11" t="n">
        <x:v>0.0999393239617347</x:v>
      </x:c>
    </x:row>
    <x:row r="103" ht="22" customHeight="1">
      <x:c r="A103" s="17" t="str">
        <x:f>"01580000"</x:f>
        <x:v>01580000</x:v>
      </x:c>
      <x:c r="B103" s="13" t="n">
        <x:v>42</x:v>
      </x:c>
      <x:c r="C103" s="22" t="b">
        <x:v>0</x:v>
      </x:c>
      <x:c r="D103" s="11" t="n">
        <x:v>0.029776675005753764</x:v>
      </x:c>
      <x:c r="E103" s="11" t="n">
        <x:v>0.00046551165481403334</x:v>
      </x:c>
      <x:c r="F103" s="11" t="n">
        <x:v>0.3895781636238098</x:v>
      </x:c>
      <x:c r="G103" s="13" t="n">
        <x:v>10</x:v>
      </x:c>
      <x:c r="H103" s="11" t="n">
        <x:v>0.8552404642105103</x:v>
      </x:c>
      <x:c r="I103" s="11" t="n">
        <x:v>0.8552404642105103</x:v>
      </x:c>
      <x:c r="J103" s="24" t="n">
        <x:v>136.7853668788448</x:v>
      </x:c>
      <x:c r="K103" s="24" t="n">
        <x:v>147.9782373905182</x:v>
      </x:c>
      <x:c r="L103" s="11" t="n">
        <x:v>0.3895781636238098</x:v>
      </x:c>
      <x:c r="M103" s="11" t="n">
        <x:v>0.0999332070350647</x:v>
      </x:c>
    </x:row>
    <x:row r="104" ht="22" customHeight="1">
      <x:c r="A104" s="17" t="str">
        <x:f>"01583500"</x:f>
        <x:v>01583500</x:v>
      </x:c>
      <x:c r="B104" s="13" t="n">
        <x:v>42</x:v>
      </x:c>
      <x:c r="C104" s="22" t="b">
        <x:v>1</x:v>
      </x:c>
      <x:c r="D104" s="11" t="n">
        <x:v>0.006600660039111933</x:v>
      </x:c>
      <x:c r="E104" s="11" t="n">
        <x:v>0.0007888349549223667</x:v>
      </x:c>
      <x:c r="F104" s="11" t="n">
        <x:v>0.1584158390760421</x:v>
      </x:c>
      <x:c r="G104" s="13" t="n">
        <x:v>10</x:v>
      </x:c>
      <x:c r="H104" s="11" t="n">
        <x:v>0.7049107551574707</x:v>
      </x:c>
      <x:c r="I104" s="11" t="n">
        <x:v>0.7049107551574707</x:v>
      </x:c>
      <x:c r="J104" s="24" t="n">
        <x:v>134.5621725646779</x:v>
      </x:c>
      <x:c r="K104" s="24" t="n">
        <x:v>139.82655906677246</x:v>
      </x:c>
      <x:c r="L104" s="11" t="n">
        <x:v>0.1584158390760421</x:v>
      </x:c>
      <x:c r="M104" s="11" t="n">
        <x:v>0.0999393239617347</x:v>
      </x:c>
    </x:row>
    <x:row r="105" ht="22" customHeight="1">
      <x:c r="A105" s="17" t="str">
        <x:f>"01583500"</x:f>
        <x:v>01583500</x:v>
      </x:c>
      <x:c r="B105" s="13" t="n">
        <x:v>42</x:v>
      </x:c>
      <x:c r="C105" s="22" t="b">
        <x:v>0</x:v>
      </x:c>
      <x:c r="D105" s="11" t="n">
        <x:v>0.022332506564756164</x:v>
      </x:c>
      <x:c r="E105" s="11" t="n">
        <x:v>0.0002833549175799</x:v>
      </x:c>
      <x:c r="F105" s="11" t="n">
        <x:v>0.2555831372737884</x:v>
      </x:c>
      <x:c r="G105" s="13" t="n">
        <x:v>6</x:v>
      </x:c>
      <x:c r="H105" s="11" t="n">
        <x:v>0.7557119727134705</x:v>
      </x:c>
      <x:c r="I105" s="11" t="n">
        <x:v>0.7863011956214905</x:v>
      </x:c>
      <x:c r="J105" s="24" t="n">
        <x:v>133.4275658968836</x:v>
      </x:c>
      <x:c r="K105" s="24" t="n">
        <x:v>141.93334245681763</x:v>
      </x:c>
      <x:c r="L105" s="11" t="n">
        <x:v>0.3970223367214203</x:v>
      </x:c>
      <x:c r="M105" s="11" t="n">
        <x:v>0.0999332070350647</x:v>
      </x:c>
    </x:row>
    <x:row r="106" ht="22" customHeight="1">
      <x:c r="A106" s="17" t="str">
        <x:f>"01591400"</x:f>
        <x:v>01591400</x:v>
      </x:c>
      <x:c r="B106" s="13" t="n">
        <x:v>42</x:v>
      </x:c>
      <x:c r="C106" s="22" t="b">
        <x:v>1</x:v>
      </x:c>
      <x:c r="D106" s="11" t="n">
        <x:v>0.0255775582045316</x:v>
      </x:c>
      <x:c r="E106" s="11" t="n">
        <x:v>0.0006809601036365667</x:v>
      </x:c>
      <x:c r="F106" s="11" t="n">
        <x:v>0.2252475321292877</x:v>
      </x:c>
      <x:c r="G106" s="13" t="n">
        <x:v>2</x:v>
      </x:c>
      <x:c r="H106" s="11" t="n">
        <x:v>0.5861668586730957</x:v>
      </x:c>
      <x:c r="I106" s="11" t="n">
        <x:v>0.6059496998786926</x:v>
      </x:c>
      <x:c r="J106" s="24" t="n">
        <x:v>133.17689372599125</x:v>
      </x:c>
      <x:c r="K106" s="24" t="n">
        <x:v>141.2244689464569</x:v>
      </x:c>
      <x:c r="L106" s="11" t="n">
        <x:v>0.6113861203193665</x:v>
      </x:c>
      <x:c r="M106" s="11" t="n">
        <x:v>0.0999393239617347</x:v>
      </x:c>
    </x:row>
    <x:row r="107" ht="22" customHeight="1">
      <x:c r="A107" s="17" t="str">
        <x:f>"01591400"</x:f>
        <x:v>01591400</x:v>
      </x:c>
      <x:c r="B107" s="13" t="n">
        <x:v>42</x:v>
      </x:c>
      <x:c r="C107" s="22" t="b">
        <x:v>0</x:v>
      </x:c>
      <x:c r="D107" s="11" t="n">
        <x:v>0.0140612078830599</x:v>
      </x:c>
      <x:c r="E107" s="11" t="n">
        <x:v>0.0004790047338852667</x:v>
      </x:c>
      <x:c r="F107" s="11" t="n">
        <x:v>0.2506203353404999</x:v>
      </x:c>
      <x:c r="G107" s="13" t="n">
        <x:v>6</x:v>
      </x:c>
      <x:c r="H107" s="11" t="n">
        <x:v>0.6358783841133118</x:v>
      </x:c>
      <x:c r="I107" s="11" t="n">
        <x:v>0.6629740595817566</x:v>
      </x:c>
      <x:c r="J107" s="24" t="n">
        <x:v>134.47049387264997</x:v>
      </x:c>
      <x:c r="K107" s="24" t="n">
        <x:v>143.6043918132782</x:v>
      </x:c>
      <x:c r="L107" s="11" t="n">
        <x:v>0.3622828722000122</x:v>
      </x:c>
      <x:c r="M107" s="11" t="n">
        <x:v>0.0999332070350647</x:v>
      </x:c>
    </x:row>
    <x:row r="108" ht="22" customHeight="1">
      <x:c r="A108" s="17" t="str">
        <x:f>"01596500"</x:f>
        <x:v>01596500</x:v>
      </x:c>
      <x:c r="B108" s="13" t="n">
        <x:v>42</x:v>
      </x:c>
      <x:c r="C108" s="22" t="b">
        <x:v>1</x:v>
      </x:c>
      <x:c r="D108" s="11" t="n">
        <x:v>0.03135313528279457</x:v>
      </x:c>
      <x:c r="E108" s="11" t="n">
        <x:v>0.00045172600463646667</x:v>
      </x:c>
      <x:c r="F108" s="11" t="n">
        <x:v>0.3811881244182586</x:v>
      </x:c>
      <x:c r="G108" s="13" t="n">
        <x:v>8</x:v>
      </x:c>
      <x:c r="H108" s="11" t="n">
        <x:v>0.316368818283081</x:v>
      </x:c>
      <x:c r="I108" s="11" t="n">
        <x:v>0.3262593746185303</x:v>
      </x:c>
      <x:c r="J108" s="24" t="n">
        <x:v>136.14247575961053</x:v>
      </x:c>
      <x:c r="K108" s="24" t="n">
        <x:v>149.5508155822754</x:v>
      </x:c>
      <x:c r="L108" s="11" t="n">
        <x:v>0.4331683218479156</x:v>
      </x:c>
      <x:c r="M108" s="11" t="n">
        <x:v>0.0999393239617347</x:v>
      </x:c>
    </x:row>
    <x:row r="109" ht="22" customHeight="1">
      <x:c r="A109" s="17" t="str">
        <x:f>"01596500"</x:f>
        <x:v>01596500</x:v>
      </x:c>
      <x:c r="B109" s="13" t="n">
        <x:v>42</x:v>
      </x:c>
      <x:c r="C109" s="22" t="b">
        <x:v>0</x:v>
      </x:c>
      <x:c r="D109" s="11" t="n">
        <x:v>0.054590571671724264</x:v>
      </x:c>
      <x:c r="E109" s="11" t="n">
        <x:v>0.0002428756464117</x:v>
      </x:c>
      <x:c r="F109" s="11" t="n">
        <x:v>0.5632754564285278</x:v>
      </x:c>
      <x:c r="G109" s="13" t="n">
        <x:v>1</x:v>
      </x:c>
      <x:c r="H109" s="11" t="n">
        <x:v>0.5281760692596436</x:v>
      </x:c>
      <x:c r="I109" s="11" t="n">
        <x:v>0.5551121234893799</x:v>
      </x:c>
      <x:c r="J109" s="24" t="n">
        <x:v>133.27414939459413</x:v>
      </x:c>
      <x:c r="K109" s="24" t="n">
        <x:v>160.81933093070984</x:v>
      </x:c>
      <x:c r="L109" s="11" t="n">
        <x:v>0.977667510509491</x:v>
      </x:c>
      <x:c r="M109" s="11" t="n">
        <x:v>0.0999332070350647</x:v>
      </x:c>
    </x:row>
    <x:row r="110" ht="22" customHeight="1">
      <x:c r="A110" s="17" t="str">
        <x:f>"01613050"</x:f>
        <x:v>01613050</x:v>
      </x:c>
      <x:c r="B110" s="13" t="n">
        <x:v>42</x:v>
      </x:c>
      <x:c r="C110" s="22" t="b">
        <x:v>1</x:v>
      </x:c>
      <x:c r="D110" s="11" t="n">
        <x:v>0.02805280499160284</x:v>
      </x:c>
      <x:c r="E110" s="11" t="n">
        <x:v>0.0004921790775066333</x:v>
      </x:c>
      <x:c r="F110" s="11" t="n">
        <x:v>0.3589108884334564</x:v>
      </x:c>
      <x:c r="G110" s="13" t="n">
        <x:v>1</x:v>
      </x:c>
      <x:c r="H110" s="11" t="n">
        <x:v>0.661156952381134</x:v>
      </x:c>
      <x:c r="I110" s="11" t="n">
        <x:v>0.6731311678886414</x:v>
      </x:c>
      <x:c r="J110" s="24" t="n">
        <x:v>135.99789013247937</x:v>
      </x:c>
      <x:c r="K110" s="24" t="n">
        <x:v>150.75916719436646</x:v>
      </x:c>
      <x:c r="L110" s="11" t="n">
        <x:v>0.9628713130950928</x:v>
      </x:c>
      <x:c r="M110" s="11" t="n">
        <x:v>0.0999393239617347</x:v>
      </x:c>
    </x:row>
    <x:row r="111" ht="22" customHeight="1">
      <x:c r="A111" s="17" t="str">
        <x:f>"01613050"</x:f>
        <x:v>01613050</x:v>
      </x:c>
      <x:c r="B111" s="13" t="n">
        <x:v>42</x:v>
      </x:c>
      <x:c r="C111" s="22" t="b">
        <x:v>0</x:v>
      </x:c>
      <x:c r="D111" s="11" t="n">
        <x:v>0.0272952858358621</x:v>
      </x:c>
      <x:c r="E111" s="11" t="n">
        <x:v>0.00045201855634023337</x:v>
      </x:c>
      <x:c r="F111" s="11" t="n">
        <x:v>0.4962779283523559</x:v>
      </x:c>
      <x:c r="G111" s="13" t="n">
        <x:v>2</x:v>
      </x:c>
      <x:c r="H111" s="11" t="n">
        <x:v>0.9399163722991944</x:v>
      </x:c>
      <x:c r="I111" s="11" t="n">
        <x:v>0.9778399467468262</x:v>
      </x:c>
      <x:c r="J111" s="24" t="n">
        <x:v>134.21525355894119</x:v>
      </x:c>
      <x:c r="K111" s="24" t="n">
        <x:v>159.8564372062683</x:v>
      </x:c>
      <x:c r="L111" s="11" t="n">
        <x:v>0.9181141257286072</x:v>
      </x:c>
      <x:c r="M111" s="11" t="n">
        <x:v>0.0999332070350647</x:v>
      </x:c>
    </x:row>
    <x:row r="112" ht="22" customHeight="1">
      <x:c r="A112" s="17" t="str">
        <x:f>"01620500"</x:f>
        <x:v>01620500</x:v>
      </x:c>
      <x:c r="B112" s="13" t="n">
        <x:v>42</x:v>
      </x:c>
      <x:c r="C112" s="22" t="b">
        <x:v>1</x:v>
      </x:c>
      <x:c r="D112" s="11" t="n">
        <x:v>0.0107260728254914</x:v>
      </x:c>
      <x:c r="E112" s="11" t="n">
        <x:v>0.0006000539287924667</x:v>
      </x:c>
      <x:c r="F112" s="11" t="n">
        <x:v>0.3490099012851715</x:v>
      </x:c>
      <x:c r="G112" s="13" t="n">
        <x:v>3</x:v>
      </x:c>
      <x:c r="H112" s="11" t="n">
        <x:v>0.1392609626054763</x:v>
      </x:c>
      <x:c r="I112" s="11" t="n">
        <x:v>0.1500398069620132</x:v>
      </x:c>
      <x:c r="J112" s="24" t="n">
        <x:v>136.54031101148576</x:v>
      </x:c>
      <x:c r="K112" s="24" t="n">
        <x:v>154.2372179031372</x:v>
      </x:c>
      <x:c r="L112" s="11" t="n">
        <x:v>0.6683168411254883</x:v>
      </x:c>
      <x:c r="M112" s="11" t="n">
        <x:v>0.0999393239617347</x:v>
      </x:c>
    </x:row>
    <x:row r="113" ht="22" customHeight="1">
      <x:c r="A113" s="17" t="str">
        <x:f>"01620500"</x:f>
        <x:v>01620500</x:v>
      </x:c>
      <x:c r="B113" s="13" t="n">
        <x:v>42</x:v>
      </x:c>
      <x:c r="C113" s="22" t="b">
        <x:v>0</x:v>
      </x:c>
      <x:c r="D113" s="11" t="n">
        <x:v>0.036393713206052704</x:v>
      </x:c>
      <x:c r="E113" s="11" t="n">
        <x:v>0.0001956498284319396</x:v>
      </x:c>
      <x:c r="F113" s="11" t="n">
        <x:v>0.4367245733737945</x:v>
      </x:c>
      <x:c r="G113" s="13" t="n">
        <x:v>5</x:v>
      </x:c>
      <x:c r="H113" s="11" t="n">
        <x:v>0.2260041087865829</x:v>
      </x:c>
      <x:c r="I113" s="11" t="n">
        <x:v>0.2278580218553543</x:v>
      </x:c>
      <x:c r="J113" s="24" t="n">
        <x:v>134.86117687169462</x:v>
      </x:c>
      <x:c r="K113" s="24" t="n">
        <x:v>150.53757238388062</x:v>
      </x:c>
      <x:c r="L113" s="11" t="n">
        <x:v>0.6501240730285645</x:v>
      </x:c>
      <x:c r="M113" s="11" t="n">
        <x:v>0.0999332070350647</x:v>
      </x:c>
    </x:row>
    <x:row r="114" ht="22" customHeight="1">
      <x:c r="A114" s="17" t="str">
        <x:f>"01634500"</x:f>
        <x:v>01634500</x:v>
      </x:c>
      <x:c r="B114" s="13" t="n">
        <x:v>42</x:v>
      </x:c>
      <x:c r="C114" s="22" t="b">
        <x:v>1</x:v>
      </x:c>
      <x:c r="D114" s="11" t="n">
        <x:v>0.023102311107019532</x:v>
      </x:c>
      <x:c r="E114" s="11" t="n">
        <x:v>0.00030339805622733336</x:v>
      </x:c>
      <x:c r="F114" s="11" t="n">
        <x:v>0.3316831588745117</x:v>
      </x:c>
      <x:c r="G114" s="13" t="n">
        <x:v>3</x:v>
      </x:c>
      <x:c r="H114" s="11" t="n">
        <x:v>0.1872772276401519</x:v>
      </x:c>
      <x:c r="I114" s="11" t="n">
        <x:v>0.3805854618549347</x:v>
      </x:c>
      <x:c r="J114" s="24" t="n">
        <x:v>139.20695282518864</x:v>
      </x:c>
      <x:c r="K114" s="24" t="n">
        <x:v>150.0177230834961</x:v>
      </x:c>
      <x:c r="L114" s="11" t="n">
        <x:v>0.7599009871482849</x:v>
      </x:c>
      <x:c r="M114" s="11" t="n">
        <x:v>0.0999393239617347</x:v>
      </x:c>
    </x:row>
    <x:row r="115" ht="22" customHeight="1">
      <x:c r="A115" s="17" t="str">
        <x:f>"01634500"</x:f>
        <x:v>01634500</x:v>
      </x:c>
      <x:c r="B115" s="13" t="n">
        <x:v>42</x:v>
      </x:c>
      <x:c r="C115" s="22" t="b">
        <x:v>0</x:v>
      </x:c>
      <x:c r="D115" s="11" t="n">
        <x:v>0.026468155905604304</x:v>
      </x:c>
      <x:c r="E115" s="11" t="n">
        <x:v>0.0004452720265058667</x:v>
      </x:c>
      <x:c r="F115" s="11" t="n">
        <x:v>0.4143920540809631</x:v>
      </x:c>
      <x:c r="G115" s="13" t="n">
        <x:v>7</x:v>
      </x:c>
      <x:c r="H115" s="11" t="n">
        <x:v>0.2776551246643066</x:v>
      </x:c>
      <x:c r="I115" s="11" t="n">
        <x:v>0.3058988153934479</x:v>
      </x:c>
      <x:c r="J115" s="24" t="n">
        <x:v>141.6800196254626</x:v>
      </x:c>
      <x:c r="K115" s="24" t="n">
        <x:v>157.14322686195374</x:v>
      </x:c>
      <x:c r="L115" s="11" t="n">
        <x:v>0.5086848735809326</x:v>
      </x:c>
      <x:c r="M115" s="11" t="n">
        <x:v>0.0999332070350647</x:v>
      </x:c>
    </x:row>
    <x:row r="116" ht="22" customHeight="1">
      <x:c r="A116" s="17" t="str">
        <x:f>"01638480"</x:f>
        <x:v>01638480</x:v>
      </x:c>
      <x:c r="B116" s="13" t="n">
        <x:v>42</x:v>
      </x:c>
      <x:c r="C116" s="22" t="b">
        <x:v>1</x:v>
      </x:c>
      <x:c r="D116" s="11" t="n">
        <x:v>0.03382838331162923</x:v>
      </x:c>
      <x:c r="E116" s="11" t="n">
        <x:v>0.0006337648180002667</x:v>
      </x:c>
      <x:c r="F116" s="11" t="n">
        <x:v>0.3366336524486542</x:v>
      </x:c>
      <x:c r="G116" s="13" t="n">
        <x:v>1</x:v>
      </x:c>
      <x:c r="H116" s="11" t="n">
        <x:v>0.804277777671814</x:v>
      </x:c>
      <x:c r="I116" s="11" t="n">
        <x:v>0.8231651782989502</x:v>
      </x:c>
      <x:c r="J116" s="24" t="n">
        <x:v>137.9591861627996</x:v>
      </x:c>
      <x:c r="K116" s="24" t="n">
        <x:v>153.09005689620972</x:v>
      </x:c>
      <x:c r="L116" s="11" t="n">
        <x:v>0.952970325946808</x:v>
      </x:c>
      <x:c r="M116" s="11" t="n">
        <x:v>0.0999393239617347</x:v>
      </x:c>
    </x:row>
    <x:row r="117" ht="22" customHeight="1">
      <x:c r="A117" s="17" t="str">
        <x:f>"01638480"</x:f>
        <x:v>01638480</x:v>
      </x:c>
      <x:c r="B117" s="13" t="n">
        <x:v>42</x:v>
      </x:c>
      <x:c r="C117" s="22" t="b">
        <x:v>0</x:v>
      </x:c>
      <x:c r="D117" s="11" t="n">
        <x:v>0.023986766114830898</x:v>
      </x:c>
      <x:c r="E117" s="11" t="n">
        <x:v>0.000431778942584</x:v>
      </x:c>
      <x:c r="F117" s="11" t="n">
        <x:v>0.3399503827095032</x:v>
      </x:c>
      <x:c r="G117" s="13" t="n">
        <x:v>7</x:v>
      </x:c>
      <x:c r="H117" s="11" t="n">
        <x:v>0.8878623843193054</x:v>
      </x:c>
      <x:c r="I117" s="11" t="n">
        <x:v>0.8967053294181824</x:v>
      </x:c>
      <x:c r="J117" s="24" t="n">
        <x:v>135.68671052437276</x:v>
      </x:c>
      <x:c r="K117" s="24" t="n">
        <x:v>147.5107066631317</x:v>
      </x:c>
      <x:c r="L117" s="11" t="n">
        <x:v>0.4392059445381164</x:v>
      </x:c>
      <x:c r="M117" s="11" t="n">
        <x:v>0.0999332070350647</x:v>
      </x:c>
    </x:row>
    <x:row r="118" ht="22" customHeight="1">
      <x:c r="A118" s="17" t="str">
        <x:f>"01639500"</x:f>
        <x:v>01639500</x:v>
      </x:c>
      <x:c r="B118" s="13" t="n">
        <x:v>42</x:v>
      </x:c>
      <x:c r="C118" s="22" t="b">
        <x:v>1</x:v>
      </x:c>
      <x:c r="D118" s="11" t="n">
        <x:v>0.023927393058935764</x:v>
      </x:c>
      <x:c r="E118" s="11" t="n">
        <x:v>0.0004045307384027334</x:v>
      </x:c>
      <x:c r="F118" s="11" t="n">
        <x:v>0.3292079269886017</x:v>
      </x:c>
      <x:c r="G118" s="13" t="n">
        <x:v>1</x:v>
      </x:c>
      <x:c r="H118" s="11" t="n">
        <x:v>0.591977596282959</x:v>
      </x:c>
      <x:c r="I118" s="11" t="n">
        <x:v>0.6014800071716309</x:v>
      </x:c>
      <x:c r="J118" s="24" t="n">
        <x:v>136.8441896531731</x:v>
      </x:c>
      <x:c r="K118" s="24" t="n">
        <x:v>154.3107509613037</x:v>
      </x:c>
      <x:c r="L118" s="11" t="n">
        <x:v>0.9727723002433776</x:v>
      </x:c>
      <x:c r="M118" s="11" t="n">
        <x:v>0.0999393239617347</x:v>
      </x:c>
    </x:row>
    <x:row r="119" ht="22" customHeight="1">
      <x:c r="A119" s="17" t="str">
        <x:f>"01639500"</x:f>
        <x:v>01639500</x:v>
      </x:c>
      <x:c r="B119" s="13" t="n">
        <x:v>42</x:v>
      </x:c>
      <x:c r="C119" s="22" t="b">
        <x:v>0</x:v>
      </x:c>
      <x:c r="D119" s="11" t="n">
        <x:v>0.03473945396641883</x:v>
      </x:c>
      <x:c r="E119" s="11" t="n">
        <x:v>0.0008568113165286333</x:v>
      </x:c>
      <x:c r="F119" s="11" t="n">
        <x:v>0.4267989993095398</x:v>
      </x:c>
      <x:c r="G119" s="13" t="n">
        <x:v>5</x:v>
      </x:c>
      <x:c r="H119" s="11" t="n">
        <x:v>0.6588514447212219</x:v>
      </x:c>
      <x:c r="I119" s="11" t="n">
        <x:v>0.710640013217926</x:v>
      </x:c>
      <x:c r="J119" s="24" t="n">
        <x:v>136.07627069670707</x:v>
      </x:c>
      <x:c r="K119" s="24" t="n">
        <x:v>151.3413257598877</x:v>
      </x:c>
      <x:c r="L119" s="11" t="n">
        <x:v>0.6203473806381226</x:v>
      </x:c>
      <x:c r="M119" s="11" t="n">
        <x:v>0.0999332070350647</x:v>
      </x:c>
    </x:row>
    <x:row r="120" ht="22" customHeight="1">
      <x:c r="A120" s="17" t="str">
        <x:f>"01644000"</x:f>
        <x:v>01644000</x:v>
      </x:c>
      <x:c r="B120" s="13" t="n">
        <x:v>42</x:v>
      </x:c>
      <x:c r="C120" s="22" t="b">
        <x:v>1</x:v>
      </x:c>
      <x:c r="D120" s="11" t="n">
        <x:v>0.017326732786993135</x:v>
      </x:c>
      <x:c r="E120" s="11" t="n">
        <x:v>0.0005393743340391333</x:v>
      </x:c>
      <x:c r="F120" s="11" t="n">
        <x:v>0.3143564462661743</x:v>
      </x:c>
      <x:c r="G120" s="13" t="n">
        <x:v>4</x:v>
      </x:c>
      <x:c r="H120" s="11" t="n">
        <x:v>0.4854054749011993</x:v>
      </x:c>
      <x:c r="I120" s="11" t="n">
        <x:v>0.4915425181388855</x:v>
      </x:c>
      <x:c r="J120" s="24" t="n">
        <x:v>136.39138429425657</x:v>
      </x:c>
      <x:c r="K120" s="24" t="n">
        <x:v>149.81674218177795</x:v>
      </x:c>
      <x:c r="L120" s="11" t="n">
        <x:v>0.646039605140686</x:v>
      </x:c>
      <x:c r="M120" s="11" t="n">
        <x:v>0.0999393239617347</x:v>
      </x:c>
    </x:row>
    <x:row r="121" ht="22" customHeight="1">
      <x:c r="A121" s="17" t="str">
        <x:f>"01644000"</x:f>
        <x:v>01644000</x:v>
      </x:c>
      <x:c r="B121" s="13" t="n">
        <x:v>42</x:v>
      </x:c>
      <x:c r="C121" s="22" t="b">
        <x:v>0</x:v>
      </x:c>
      <x:c r="D121" s="11" t="n">
        <x:v>0.029776674384872037</x:v>
      </x:c>
      <x:c r="E121" s="11" t="n">
        <x:v>0.0003980462012501333</x:v>
      </x:c>
      <x:c r="F121" s="11" t="n">
        <x:v>0.4615384638309479</x:v>
      </x:c>
      <x:c r="G121" s="13" t="n">
        <x:v>7</x:v>
      </x:c>
      <x:c r="H121" s="11" t="n">
        <x:v>0.5679407119750977</x:v>
      </x:c>
      <x:c r="I121" s="11" t="n">
        <x:v>0.5908815860748291</x:v>
      </x:c>
      <x:c r="J121" s="24" t="n">
        <x:v>136.87617360334843</x:v>
      </x:c>
      <x:c r="K121" s="24" t="n">
        <x:v>154.86813688278198</x:v>
      </x:c>
      <x:c r="L121" s="11" t="n">
        <x:v>0.540942907333374</x:v>
      </x:c>
      <x:c r="M121" s="11" t="n">
        <x:v>0.0999332070350647</x:v>
      </x:c>
    </x:row>
    <x:row r="122" ht="22" customHeight="1">
      <x:c r="A122" s="17" t="str">
        <x:f>"01658500"</x:f>
        <x:v>01658500</x:v>
      </x:c>
      <x:c r="B122" s="13" t="n">
        <x:v>42</x:v>
      </x:c>
      <x:c r="C122" s="22" t="b">
        <x:v>1</x:v>
      </x:c>
      <x:c r="D122" s="11" t="n">
        <x:v>0.0305280530204375</x:v>
      </x:c>
      <x:c r="E122" s="11" t="n">
        <x:v>0.0003843041971170333</x:v>
      </x:c>
      <x:c r="F122" s="11" t="n">
        <x:v>0.3391089141368866</x:v>
      </x:c>
      <x:c r="G122" s="13" t="n">
        <x:v>8</x:v>
      </x:c>
      <x:c r="H122" s="11" t="n">
        <x:v>1.2803186178207395</x:v>
      </x:c>
      <x:c r="I122" s="11" t="n">
        <x:v>1.2952444553375244</x:v>
      </x:c>
      <x:c r="J122" s="24" t="n">
        <x:v>139.4204491628334</x:v>
      </x:c>
      <x:c r="K122" s="24" t="n">
        <x:v>151.07858538627625</x:v>
      </x:c>
      <x:c r="L122" s="11" t="n">
        <x:v>0.3910891115665436</x:v>
      </x:c>
      <x:c r="M122" s="11" t="n">
        <x:v>0.0999393239617347</x:v>
      </x:c>
    </x:row>
    <x:row r="123" ht="22" customHeight="1">
      <x:c r="A123" s="17" t="str">
        <x:f>"01658500"</x:f>
        <x:v>01658500</x:v>
      </x:c>
      <x:c r="B123" s="13" t="n">
        <x:v>42</x:v>
      </x:c>
      <x:c r="C123" s="22" t="b">
        <x:v>0</x:v>
      </x:c>
      <x:c r="D123" s="11" t="n">
        <x:v>0.0281224148347973</x:v>
      </x:c>
      <x:c r="E123" s="11" t="n">
        <x:v>0.00018890327919499997</x:v>
      </x:c>
      <x:c r="F123" s="11" t="n">
        <x:v>0.3101736903190613</x:v>
      </x:c>
      <x:c r="G123" s="13" t="n">
        <x:v>3</x:v>
      </x:c>
      <x:c r="H123" s="11" t="n">
        <x:v>1.3604906797409058</x:v>
      </x:c>
      <x:c r="I123" s="11" t="n">
        <x:v>1.382948875427246</x:v>
      </x:c>
      <x:c r="J123" s="24" t="n">
        <x:v>135.0082064680755</x:v>
      </x:c>
      <x:c r="K123" s="24" t="n">
        <x:v>148.4547061920166</x:v>
      </x:c>
      <x:c r="L123" s="11" t="n">
        <x:v>0.6799007654190063</x:v>
      </x:c>
      <x:c r="M123" s="11" t="n">
        <x:v>0.0999332070350647</x:v>
      </x:c>
    </x:row>
    <x:row r="124" ht="22" customHeight="1">
      <x:c r="A124" s="17" t="str">
        <x:f>"01664000"</x:f>
        <x:v>01664000</x:v>
      </x:c>
      <x:c r="B124" s="13" t="n">
        <x:v>42</x:v>
      </x:c>
      <x:c r="C124" s="22" t="b">
        <x:v>1</x:v>
      </x:c>
      <x:c r="D124" s="11" t="n">
        <x:v>0.041254125535488066</x:v>
      </x:c>
      <x:c r="E124" s="11" t="n">
        <x:v>0.00048543690354556666</x:v>
      </x:c>
      <x:c r="F124" s="11" t="n">
        <x:v>0.4603960514068603</x:v>
      </x:c>
      <x:c r="G124" s="13" t="n">
        <x:v>4</x:v>
      </x:c>
      <x:c r="H124" s="11" t="n">
        <x:v>0.3088898360729217</x:v>
      </x:c>
      <x:c r="I124" s="11" t="n">
        <x:v>0.3171394467353821</x:v>
      </x:c>
      <x:c r="J124" s="24" t="n">
        <x:v>138.8172757299617</x:v>
      </x:c>
      <x:c r="K124" s="24" t="n">
        <x:v>157.46602988243103</x:v>
      </x:c>
      <x:c r="L124" s="11" t="n">
        <x:v>0.7351484894752502</x:v>
      </x:c>
      <x:c r="M124" s="11" t="n">
        <x:v>0.0999393239617347</x:v>
      </x:c>
    </x:row>
    <x:row r="125" ht="22" customHeight="1">
      <x:c r="A125" s="17" t="str">
        <x:f>"01664000"</x:f>
        <x:v>01664000</x:v>
      </x:c>
      <x:c r="B125" s="13" t="n">
        <x:v>42</x:v>
      </x:c>
      <x:c r="C125" s="22" t="b">
        <x:v>0</x:v>
      </x:c>
      <x:c r="D125" s="11" t="n">
        <x:v>0.024813896045088702</x:v>
      </x:c>
      <x:c r="E125" s="11" t="n">
        <x:v>0.0003912996423119667</x:v>
      </x:c>
      <x:c r="F125" s="11" t="n">
        <x:v>0.4466501176357269</x:v>
      </x:c>
      <x:c r="G125" s="13" t="n">
        <x:v>2</x:v>
      </x:c>
      <x:c r="H125" s="11" t="n">
        <x:v>0.3993474841117859</x:v>
      </x:c>
      <x:c r="I125" s="11" t="n">
        <x:v>0.4637919068336487</x:v>
      </x:c>
      <x:c r="J125" s="24" t="n">
        <x:v>136.0765736112371</x:v>
      </x:c>
      <x:c r="K125" s="24" t="n">
        <x:v>157.6254334449768</x:v>
      </x:c>
      <x:c r="L125" s="11" t="n">
        <x:v>0.8808932900428772</x:v>
      </x:c>
      <x:c r="M125" s="11" t="n">
        <x:v>0.0999332070350647</x:v>
      </x:c>
    </x:row>
    <x:row r="126" ht="22" customHeight="1">
      <x:c r="A126" s="17" t="str">
        <x:f>"01666500"</x:f>
        <x:v>01666500</x:v>
      </x:c>
      <x:c r="B126" s="13" t="n">
        <x:v>42</x:v>
      </x:c>
      <x:c r="C126" s="22" t="b">
        <x:v>1</x:v>
      </x:c>
      <x:c r="D126" s="11" t="n">
        <x:v>0.037128714223702695</x:v>
      </x:c>
      <x:c r="E126" s="11" t="n">
        <x:v>0.0004112729075131666</x:v>
      </x:c>
      <x:c r="F126" s="11" t="n">
        <x:v>0.3490099012851715</x:v>
      </x:c>
      <x:c r="G126" s="13" t="n">
        <x:v>3</x:v>
      </x:c>
      <x:c r="H126" s="11" t="n">
        <x:v>0.1621959060430526</x:v>
      </x:c>
      <x:c r="I126" s="11" t="n">
        <x:v>0.1729712784290313</x:v>
      </x:c>
      <x:c r="J126" s="24" t="n">
        <x:v>140.57065152097493</x:v>
      </x:c>
      <x:c r="K126" s="24" t="n">
        <x:v>156.32029604911804</x:v>
      </x:c>
      <x:c r="L126" s="11" t="n">
        <x:v>0.7475247383117676</x:v>
      </x:c>
      <x:c r="M126" s="11" t="n">
        <x:v>0.0999393239617347</x:v>
      </x:c>
    </x:row>
    <x:row r="127" ht="22" customHeight="1">
      <x:c r="A127" s="17" t="str">
        <x:f>"01666500"</x:f>
        <x:v>01666500</x:v>
      </x:c>
      <x:c r="B127" s="13" t="n">
        <x:v>42</x:v>
      </x:c>
      <x:c r="C127" s="22" t="b">
        <x:v>0</x:v>
      </x:c>
      <x:c r="D127" s="11" t="n">
        <x:v>0.0198511164635419</x:v>
      </x:c>
      <x:c r="E127" s="11" t="n">
        <x:v>0.0007421200280077334</x:v>
      </x:c>
      <x:c r="F127" s="11" t="n">
        <x:v>0.320099264383316</x:v>
      </x:c>
      <x:c r="G127" s="13" t="n">
        <x:v>7</x:v>
      </x:c>
      <x:c r="H127" s="11" t="n">
        <x:v>0.2360253036022186</x:v>
      </x:c>
      <x:c r="I127" s="11" t="n">
        <x:v>0.2647947371006012</x:v>
      </x:c>
      <x:c r="J127" s="24" t="n">
        <x:v>135.12344557605684</x:v>
      </x:c>
      <x:c r="K127" s="24" t="n">
        <x:v>146.217280626297</x:v>
      </x:c>
      <x:c r="L127" s="11" t="n">
        <x:v>0.3821339905261993</x:v>
      </x:c>
      <x:c r="M127" s="11" t="n">
        <x:v>0.0999332070350647</x:v>
      </x:c>
    </x:row>
    <x:row r="128" ht="22" customHeight="1">
      <x:c r="A128" s="17" t="str">
        <x:f>"01667500"</x:f>
        <x:v>01667500</x:v>
      </x:c>
      <x:c r="B128" s="13" t="n">
        <x:v>42</x:v>
      </x:c>
      <x:c r="C128" s="22" t="b">
        <x:v>1</x:v>
      </x:c>
      <x:c r="D128" s="11" t="n">
        <x:v>0.029702970758080437</x:v>
      </x:c>
      <x:c r="E128" s="11" t="n">
        <x:v>0.0007416396983898668</x:v>
      </x:c>
      <x:c r="F128" s="11" t="n">
        <x:v>0.2772277295589447</x:v>
      </x:c>
      <x:c r="G128" s="13" t="n">
        <x:v>4</x:v>
      </x:c>
      <x:c r="H128" s="11" t="n">
        <x:v>0.2056755274534225</x:v>
      </x:c>
      <x:c r="I128" s="11" t="n">
        <x:v>0.2062150686979293</x:v>
      </x:c>
      <x:c r="J128" s="24" t="n">
        <x:v>139.28586970828474</x:v>
      </x:c>
      <x:c r="K128" s="24" t="n">
        <x:v>151.2043902873993</x:v>
      </x:c>
      <x:c r="L128" s="11" t="n">
        <x:v>0.5321782231330872</x:v>
      </x:c>
      <x:c r="M128" s="11" t="n">
        <x:v>0.0999393239617347</x:v>
      </x:c>
    </x:row>
    <x:row r="129" ht="22" customHeight="1">
      <x:c r="A129" s="17" t="str">
        <x:f>"01667500"</x:f>
        <x:v>01667500</x:v>
      </x:c>
      <x:c r="B129" s="13" t="n">
        <x:v>42</x:v>
      </x:c>
      <x:c r="C129" s="22" t="b">
        <x:v>0</x:v>
      </x:c>
      <x:c r="D129" s="11" t="n">
        <x:v>0.0181968566030263</x:v>
      </x:c>
      <x:c r="E129" s="11" t="n">
        <x:v>0.0005194840099041</x:v>
      </x:c>
      <x:c r="F129" s="11" t="n">
        <x:v>0.3399503827095032</x:v>
      </x:c>
      <x:c r="G129" s="13" t="n">
        <x:v>7</x:v>
      </x:c>
      <x:c r="H129" s="11" t="n">
        <x:v>0.2694372534751892</x:v>
      </x:c>
      <x:c r="I129" s="11" t="n">
        <x:v>0.2921232879161834</x:v>
      </x:c>
      <x:c r="J129" s="24" t="n">
        <x:v>142.1916019655764</x:v>
      </x:c>
      <x:c r="K129" s="24" t="n">
        <x:v>154.3647632598877</x:v>
      </x:c>
      <x:c r="L129" s="11" t="n">
        <x:v>0.4516128897666931</x:v>
      </x:c>
      <x:c r="M129" s="11" t="n">
        <x:v>0.0999332070350647</x:v>
      </x:c>
    </x:row>
    <x:row r="130" ht="22" customHeight="1">
      <x:c r="A130" s="17" t="str">
        <x:f>"01669000"</x:f>
        <x:v>01669000</x:v>
      </x:c>
      <x:c r="B130" s="13" t="n">
        <x:v>42</x:v>
      </x:c>
      <x:c r="C130" s="22" t="b">
        <x:v>1</x:v>
      </x:c>
      <x:c r="D130" s="11" t="n">
        <x:v>0.020627062457303166</x:v>
      </x:c>
      <x:c r="E130" s="11" t="n">
        <x:v>0.0005933117645326333</x:v>
      </x:c>
      <x:c r="F130" s="11" t="n">
        <x:v>0.3118811845779419</x:v>
      </x:c>
      <x:c r="G130" s="13" t="n">
        <x:v>10</x:v>
      </x:c>
      <x:c r="H130" s="11" t="n">
        <x:v>0.2917810082435608</x:v>
      </x:c>
      <x:c r="I130" s="11" t="n">
        <x:v>0.2917810082435608</x:v>
      </x:c>
      <x:c r="J130" s="24" t="n">
        <x:v>136.07089391443878</x:v>
      </x:c>
      <x:c r="K130" s="24" t="n">
        <x:v>148.4227738380432</x:v>
      </x:c>
      <x:c r="L130" s="11" t="n">
        <x:v>0.3118811845779419</x:v>
      </x:c>
      <x:c r="M130" s="11" t="n">
        <x:v>0.0999393239617347</x:v>
      </x:c>
    </x:row>
    <x:row r="131" ht="22" customHeight="1">
      <x:c r="A131" s="17" t="str">
        <x:f>"01669000"</x:f>
        <x:v>01669000</x:v>
      </x:c>
      <x:c r="B131" s="13" t="n">
        <x:v>42</x:v>
      </x:c>
      <x:c r="C131" s="22" t="b">
        <x:v>0</x:v>
      </x:c>
      <x:c r="D131" s="11" t="n">
        <x:v>0.0256410259753465</x:v>
      </x:c>
      <x:c r="E131" s="11" t="n">
        <x:v>0.0005936960321074666</x:v>
      </x:c>
      <x:c r="F131" s="11" t="n">
        <x:v>0.3846153914928436</x:v>
      </x:c>
      <x:c r="G131" s="13" t="n">
        <x:v>5</x:v>
      </x:c>
      <x:c r="H131" s="11" t="n">
        <x:v>0.650454044342041</x:v>
      </x:c>
      <x:c r="I131" s="11" t="n">
        <x:v>0.6945058107376099</x:v>
      </x:c>
      <x:c r="J131" s="24" t="n">
        <x:v>135.0860736882314</x:v>
      </x:c>
      <x:c r="K131" s="24" t="n">
        <x:v>148.30406069755554</x:v>
      </x:c>
      <x:c r="L131" s="11" t="n">
        <x:v>0.6129032373428345</x:v>
      </x:c>
      <x:c r="M131" s="11" t="n">
        <x:v>0.0999332070350647</x:v>
      </x:c>
    </x:row>
    <x:row r="132" ht="22" customHeight="1">
      <x:c r="A132" s="17" t="str">
        <x:f>"02011400"</x:f>
        <x:v>02011400</x:v>
      </x:c>
      <x:c r="B132" s="13" t="n">
        <x:v>42</x:v>
      </x:c>
      <x:c r="C132" s="22" t="b">
        <x:v>1</x:v>
      </x:c>
      <x:c r="D132" s="11" t="n">
        <x:v>0.03465346557398633</x:v>
      </x:c>
      <x:c r="E132" s="11" t="n">
        <x:v>0.0004247572845390666</x:v>
      </x:c>
      <x:c r="F132" s="11" t="n">
        <x:v>0.4455445408821106</x:v>
      </x:c>
      <x:c r="G132" s="13" t="n">
        <x:v>5</x:v>
      </x:c>
      <x:c r="H132" s="11" t="n">
        <x:v>0.270952045917511</x:v>
      </x:c>
      <x:c r="I132" s="11" t="n">
        <x:v>0.2723498046398163</x:v>
      </x:c>
      <x:c r="J132" s="24" t="n">
        <x:v>135.60301545262337</x:v>
      </x:c>
      <x:c r="K132" s="24" t="n">
        <x:v>150.8714621067047</x:v>
      </x:c>
      <x:c r="L132" s="11" t="n">
        <x:v>0.646039605140686</x:v>
      </x:c>
      <x:c r="M132" s="11" t="n">
        <x:v>0.0999393239617347</x:v>
      </x:c>
    </x:row>
    <x:row r="133" ht="22" customHeight="1">
      <x:c r="A133" s="17" t="str">
        <x:f>"02011400"</x:f>
        <x:v>02011400</x:v>
      </x:c>
      <x:c r="B133" s="13" t="n">
        <x:v>42</x:v>
      </x:c>
      <x:c r="C133" s="22" t="b">
        <x:v>0</x:v>
      </x:c>
      <x:c r="D133" s="11" t="n">
        <x:v>0.03887510361770783</x:v>
      </x:c>
      <x:c r="E133" s="11" t="n">
        <x:v>0.0002766083804696</x:v>
      </x:c>
      <x:c r="F133" s="11" t="n">
        <x:v>0.5062034726142883</x:v>
      </x:c>
      <x:c r="G133" s="13" t="n">
        <x:v>8</x:v>
      </x:c>
      <x:c r="H133" s="11" t="n">
        <x:v>0.3750336766242981</x:v>
      </x:c>
      <x:c r="I133" s="11" t="n">
        <x:v>0.3792514204978943</x:v>
      </x:c>
      <x:c r="J133" s="24" t="n">
        <x:v>135.3338039983064</x:v>
      </x:c>
      <x:c r="K133" s="24" t="n">
        <x:v>158.28715062141418</x:v>
      </x:c>
      <x:c r="L133" s="11" t="n">
        <x:v>0.593052089214325</x:v>
      </x:c>
      <x:c r="M133" s="11" t="n">
        <x:v>0.0999332070350647</x:v>
      </x:c>
    </x:row>
    <x:row r="134" ht="22" customHeight="1">
      <x:c r="A134" s="17" t="str">
        <x:f>"02011460"</x:f>
        <x:v>02011460</x:v>
      </x:c>
      <x:c r="B134" s="13" t="n">
        <x:v>42</x:v>
      </x:c>
      <x:c r="C134" s="22" t="b">
        <x:v>1</x:v>
      </x:c>
      <x:c r="D134" s="11" t="n">
        <x:v>0.029702971378962134</x:v>
      </x:c>
      <x:c r="E134" s="11" t="n">
        <x:v>0.00028991369860396665</x:v>
      </x:c>
      <x:c r="F134" s="11" t="n">
        <x:v>0.4257425665855407</x:v>
      </x:c>
      <x:c r="G134" s="13" t="n">
        <x:v>1</x:v>
      </x:c>
      <x:c r="H134" s="11" t="n">
        <x:v>0.3829791843891144</x:v>
      </x:c>
      <x:c r="I134" s="11" t="n">
        <x:v>0.4036477208137512</x:v>
      </x:c>
      <x:c r="J134" s="24" t="n">
        <x:v>136.1134801330045</x:v>
      </x:c>
      <x:c r="K134" s="24" t="n">
        <x:v>155.73131465911865</x:v>
      </x:c>
      <x:c r="L134" s="11" t="n">
        <x:v>0.9603960514068604</x:v>
      </x:c>
      <x:c r="M134" s="11" t="n">
        <x:v>0.0999393239617347</x:v>
      </x:c>
    </x:row>
    <x:row r="135" ht="22" customHeight="1">
      <x:c r="A135" s="17" t="str">
        <x:f>"02011460"</x:f>
        <x:v>02011460</x:v>
      </x:c>
      <x:c r="B135" s="13" t="n">
        <x:v>42</x:v>
      </x:c>
      <x:c r="C135" s="22" t="b">
        <x:v>0</x:v>
      </x:c>
      <x:c r="D135" s="11" t="n">
        <x:v>0.023159636029352667</x:v>
      </x:c>
      <x:c r="E135" s="11" t="n">
        <x:v>0.00030359455558933335</x:v>
      </x:c>
      <x:c r="F135" s="11" t="n">
        <x:v>0.4863523542881012</x:v>
      </x:c>
      <x:c r="G135" s="13" t="n">
        <x:v>2</x:v>
      </x:c>
      <x:c r="H135" s="11" t="n">
        <x:v>0.4917400777339935</x:v>
      </x:c>
      <x:c r="I135" s="11" t="n">
        <x:v>0.5050870776176453</x:v>
      </x:c>
      <x:c r="J135" s="24" t="n">
        <x:v>136.4606818081811</x:v>
      </x:c>
      <x:c r="K135" s="24" t="n">
        <x:v>156.69377303123474</x:v>
      </x:c>
      <x:c r="L135" s="11" t="n">
        <x:v>0.9131513833999634</x:v>
      </x:c>
      <x:c r="M135" s="11" t="n">
        <x:v>0.0999332070350647</x:v>
      </x:c>
    </x:row>
    <x:row r="136" ht="22" customHeight="1">
      <x:c r="A136" s="17" t="str">
        <x:f>"02013000"</x:f>
        <x:v>02013000</x:v>
      </x:c>
      <x:c r="B136" s="13" t="n">
        <x:v>42</x:v>
      </x:c>
      <x:c r="C136" s="22" t="b">
        <x:v>1</x:v>
      </x:c>
      <x:c r="D136" s="11" t="n">
        <x:v>0.02227722791333987</x:v>
      </x:c>
      <x:c r="E136" s="11" t="n">
        <x:v>0.00041127292206503334</x:v>
      </x:c>
      <x:c r="F136" s="11" t="n">
        <x:v>0.3836633563041687</x:v>
      </x:c>
      <x:c r="G136" s="13" t="n">
        <x:v>8</x:v>
      </x:c>
      <x:c r="H136" s="11" t="n">
        <x:v>0.3089872896671295</x:v>
      </x:c>
      <x:c r="I136" s="11" t="n">
        <x:v>0.3195867538452148</x:v>
      </x:c>
      <x:c r="J136" s="24" t="n">
        <x:v>140.19426440261304</x:v>
      </x:c>
      <x:c r="K136" s="24" t="n">
        <x:v>153.4193775653839</x:v>
      </x:c>
      <x:c r="L136" s="11" t="n">
        <x:v>0.4628712832927704</x:v>
      </x:c>
      <x:c r="M136" s="11" t="n">
        <x:v>0.0999393239617347</x:v>
      </x:c>
    </x:row>
    <x:row r="137" ht="22" customHeight="1">
      <x:c r="A137" s="17" t="str">
        <x:f>"02013000"</x:f>
        <x:v>02013000</x:v>
      </x:c>
      <x:c r="B137" s="13" t="n">
        <x:v>42</x:v>
      </x:c>
      <x:c r="C137" s="22" t="b">
        <x:v>0</x:v>
      </x:c>
      <x:c r="D137" s="11" t="n">
        <x:v>0.0463192723691463</x:v>
      </x:c>
      <x:c r="E137" s="11" t="n">
        <x:v>0.0003710600140038333</x:v>
      </x:c>
      <x:c r="F137" s="11" t="n">
        <x:v>0.5459057092666626</x:v>
      </x:c>
      <x:c r="G137" s="13" t="n">
        <x:v>7</x:v>
      </x:c>
      <x:c r="H137" s="11" t="n">
        <x:v>0.3886836469173431</x:v>
      </x:c>
      <x:c r="I137" s="11" t="n">
        <x:v>0.4033432602882385</x:v>
      </x:c>
      <x:c r="J137" s="24" t="n">
        <x:v>135.02831073198467</x:v>
      </x:c>
      <x:c r="K137" s="24" t="n">
        <x:v>150.737562417984</x:v>
      </x:c>
      <x:c r="L137" s="11" t="n">
        <x:v>0.6476426720619202</x:v>
      </x:c>
      <x:c r="M137" s="11" t="n">
        <x:v>0.0999332070350647</x:v>
      </x:c>
    </x:row>
    <x:row r="138" ht="22" customHeight="1">
      <x:c r="A138" s="17" t="str">
        <x:f>"02014000"</x:f>
        <x:v>02014000</x:v>
      </x:c>
      <x:c r="B138" s="13" t="n">
        <x:v>42</x:v>
      </x:c>
      <x:c r="C138" s="22" t="b">
        <x:v>1</x:v>
      </x:c>
      <x:c r="D138" s="11" t="n">
        <x:v>0.02227722791333987</x:v>
      </x:c>
      <x:c r="E138" s="11" t="n">
        <x:v>0.0002966558774156667</x:v>
      </x:c>
      <x:c r="F138" s="11" t="n">
        <x:v>0.4059405922889709</x:v>
      </x:c>
      <x:c r="G138" s="13" t="n">
        <x:v>10</x:v>
      </x:c>
      <x:c r="H138" s="11" t="n">
        <x:v>0.3999519646167755</x:v>
      </x:c>
      <x:c r="I138" s="11" t="n">
        <x:v>0.3999519646167755</x:v>
      </x:c>
      <x:c r="J138" s="24" t="n">
        <x:v>139.4762820834294</x:v>
      </x:c>
      <x:c r="K138" s="24" t="n">
        <x:v>151.1511106491089</x:v>
      </x:c>
      <x:c r="L138" s="11" t="n">
        <x:v>0.4059405922889709</x:v>
      </x:c>
      <x:c r="M138" s="11" t="n">
        <x:v>0.0999393239617347</x:v>
      </x:c>
    </x:row>
    <x:row r="139" ht="22" customHeight="1">
      <x:c r="A139" s="17" t="str">
        <x:f>"02014000"</x:f>
        <x:v>02014000</x:v>
      </x:c>
      <x:c r="B139" s="13" t="n">
        <x:v>42</x:v>
      </x:c>
      <x:c r="C139" s="22" t="b">
        <x:v>0</x:v>
      </x:c>
      <x:c r="D139" s="11" t="n">
        <x:v>0.0380479730665683</x:v>
      </x:c>
      <x:c r="E139" s="11" t="n">
        <x:v>0.00029010146681679997</x:v>
      </x:c>
      <x:c r="F139" s="11" t="n">
        <x:v>0.5955334901809692</x:v>
      </x:c>
      <x:c r="G139" s="13" t="n">
        <x:v>5</x:v>
      </x:c>
      <x:c r="H139" s="11" t="n">
        <x:v>0.5949548482894897</x:v>
      </x:c>
      <x:c r="I139" s="11" t="n">
        <x:v>0.6209882497787476</x:v>
      </x:c>
      <x:c r="J139" s="24" t="n">
        <x:v>134.94552676938474</x:v>
      </x:c>
      <x:c r="K139" s="24" t="n">
        <x:v>161.4083902835846</x:v>
      </x:c>
      <x:c r="L139" s="11" t="n">
        <x:v>0.766749382019043</x:v>
      </x:c>
      <x:c r="M139" s="11" t="n">
        <x:v>0.0999332070350647</x:v>
      </x:c>
    </x:row>
    <x:row r="140" ht="22" customHeight="1">
      <x:c r="A140" s="17" t="str">
        <x:f>"02015700"</x:f>
        <x:v>02015700</x:v>
      </x:c>
      <x:c r="B140" s="13" t="n">
        <x:v>42</x:v>
      </x:c>
      <x:c r="C140" s="22" t="b">
        <x:v>1</x:v>
      </x:c>
      <x:c r="D140" s="11" t="n">
        <x:v>0.03300330167015386</x:v>
      </x:c>
      <x:c r="E140" s="11" t="n">
        <x:v>0.00046521036225986666</x:v>
      </x:c>
      <x:c r="F140" s="11" t="n">
        <x:v>0.344059407711029</x:v>
      </x:c>
      <x:c r="G140" s="13" t="n">
        <x:v>3</x:v>
      </x:c>
      <x:c r="H140" s="11" t="n">
        <x:v>0.3054171800613403</x:v>
      </x:c>
      <x:c r="I140" s="11" t="n">
        <x:v>0.3151593208312988</x:v>
      </x:c>
      <x:c r="J140" s="24" t="n">
        <x:v>141.58455720730126</x:v>
      </x:c>
      <x:c r="K140" s="24" t="n">
        <x:v>154.04307985305786</x:v>
      </x:c>
      <x:c r="L140" s="11" t="n">
        <x:v>0.6930692791938782</x:v>
      </x:c>
      <x:c r="M140" s="11" t="n">
        <x:v>0.0999393239617347</x:v>
      </x:c>
    </x:row>
    <x:row r="141" ht="22" customHeight="1">
      <x:c r="A141" s="17" t="str">
        <x:f>"02015700"</x:f>
        <x:v>02015700</x:v>
      </x:c>
      <x:c r="B141" s="13" t="n">
        <x:v>42</x:v>
      </x:c>
      <x:c r="C141" s="22" t="b">
        <x:v>0</x:v>
      </x:c>
      <x:c r="D141" s="11" t="n">
        <x:v>0.03060380493601157</x:v>
      </x:c>
      <x:c r="E141" s="11" t="n">
        <x:v>0.0004924978372097333</x:v>
      </x:c>
      <x:c r="F141" s="11" t="n">
        <x:v>0.4913151264190674</x:v>
      </x:c>
      <x:c r="G141" s="13" t="n">
        <x:v>10</x:v>
      </x:c>
      <x:c r="H141" s="11" t="n">
        <x:v>0.4163845181465149</x:v>
      </x:c>
      <x:c r="I141" s="11" t="n">
        <x:v>0.4163845181465149</x:v>
      </x:c>
      <x:c r="J141" s="24" t="n">
        <x:v>135.66330959368497</x:v>
      </x:c>
      <x:c r="K141" s="24" t="n">
        <x:v>152.6985809803009</x:v>
      </x:c>
      <x:c r="L141" s="11" t="n">
        <x:v>0.4913151264190674</x:v>
      </x:c>
      <x:c r="M141" s="11" t="n">
        <x:v>0.0999332070350647</x:v>
      </x:c>
    </x:row>
    <x:row r="142" ht="22" customHeight="1">
      <x:c r="A142" s="17" t="str">
        <x:f>"02016000"</x:f>
        <x:v>02016000</x:v>
      </x:c>
      <x:c r="B142" s="13" t="n">
        <x:v>42</x:v>
      </x:c>
      <x:c r="C142" s="22" t="b">
        <x:v>1</x:v>
      </x:c>
      <x:c r="D142" s="11" t="n">
        <x:v>0.03300329980750873</x:v>
      </x:c>
      <x:c r="E142" s="11" t="n">
        <x:v>0.00029665587256499996</x:v>
      </x:c>
      <x:c r="F142" s="11" t="n">
        <x:v>0.4826732575893402</x:v>
      </x:c>
      <x:c r="G142" s="13" t="n">
        <x:v>10</x:v>
      </x:c>
      <x:c r="H142" s="11" t="n">
        <x:v>0.3974423110485077</x:v>
      </x:c>
      <x:c r="I142" s="11" t="n">
        <x:v>0.3974423110485077</x:v>
      </x:c>
      <x:c r="J142" s="24" t="n">
        <x:v>141.2539536403492</x:v>
      </x:c>
      <x:c r="K142" s="24" t="n">
        <x:v>162.19540977478027</x:v>
      </x:c>
      <x:c r="L142" s="11" t="n">
        <x:v>0.4826732575893402</x:v>
      </x:c>
      <x:c r="M142" s="11" t="n">
        <x:v>0.0999393239617347</x:v>
      </x:c>
    </x:row>
    <x:row r="143" ht="22" customHeight="1">
      <x:c r="A143" s="17" t="str">
        <x:f>"02016000"</x:f>
        <x:v>02016000</x:v>
      </x:c>
      <x:c r="B143" s="13" t="n">
        <x:v>42</x:v>
      </x:c>
      <x:c r="C143" s="22" t="b">
        <x:v>0</x:v>
      </x:c>
      <x:c r="D143" s="11" t="n">
        <x:v>0.03060380493601157</x:v>
      </x:c>
      <x:c r="E143" s="11" t="n">
        <x:v>0.0004317789280320667</x:v>
      </x:c>
      <x:c r="F143" s="11" t="n">
        <x:v>0.503722071647644</x:v>
      </x:c>
      <x:c r="G143" s="13" t="n">
        <x:v>6</x:v>
      </x:c>
      <x:c r="H143" s="11" t="n">
        <x:v>0.4980896711349487</x:v>
      </x:c>
      <x:c r="I143" s="11" t="n">
        <x:v>0.5111073851585388</x:v>
      </x:c>
      <x:c r="J143" s="24" t="n">
        <x:v>143.85031786747277</x:v>
      </x:c>
      <x:c r="K143" s="24" t="n">
        <x:v>163.6311104297638</x:v>
      </x:c>
      <x:c r="L143" s="11" t="n">
        <x:v>0.6650124192237854</x:v>
      </x:c>
      <x:c r="M143" s="11" t="n">
        <x:v>0.0999332070350647</x:v>
      </x:c>
    </x:row>
    <x:row r="144" ht="22" customHeight="1">
      <x:c r="A144" s="17" t="str">
        <x:f>"02017500"</x:f>
        <x:v>02017500</x:v>
      </x:c>
      <x:c r="B144" s="13" t="n">
        <x:v>42</x:v>
      </x:c>
      <x:c r="C144" s="22" t="b">
        <x:v>1</x:v>
      </x:c>
      <x:c r="D144" s="11" t="n">
        <x:v>0.018151815670231934</x:v>
      </x:c>
      <x:c r="E144" s="11" t="n">
        <x:v>0.0004112729317663334</x:v>
      </x:c>
      <x:c r="F144" s="11" t="n">
        <x:v>0.3267326653003692</x:v>
      </x:c>
      <x:c r="G144" s="13" t="n">
        <x:v>8</x:v>
      </x:c>
      <x:c r="H144" s="11" t="n">
        <x:v>0.3416211009025574</x:v>
      </x:c>
      <x:c r="I144" s="11" t="n">
        <x:v>0.3477267622947693</x:v>
      </x:c>
      <x:c r="J144" s="24" t="n">
        <x:v>139.61073298286647</x:v>
      </x:c>
      <x:c r="K144" s="24" t="n">
        <x:v>152.31672143936157</x:v>
      </x:c>
      <x:c r="L144" s="11" t="n">
        <x:v>0.3737623691558838</x:v>
      </x:c>
      <x:c r="M144" s="11" t="n">
        <x:v>0.0999393239617347</x:v>
      </x:c>
    </x:row>
    <x:row r="145" ht="22" customHeight="1">
      <x:c r="A145" s="17" t="str">
        <x:f>"02017500"</x:f>
        <x:v>02017500</x:v>
      </x:c>
      <x:c r="B145" s="13" t="n">
        <x:v>42</x:v>
      </x:c>
      <x:c r="C145" s="22" t="b">
        <x:v>0</x:v>
      </x:c>
      <x:c r="D145" s="11" t="n">
        <x:v>0.0380479730665683</x:v>
      </x:c>
      <x:c r="E145" s="11" t="n">
        <x:v>0.00033058074768626666</x:v>
      </x:c>
      <x:c r="F145" s="11" t="n">
        <x:v>0.5533498525619507</x:v>
      </x:c>
      <x:c r="G145" s="13" t="n">
        <x:v>6</x:v>
      </x:c>
      <x:c r="H145" s="11" t="n">
        <x:v>0.4654159545898437</x:v>
      </x:c>
      <x:c r="I145" s="11" t="n">
        <x:v>0.491379827260971</x:v>
      </x:c>
      <x:c r="J145" s="24" t="n">
        <x:v>136.3220697492361</x:v>
      </x:c>
      <x:c r="K145" s="24" t="n">
        <x:v>157.5418450832367</x:v>
      </x:c>
      <x:c r="L145" s="11" t="n">
        <x:v>0.6724565625190735</x:v>
      </x:c>
      <x:c r="M145" s="11" t="n">
        <x:v>0.0999332070350647</x:v>
      </x:c>
    </x:row>
    <x:row r="146" ht="22" customHeight="1">
      <x:c r="A146" s="17" t="str">
        <x:f>"02018000"</x:f>
        <x:v>02018000</x:v>
      </x:c>
      <x:c r="B146" s="13" t="n">
        <x:v>42</x:v>
      </x:c>
      <x:c r="C146" s="22" t="b">
        <x:v>1</x:v>
      </x:c>
      <x:c r="D146" s="11" t="n">
        <x:v>0.06023102377851797</x:v>
      </x:c>
      <x:c r="E146" s="11" t="n">
        <x:v>0.0005056634351300334</x:v>
      </x:c>
      <x:c r="F146" s="11" t="n">
        <x:v>0.4381188154220581</x:v>
      </x:c>
      <x:c r="G146" s="13" t="n">
        <x:v>7</x:v>
      </x:c>
      <x:c r="H146" s="11" t="n">
        <x:v>0.2126519531011581</x:v>
      </x:c>
      <x:c r="I146" s="11" t="n">
        <x:v>0.2256018370389938</x:v>
      </x:c>
      <x:c r="J146" s="24" t="n">
        <x:v>136.55420202296227</x:v>
      </x:c>
      <x:c r="K146" s="24" t="n">
        <x:v>159.06756114959717</x:v>
      </x:c>
      <x:c r="L146" s="11" t="n">
        <x:v>0.5544554591178894</x:v>
      </x:c>
      <x:c r="M146" s="11" t="n">
        <x:v>0.0999393239617347</x:v>
      </x:c>
    </x:row>
    <x:row r="147" ht="22" customHeight="1">
      <x:c r="A147" s="17" t="str">
        <x:f>"02018000"</x:f>
        <x:v>02018000</x:v>
      </x:c>
      <x:c r="B147" s="13" t="n">
        <x:v>42</x:v>
      </x:c>
      <x:c r="C147" s="22" t="b">
        <x:v>0</x:v>
      </x:c>
      <x:c r="D147" s="11" t="n">
        <x:v>0.0421836227178573</x:v>
      </x:c>
      <x:c r="E147" s="11" t="n">
        <x:v>0.0004924978420603667</x:v>
      </x:c>
      <x:c r="F147" s="11" t="n">
        <x:v>0.5632754564285278</x:v>
      </x:c>
      <x:c r="G147" s="13" t="n">
        <x:v>6</x:v>
      </x:c>
      <x:c r="H147" s="11" t="n">
        <x:v>0.3093837201595306</x:v>
      </x:c>
      <x:c r="I147" s="11" t="n">
        <x:v>0.3132207095623016</x:v>
      </x:c>
      <x:c r="J147" s="24" t="n">
        <x:v>136.66771211940795</x:v>
      </x:c>
      <x:c r="K147" s="24" t="n">
        <x:v>159.33311700820923</x:v>
      </x:c>
      <x:c r="L147" s="11" t="n">
        <x:v>0.714640200138092</x:v>
      </x:c>
      <x:c r="M147" s="11" t="n">
        <x:v>0.0999332070350647</x:v>
      </x:c>
    </x:row>
    <x:row r="148" ht="22" customHeight="1">
      <x:c r="A148" s="17" t="str">
        <x:f>"02027000"</x:f>
        <x:v>02027000</x:v>
      </x:c>
      <x:c r="B148" s="13" t="n">
        <x:v>42</x:v>
      </x:c>
      <x:c r="C148" s="22" t="b">
        <x:v>1</x:v>
      </x:c>
      <x:c r="D148" s="11" t="n">
        <x:v>0.02970297013719873</x:v>
      </x:c>
      <x:c r="E148" s="11" t="n">
        <x:v>0.00027642934098056666</x:v>
      </x:c>
      <x:c r="F148" s="11" t="n">
        <x:v>0.4381188154220581</x:v>
      </x:c>
      <x:c r="G148" s="13" t="n">
        <x:v>2</x:v>
      </x:c>
      <x:c r="H148" s="11" t="n">
        <x:v>0.4020978808403015</x:v>
      </x:c>
      <x:c r="I148" s="11" t="n">
        <x:v>0.4023778140544891</x:v>
      </x:c>
      <x:c r="J148" s="24" t="n">
        <x:v>137.9475015187636</x:v>
      </x:c>
      <x:c r="K148" s="24" t="n">
        <x:v>158.76905727386475</x:v>
      </x:c>
      <x:c r="L148" s="11" t="n">
        <x:v>0.905940592288971</x:v>
      </x:c>
      <x:c r="M148" s="11" t="n">
        <x:v>0.0999393239617347</x:v>
      </x:c>
    </x:row>
    <x:row r="149" ht="22" customHeight="1">
      <x:c r="A149" s="17" t="str">
        <x:f>"02027000"</x:f>
        <x:v>02027000</x:v>
      </x:c>
      <x:c r="B149" s="13" t="n">
        <x:v>42</x:v>
      </x:c>
      <x:c r="C149" s="22" t="b">
        <x:v>0</x:v>
      </x:c>
      <x:c r="D149" s="11" t="n">
        <x:v>0.0372208431363105</x:v>
      </x:c>
      <x:c r="E149" s="11" t="n">
        <x:v>0.0005127374703685</x:v>
      </x:c>
      <x:c r="F149" s="11" t="n">
        <x:v>0.4143920540809631</x:v>
      </x:c>
      <x:c r="G149" s="13" t="n">
        <x:v>2</x:v>
      </x:c>
      <x:c r="H149" s="11" t="n">
        <x:v>0.5435959100723267</x:v>
      </x:c>
      <x:c r="I149" s="11" t="n">
        <x:v>0.6150521039962769</x:v>
      </x:c>
      <x:c r="J149" s="24" t="n">
        <x:v>135.60871838591993</x:v>
      </x:c>
      <x:c r="K149" s="24" t="n">
        <x:v>158.47240948677063</x:v>
      </x:c>
      <x:c r="L149" s="11" t="n">
        <x:v>0.8461538553237915</x:v>
      </x:c>
      <x:c r="M149" s="11" t="n">
        <x:v>0.0999332070350647</x:v>
      </x:c>
    </x:row>
    <x:row r="150" ht="22" customHeight="1">
      <x:c r="A150" s="17" t="str">
        <x:f>"02027500"</x:f>
        <x:v>02027500</x:v>
      </x:c>
      <x:c r="B150" s="13" t="n">
        <x:v>42</x:v>
      </x:c>
      <x:c r="C150" s="22" t="b">
        <x:v>1</x:v>
      </x:c>
      <x:c r="D150" s="11" t="n">
        <x:v>0.03217821816603337</x:v>
      </x:c>
      <x:c r="E150" s="11" t="n">
        <x:v>0.0002629449785065667</x:v>
      </x:c>
      <x:c r="F150" s="11" t="n">
        <x:v>0.3811881244182586</x:v>
      </x:c>
      <x:c r="G150" s="13" t="n">
        <x:v>8</x:v>
      </x:c>
      <x:c r="H150" s="11" t="n">
        <x:v>0.2066523730754852</x:v>
      </x:c>
      <x:c r="I150" s="11" t="n">
        <x:v>0.2114567011594772</x:v>
      </x:c>
      <x:c r="J150" s="24" t="n">
        <x:v>140.60238812770694</x:v>
      </x:c>
      <x:c r="K150" s="24" t="n">
        <x:v>153.90819001197815</x:v>
      </x:c>
      <x:c r="L150" s="11" t="n">
        <x:v>0.4653465449810028</x:v>
      </x:c>
      <x:c r="M150" s="11" t="n">
        <x:v>0.0999393239617347</x:v>
      </x:c>
    </x:row>
    <x:row r="151" ht="22" customHeight="1">
      <x:c r="A151" s="17" t="str">
        <x:f>"02027500"</x:f>
        <x:v>02027500</x:v>
      </x:c>
      <x:c r="B151" s="13" t="n">
        <x:v>42</x:v>
      </x:c>
      <x:c r="C151" s="22" t="b">
        <x:v>0</x:v>
      </x:c>
      <x:c r="D151" s="11" t="n">
        <x:v>0.04301075326899683</x:v>
      </x:c>
      <x:c r="E151" s="11" t="n">
        <x:v>0.0003508203759944</x:v>
      </x:c>
      <x:c r="F151" s="11" t="n">
        <x:v>0.4764268100261688</x:v>
      </x:c>
      <x:c r="G151" s="13" t="n">
        <x:v>9</x:v>
      </x:c>
      <x:c r="H151" s="11" t="n">
        <x:v>0.3058387339115143</x:v>
      </x:c>
      <x:c r="I151" s="11" t="n">
        <x:v>0.3520704805850982</x:v>
      </x:c>
      <x:c r="J151" s="24" t="n">
        <x:v>138.5062254946679</x:v>
      </x:c>
      <x:c r="K151" s="24" t="n">
        <x:v>157.19722151756287</x:v>
      </x:c>
      <x:c r="L151" s="11" t="n">
        <x:v>0.4962779283523559</x:v>
      </x:c>
      <x:c r="M151" s="11" t="n">
        <x:v>0.0999332070350647</x:v>
      </x:c>
    </x:row>
    <x:row r="152" ht="22" customHeight="1">
      <x:c r="A152" s="17" t="str">
        <x:f>"02028500"</x:f>
        <x:v>02028500</x:v>
      </x:c>
      <x:c r="B152" s="13" t="n">
        <x:v>42</x:v>
      </x:c>
      <x:c r="C152" s="22" t="b">
        <x:v>1</x:v>
      </x:c>
      <x:c r="D152" s="11" t="n">
        <x:v>0.028052805612484567</x:v>
      </x:c>
      <x:c r="E152" s="11" t="n">
        <x:v>0.0003438511339481333</x:v>
      </x:c>
      <x:c r="F152" s="11" t="n">
        <x:v>0.4282178282737732</x:v>
      </x:c>
      <x:c r="G152" s="13" t="n">
        <x:v>8</x:v>
      </x:c>
      <x:c r="H152" s="11" t="n">
        <x:v>0.2583310008049011</x:v>
      </x:c>
      <x:c r="I152" s="11" t="n">
        <x:v>0.2610116302967071</x:v>
      </x:c>
      <x:c r="J152" s="24" t="n">
        <x:v>142.8595243766904</x:v>
      </x:c>
      <x:c r="K152" s="24" t="n">
        <x:v>155.12000465393066</x:v>
      </x:c>
      <x:c r="L152" s="11" t="n">
        <x:v>0.4851485192775726</x:v>
      </x:c>
      <x:c r="M152" s="11" t="n">
        <x:v>0.0999393239617347</x:v>
      </x:c>
    </x:row>
    <x:row r="153" ht="22" customHeight="1">
      <x:c r="A153" s="17" t="str">
        <x:f>"02028500"</x:f>
        <x:v>02028500</x:v>
      </x:c>
      <x:c r="B153" s="13" t="n">
        <x:v>42</x:v>
      </x:c>
      <x:c r="C153" s="22" t="b">
        <x:v>0</x:v>
      </x:c>
      <x:c r="D153" s="11" t="n">
        <x:v>0.03887510361770783</x:v>
      </x:c>
      <x:c r="E153" s="11" t="n">
        <x:v>0.00045876511527843337</x:v>
      </x:c>
      <x:c r="F153" s="11" t="n">
        <x:v>0.4218362271785736</x:v>
      </x:c>
      <x:c r="G153" s="13" t="n">
        <x:v>2</x:v>
      </x:c>
      <x:c r="H153" s="11" t="n">
        <x:v>0.3934917151927948</x:v>
      </x:c>
      <x:c r="I153" s="11" t="n">
        <x:v>0.4444978535175323</x:v>
      </x:c>
      <x:c r="J153" s="24" t="n">
        <x:v>140.16818545013666</x:v>
      </x:c>
      <x:c r="K153" s="24" t="n">
        <x:v>160.7161340713501</x:v>
      </x:c>
      <x:c r="L153" s="11" t="n">
        <x:v>0.8411910533905029</x:v>
      </x:c>
      <x:c r="M153" s="11" t="n">
        <x:v>0.0999332070350647</x:v>
      </x:c>
    </x:row>
    <x:row r="154" ht="22" customHeight="1">
      <x:c r="A154" s="17" t="str">
        <x:f>"02038850"</x:f>
        <x:v>02038850</x:v>
      </x:c>
      <x:c r="B154" s="13" t="n">
        <x:v>42</x:v>
      </x:c>
      <x:c r="C154" s="22" t="b">
        <x:v>1</x:v>
      </x:c>
      <x:c r="D154" s="11" t="n">
        <x:v>0.02970297013719873</x:v>
      </x:c>
      <x:c r="E154" s="11" t="n">
        <x:v>0.0006674757266106334</x:v>
      </x:c>
      <x:c r="F154" s="11" t="n">
        <x:v>0.3638613820075989</x:v>
      </x:c>
      <x:c r="G154" s="13" t="n">
        <x:v>10</x:v>
      </x:c>
      <x:c r="H154" s="11" t="n">
        <x:v>0.4684894979000091</x:v>
      </x:c>
      <x:c r="I154" s="11" t="n">
        <x:v>0.4684894979000091</x:v>
      </x:c>
      <x:c r="J154" s="24" t="n">
        <x:v>138.4084363738075</x:v>
      </x:c>
      <x:c r="K154" s="24" t="n">
        <x:v>147.46348309516907</x:v>
      </x:c>
      <x:c r="L154" s="11" t="n">
        <x:v>0.3638613820075989</x:v>
      </x:c>
      <x:c r="M154" s="11" t="n">
        <x:v>0.0999393239617347</x:v>
      </x:c>
    </x:row>
    <x:row r="155" ht="22" customHeight="1">
      <x:c r="A155" s="17" t="str">
        <x:f>"02038850"</x:f>
        <x:v>02038850</x:v>
      </x:c>
      <x:c r="B155" s="13" t="n">
        <x:v>42</x:v>
      </x:c>
      <x:c r="C155" s="22" t="b">
        <x:v>0</x:v>
      </x:c>
      <x:c r="D155" s="11" t="n">
        <x:v>0.0413564927875995</x:v>
      </x:c>
      <x:c r="E155" s="11" t="n">
        <x:v>0.0004857512928234333</x:v>
      </x:c>
      <x:c r="F155" s="11" t="n">
        <x:v>0.3374689817428589</x:v>
      </x:c>
      <x:c r="G155" s="13" t="n">
        <x:v>7</x:v>
      </x:c>
      <x:c r="H155" s="11" t="n">
        <x:v>0.5226939916610718</x:v>
      </x:c>
      <x:c r="I155" s="11" t="n">
        <x:v>0.5373668670654297</x:v>
      </x:c>
      <x:c r="J155" s="24" t="n">
        <x:v>139.3145583430305</x:v>
      </x:c>
      <x:c r="K155" s="24" t="n">
        <x:v>151.40788865089417</x:v>
      </x:c>
      <x:c r="L155" s="11" t="n">
        <x:v>0.4119106829166412</x:v>
      </x:c>
      <x:c r="M155" s="11" t="n">
        <x:v>0.0999332070350647</x:v>
      </x:c>
    </x:row>
    <x:row r="156" ht="22" customHeight="1">
      <x:c r="A156" s="17" t="str">
        <x:f>"02046000"</x:f>
        <x:v>02046000</x:v>
      </x:c>
      <x:c r="B156" s="13" t="n">
        <x:v>42</x:v>
      </x:c>
      <x:c r="C156" s="22" t="b">
        <x:v>1</x:v>
      </x:c>
      <x:c r="D156" s="11" t="n">
        <x:v>0.0214521456509828</x:v>
      </x:c>
      <x:c r="E156" s="11" t="n">
        <x:v>0.0005461165177014667</x:v>
      </x:c>
      <x:c r="F156" s="11" t="n">
        <x:v>0.3762376308441162</x:v>
      </x:c>
      <x:c r="G156" s="13" t="n">
        <x:v>5</x:v>
      </x:c>
      <x:c r="H156" s="11" t="n">
        <x:v>0.3941705226898193</x:v>
      </x:c>
      <x:c r="I156" s="11" t="n">
        <x:v>0.425798088312149</x:v>
      </x:c>
      <x:c r="J156" s="24" t="n">
        <x:v>139.17069736961275</x:v>
      </x:c>
      <x:c r="K156" s="24" t="n">
        <x:v>154.3220694065094</x:v>
      </x:c>
      <x:c r="L156" s="11" t="n">
        <x:v>0.5990098714828491</x:v>
      </x:c>
      <x:c r="M156" s="11" t="n">
        <x:v>0.0999393239617347</x:v>
      </x:c>
    </x:row>
    <x:row r="157" ht="22" customHeight="1">
      <x:c r="A157" s="17" t="str">
        <x:f>"02046000"</x:f>
        <x:v>02046000</x:v>
      </x:c>
      <x:c r="B157" s="13" t="n">
        <x:v>42</x:v>
      </x:c>
      <x:c r="C157" s="22" t="b">
        <x:v>0</x:v>
      </x:c>
      <x:c r="D157" s="11" t="n">
        <x:v>0.0248138960450887</x:v>
      </x:c>
      <x:c r="E157" s="11" t="n">
        <x:v>0.00027660837319363335</x:v>
      </x:c>
      <x:c r="F157" s="11" t="n">
        <x:v>0.4069478809833526</x:v>
      </x:c>
      <x:c r="G157" s="13" t="n">
        <x:v>1</x:v>
      </x:c>
      <x:c r="H157" s="11" t="n">
        <x:v>0.5286506414413452</x:v>
      </x:c>
      <x:c r="I157" s="11" t="n">
        <x:v>0.5373458862304688</x:v>
      </x:c>
      <x:c r="J157" s="24" t="n">
        <x:v>142.08514807000756</x:v>
      </x:c>
      <x:c r="K157" s="24" t="n">
        <x:v>165.0876841545105</x:v>
      </x:c>
      <x:c r="L157" s="11" t="n">
        <x:v>0.9602977633476256</x:v>
      </x:c>
      <x:c r="M157" s="11" t="n">
        <x:v>0.0999332070350647</x:v>
      </x:c>
    </x:row>
    <x:row r="158" ht="22" customHeight="1">
      <x:c r="A158" s="17" t="str">
        <x:f>"02051500"</x:f>
        <x:v>02051500</x:v>
      </x:c>
      <x:c r="B158" s="13" t="n">
        <x:v>42</x:v>
      </x:c>
      <x:c r="C158" s="22" t="b">
        <x:v>1</x:v>
      </x:c>
      <x:c r="D158" s="11" t="n">
        <x:v>0.029702970137198702</x:v>
      </x:c>
      <x:c r="E158" s="11" t="n">
        <x:v>0.0006067961221560667</x:v>
      </x:c>
      <x:c r="F158" s="11" t="n">
        <x:v>0.4331683218479156</x:v>
      </x:c>
      <x:c r="G158" s="13" t="n">
        <x:v>2</x:v>
      </x:c>
      <x:c r="H158" s="11" t="n">
        <x:v>0.1746165454387664</x:v>
      </x:c>
      <x:c r="I158" s="11" t="n">
        <x:v>0.205318346619606</x:v>
      </x:c>
      <x:c r="J158" s="24" t="n">
        <x:v>138.68573232274503</x:v>
      </x:c>
      <x:c r="K158" s="24" t="n">
        <x:v>170.09460425376892</x:v>
      </x:c>
      <x:c r="L158" s="11" t="n">
        <x:v>0.8242574334144592</x:v>
      </x:c>
      <x:c r="M158" s="11" t="n">
        <x:v>0.0999393239617347</x:v>
      </x:c>
    </x:row>
    <x:row r="159" ht="22" customHeight="1">
      <x:c r="A159" s="17" t="str">
        <x:f>"02051500"</x:f>
        <x:v>02051500</x:v>
      </x:c>
      <x:c r="B159" s="13" t="n">
        <x:v>42</x:v>
      </x:c>
      <x:c r="C159" s="22" t="b">
        <x:v>0</x:v>
      </x:c>
      <x:c r="D159" s="11" t="n">
        <x:v>0.03473945396641883</x:v>
      </x:c>
      <x:c r="E159" s="11" t="n">
        <x:v>0.0003508203711437667</x:v>
      </x:c>
      <x:c r="F159" s="11" t="n">
        <x:v>0.5310173630714417</x:v>
      </x:c>
      <x:c r="G159" s="13" t="n">
        <x:v>8</x:v>
      </x:c>
      <x:c r="H159" s="11" t="n">
        <x:v>0.275223821401596</x:v>
      </x:c>
      <x:c r="I159" s="11" t="n">
        <x:v>0.2773886024951935</x:v>
      </x:c>
      <x:c r="J159" s="24" t="n">
        <x:v>135.21211241092533</x:v>
      </x:c>
      <x:c r="K159" s="24" t="n">
        <x:v>153.17504143714905</x:v>
      </x:c>
      <x:c r="L159" s="11" t="n">
        <x:v>0.6004962921142578</x:v>
      </x:c>
      <x:c r="M159" s="11" t="n">
        <x:v>0.0999332070350647</x:v>
      </x:c>
    </x:row>
    <x:row r="160" ht="22" customHeight="1">
      <x:c r="A160" s="17" t="str">
        <x:f>"02053200"</x:f>
        <x:v>02053200</x:v>
      </x:c>
      <x:c r="B160" s="13" t="n">
        <x:v>42</x:v>
      </x:c>
      <x:c r="C160" s="22" t="b">
        <x:v>1</x:v>
      </x:c>
      <x:c r="D160" s="11" t="n">
        <x:v>0.014026402806242266</x:v>
      </x:c>
      <x:c r="E160" s="11" t="n">
        <x:v>0.0007011866158184666</x:v>
      </x:c>
      <x:c r="F160" s="11" t="n">
        <x:v>0.2054455429315567</x:v>
      </x:c>
      <x:c r="G160" s="13" t="n">
        <x:v>9</x:v>
      </x:c>
      <x:c r="H160" s="11" t="n">
        <x:v>0.0247052032500505</x:v>
      </x:c>
      <x:c r="I160" s="11" t="n">
        <x:v>0.0265653375536203</x:v>
      </x:c>
      <x:c r="J160" s="24" t="n">
        <x:v>136.82839204464108</x:v>
      </x:c>
      <x:c r="K160" s="24" t="n">
        <x:v>150.6387221813202</x:v>
      </x:c>
      <x:c r="L160" s="11" t="n">
        <x:v>0.2326732724905014</x:v>
      </x:c>
      <x:c r="M160" s="11" t="n">
        <x:v>0.0999393239617347</x:v>
      </x:c>
    </x:row>
    <x:row r="161" ht="22" customHeight="1">
      <x:c r="A161" s="17" t="str">
        <x:f>"02053200"</x:f>
        <x:v>02053200</x:v>
      </x:c>
      <x:c r="B161" s="13" t="n">
        <x:v>42</x:v>
      </x:c>
      <x:c r="C161" s="22" t="b">
        <x:v>0</x:v>
      </x:c>
      <x:c r="D161" s="11" t="n">
        <x:v>0.016542597052951566</x:v>
      </x:c>
      <x:c r="E161" s="11" t="n">
        <x:v>0.00032383419844936664</x:v>
      </x:c>
      <x:c r="F161" s="11" t="n">
        <x:v>0.320099264383316</x:v>
      </x:c>
      <x:c r="G161" s="13" t="n">
        <x:v>1</x:v>
      </x:c>
      <x:c r="H161" s="11" t="n">
        <x:v>0.1696294546127319</x:v>
      </x:c>
      <x:c r="I161" s="11" t="n">
        <x:v>0.1972551196813583</x:v>
      </x:c>
      <x:c r="J161" s="24" t="n">
        <x:v>132.54281301610172</x:v>
      </x:c>
      <x:c r="K161" s="24" t="n">
        <x:v>153.30364727973938</x:v>
      </x:c>
      <x:c r="L161" s="11" t="n">
        <x:v>0.9106699824333192</x:v>
      </x:c>
      <x:c r="M161" s="11" t="n">
        <x:v>0.0999332070350647</x:v>
      </x:c>
    </x:row>
    <x:row r="162" ht="22" customHeight="1">
      <x:c r="A162" s="17" t="str">
        <x:f>"02053800"</x:f>
        <x:v>02053800</x:v>
      </x:c>
      <x:c r="B162" s="13" t="n">
        <x:v>42</x:v>
      </x:c>
      <x:c r="C162" s="22" t="b">
        <x:v>1</x:v>
      </x:c>
      <x:c r="D162" s="11" t="n">
        <x:v>0.03382838393251097</x:v>
      </x:c>
      <x:c r="E162" s="11" t="n">
        <x:v>0.0002629449882078</x:v>
      </x:c>
      <x:c r="F162" s="11" t="n">
        <x:v>0.4851485192775726</x:v>
      </x:c>
      <x:c r="G162" s="13" t="n">
        <x:v>5</x:v>
      </x:c>
      <x:c r="H162" s="11" t="n">
        <x:v>0.4536246657371521</x:v>
      </x:c>
      <x:c r="I162" s="11" t="n">
        <x:v>0.4601501524448395</x:v>
      </x:c>
      <x:c r="J162" s="24" t="n">
        <x:v>135.3277239492163</x:v>
      </x:c>
      <x:c r="K162" s="24" t="n">
        <x:v>152.0117723941803</x:v>
      </x:c>
      <x:c r="L162" s="11" t="n">
        <x:v>0.6732673048973083</x:v>
      </x:c>
      <x:c r="M162" s="11" t="n">
        <x:v>0.0999393239617347</x:v>
      </x:c>
    </x:row>
    <x:row r="163" ht="22" customHeight="1">
      <x:c r="A163" s="17" t="str">
        <x:f>"02053800"</x:f>
        <x:v>02053800</x:v>
      </x:c>
      <x:c r="B163" s="13" t="n">
        <x:v>42</x:v>
      </x:c>
      <x:c r="C163" s="22" t="b">
        <x:v>0</x:v>
      </x:c>
      <x:c r="D163" s="11" t="n">
        <x:v>0.045492142438888494</x:v>
      </x:c>
      <x:c r="E163" s="11" t="n">
        <x:v>0.0004790047435865666</x:v>
      </x:c>
      <x:c r="F163" s="11" t="n">
        <x:v>0.4491315186023712</x:v>
      </x:c>
      <x:c r="G163" s="13" t="n">
        <x:v>3</x:v>
      </x:c>
      <x:c r="H163" s="11" t="n">
        <x:v>0.5587762594223022</x:v>
      </x:c>
      <x:c r="I163" s="11" t="n">
        <x:v>0.595372200012207</x:v>
      </x:c>
      <x:c r="J163" s="24" t="n">
        <x:v>137.43234479613602</x:v>
      </x:c>
      <x:c r="K163" s="24" t="n">
        <x:v>156.65661764144897</x:v>
      </x:c>
      <x:c r="L163" s="11" t="n">
        <x:v>0.7990074157714844</x:v>
      </x:c>
      <x:c r="M163" s="11" t="n">
        <x:v>0.0999332070350647</x:v>
      </x:c>
    </x:row>
    <x:row r="164" ht="22" customHeight="1">
      <x:c r="A164" s="17" t="str">
        <x:f>"02055100"</x:f>
        <x:v>02055100</x:v>
      </x:c>
      <x:c r="B164" s="13" t="n">
        <x:v>42</x:v>
      </x:c>
      <x:c r="C164" s="22" t="b">
        <x:v>1</x:v>
      </x:c>
      <x:c r="D164" s="11" t="n">
        <x:v>0.016501650524636067</x:v>
      </x:c>
      <x:c r="E164" s="11" t="n">
        <x:v>0.0005461165080001667</x:v>
      </x:c>
      <x:c r="F164" s="11" t="n">
        <x:v>0.2400990128517151</x:v>
      </x:c>
      <x:c r="G164" s="13" t="n">
        <x:v>2</x:v>
      </x:c>
      <x:c r="H164" s="11" t="n">
        <x:v>0.2190732359886169</x:v>
      </x:c>
      <x:c r="I164" s="11" t="n">
        <x:v>0.2222728580236435</x:v>
      </x:c>
      <x:c r="J164" s="24" t="n">
        <x:v>135.93895356170833</x:v>
      </x:c>
      <x:c r="K164" s="24" t="n">
        <x:v>144.4607217311859</x:v>
      </x:c>
      <x:c r="L164" s="11" t="n">
        <x:v>0.6311880946159363</x:v>
      </x:c>
      <x:c r="M164" s="11" t="n">
        <x:v>0.0999393239617347</x:v>
      </x:c>
    </x:row>
    <x:row r="165" ht="22" customHeight="1">
      <x:c r="A165" s="17" t="str">
        <x:f>"02055100"</x:f>
        <x:v>02055100</x:v>
      </x:c>
      <x:c r="B165" s="13" t="n">
        <x:v>42</x:v>
      </x:c>
      <x:c r="C165" s="22" t="b">
        <x:v>0</x:v>
      </x:c>
      <x:c r="D165" s="11" t="n">
        <x:v>0.03143093424538763</x:v>
      </x:c>
      <x:c r="E165" s="11" t="n">
        <x:v>0.0005329771229298333</x:v>
      </x:c>
      <x:c r="F165" s="11" t="n">
        <x:v>0.3225806355476379</x:v>
      </x:c>
      <x:c r="G165" s="13" t="n">
        <x:v>9</x:v>
      </x:c>
      <x:c r="H165" s="11" t="n">
        <x:v>0.2471804171800613</x:v>
      </x:c>
      <x:c r="I165" s="11" t="n">
        <x:v>0.2478054165840149</x:v>
      </x:c>
      <x:c r="J165" s="24" t="n">
        <x:v>136.52222180459648</x:v>
      </x:c>
      <x:c r="K165" s="24" t="n">
        <x:v>147.15486431121826</x:v>
      </x:c>
      <x:c r="L165" s="11" t="n">
        <x:v>0.357320100069046</x:v>
      </x:c>
      <x:c r="M165" s="11" t="n">
        <x:v>0.0999332070350647</x:v>
      </x:c>
    </x:row>
    <x:row r="166" ht="22" customHeight="1">
      <x:c r="A166" s="17" t="str">
        <x:f>"02056900"</x:f>
        <x:v>02056900</x:v>
      </x:c>
      <x:c r="B166" s="13" t="n">
        <x:v>42</x:v>
      </x:c>
      <x:c r="C166" s="22" t="b">
        <x:v>1</x:v>
      </x:c>
      <x:c r="D166" s="11" t="n">
        <x:v>0.029702970758080437</x:v>
      </x:c>
      <x:c r="E166" s="11" t="n">
        <x:v>0.0004045307384027</x:v>
      </x:c>
      <x:c r="F166" s="11" t="n">
        <x:v>0.3737623691558838</x:v>
      </x:c>
      <x:c r="G166" s="13" t="n">
        <x:v>10</x:v>
      </x:c>
      <x:c r="H166" s="11" t="n">
        <x:v>0.4664141833782196</x:v>
      </x:c>
      <x:c r="I166" s="11" t="n">
        <x:v>0.4664141833782196</x:v>
      </x:c>
      <x:c r="J166" s="24" t="n">
        <x:v>141.1181495739147</x:v>
      </x:c>
      <x:c r="K166" s="24" t="n">
        <x:v>155.46522045135498</x:v>
      </x:c>
      <x:c r="L166" s="11" t="n">
        <x:v>0.3737623691558838</x:v>
      </x:c>
      <x:c r="M166" s="11" t="n">
        <x:v>0.0999393239617347</x:v>
      </x:c>
    </x:row>
    <x:row r="167" ht="22" customHeight="1">
      <x:c r="A167" s="17" t="str">
        <x:f>"02056900"</x:f>
        <x:v>02056900</x:v>
      </x:c>
      <x:c r="B167" s="13" t="n">
        <x:v>42</x:v>
      </x:c>
      <x:c r="C167" s="22" t="b">
        <x:v>0</x:v>
      </x:c>
      <x:c r="D167" s="11" t="n">
        <x:v>0.041356493408481236</x:v>
      </x:c>
      <x:c r="E167" s="11" t="n">
        <x:v>0.0003643134744682333</x:v>
      </x:c>
      <x:c r="F167" s="11" t="n">
        <x:v>0.4937965273857116</x:v>
      </x:c>
      <x:c r="G167" s="13" t="n">
        <x:v>3</x:v>
      </x:c>
      <x:c r="H167" s="11" t="n">
        <x:v>0.568381667137146</x:v>
      </x:c>
      <x:c r="I167" s="11" t="n">
        <x:v>0.5845372080802917</x:v>
      </x:c>
      <x:c r="J167" s="24" t="n">
        <x:v>137.57621008902788</x:v>
      </x:c>
      <x:c r="K167" s="24" t="n">
        <x:v>155.64638662338257</x:v>
      </x:c>
      <x:c r="L167" s="11" t="n">
        <x:v>0.7816377282142639</x:v>
      </x:c>
      <x:c r="M167" s="11" t="n">
        <x:v>0.0999332070350647</x:v>
      </x:c>
    </x:row>
    <x:row r="168" ht="22" customHeight="1">
      <x:c r="A168" s="17" t="str">
        <x:f>"02059500"</x:f>
        <x:v>02059500</x:v>
      </x:c>
      <x:c r="B168" s="13" t="n">
        <x:v>42</x:v>
      </x:c>
      <x:c r="C168" s="22" t="b">
        <x:v>1</x:v>
      </x:c>
      <x:c r="D168" s="11" t="n">
        <x:v>0.019801980194946098</x:v>
      </x:c>
      <x:c r="E168" s="11" t="n">
        <x:v>0.0003438511339481333</x:v>
      </x:c>
      <x:c r="F168" s="11" t="n">
        <x:v>0.2846534550189972</x:v>
      </x:c>
      <x:c r="G168" s="13" t="n">
        <x:v>8</x:v>
      </x:c>
      <x:c r="H168" s="11" t="n">
        <x:v>0.1101317331194877</x:v>
      </x:c>
      <x:c r="I168" s="11" t="n">
        <x:v>0.1174378618597984</x:v>
      </x:c>
      <x:c r="J168" s="24" t="n">
        <x:v>137.6446563610807</x:v>
      </x:c>
      <x:c r="K168" s="24" t="n">
        <x:v>148.44103503227234</x:v>
      </x:c>
      <x:c r="L168" s="11" t="n">
        <x:v>0.3836633563041687</x:v>
      </x:c>
      <x:c r="M168" s="11" t="n">
        <x:v>0.0999393239617347</x:v>
      </x:c>
    </x:row>
    <x:row r="169" ht="22" customHeight="1">
      <x:c r="A169" s="17" t="str">
        <x:f>"02059500"</x:f>
        <x:v>02059500</x:v>
      </x:c>
      <x:c r="B169" s="13" t="n">
        <x:v>42</x:v>
      </x:c>
      <x:c r="C169" s="22" t="b">
        <x:v>0</x:v>
      </x:c>
      <x:c r="D169" s="11" t="n">
        <x:v>0.042183622717857305</x:v>
      </x:c>
      <x:c r="E169" s="11" t="n">
        <x:v>0.0009917422236564001</x:v>
      </x:c>
      <x:c r="F169" s="11" t="n">
        <x:v>0.3647642731666565</x:v>
      </x:c>
      <x:c r="G169" s="13" t="n">
        <x:v>8</x:v>
      </x:c>
      <x:c r="H169" s="11" t="n">
        <x:v>0.1284252256155014</x:v>
      </x:c>
      <x:c r="I169" s="11" t="n">
        <x:v>0.1971900314092636</x:v>
      </x:c>
      <x:c r="J169" s="24" t="n">
        <x:v>143.4057546639815</x:v>
      </x:c>
      <x:c r="K169" s="24" t="n">
        <x:v>155.70639944076538</x:v>
      </x:c>
      <x:c r="L169" s="11" t="n">
        <x:v>0.4218362271785736</x:v>
      </x:c>
      <x:c r="M169" s="11" t="n">
        <x:v>0.0999332070350647</x:v>
      </x:c>
    </x:row>
    <x:row r="170" ht="22" customHeight="1">
      <x:c r="A170" s="17" t="str">
        <x:f>"02064000"</x:f>
        <x:v>02064000</x:v>
      </x:c>
      <x:c r="B170" s="13" t="n">
        <x:v>42</x:v>
      </x:c>
      <x:c r="C170" s="22" t="b">
        <x:v>1</x:v>
      </x:c>
      <x:c r="D170" s="11" t="n">
        <x:v>0.02310231079657867</x:v>
      </x:c>
      <x:c r="E170" s="11" t="n">
        <x:v>0.0003303667714741</x:v>
      </x:c>
      <x:c r="F170" s="11" t="n">
        <x:v>0.2698019742965698</x:v>
      </x:c>
      <x:c r="G170" s="13" t="n">
        <x:v>3</x:v>
      </x:c>
      <x:c r="H170" s="11" t="n">
        <x:v>0.201607808470726</x:v>
      </x:c>
      <x:c r="I170" s="11" t="n">
        <x:v>0.2087141424417495</x:v>
      </x:c>
      <x:c r="J170" s="24" t="n">
        <x:v>140.05540444515646</x:v>
      </x:c>
      <x:c r="K170" s="24" t="n">
        <x:v>151.76159191131592</x:v>
      </x:c>
      <x:c r="L170" s="11" t="n">
        <x:v>0.5841584205627441</x:v>
      </x:c>
      <x:c r="M170" s="11" t="n">
        <x:v>0.0999393239617347</x:v>
      </x:c>
    </x:row>
    <x:row r="171" ht="22" customHeight="1">
      <x:c r="A171" s="17" t="str">
        <x:f>"02064000"</x:f>
        <x:v>02064000</x:v>
      </x:c>
      <x:c r="B171" s="13" t="n">
        <x:v>42</x:v>
      </x:c>
      <x:c r="C171" s="22" t="b">
        <x:v>0</x:v>
      </x:c>
      <x:c r="D171" s="11" t="n">
        <x:v>0.0231596361845731</x:v>
      </x:c>
      <x:c r="E171" s="11" t="n">
        <x:v>0.0003643134744682333</x:v>
      </x:c>
      <x:c r="F171" s="11" t="n">
        <x:v>0.2903225719928741</x:v>
      </x:c>
      <x:c r="G171" s="13" t="n">
        <x:v>3</x:v>
      </x:c>
      <x:c r="H171" s="11" t="n">
        <x:v>0.2175425738096237</x:v>
      </x:c>
      <x:c r="I171" s="11" t="n">
        <x:v>0.2298579066991806</x:v>
      </x:c>
      <x:c r="J171" s="24" t="n">
        <x:v>137.4481027405709</x:v>
      </x:c>
      <x:c r="K171" s="24" t="n">
        <x:v>147.86981463432312</x:v>
      </x:c>
      <x:c r="L171" s="11" t="n">
        <x:v>0.6178659796714783</x:v>
      </x:c>
      <x:c r="M171" s="11" t="n">
        <x:v>0.0999332070350647</x:v>
      </x:c>
    </x:row>
    <x:row r="172" ht="22" customHeight="1">
      <x:c r="A172" s="17" t="str">
        <x:f>"02065500"</x:f>
        <x:v>02065500</x:v>
      </x:c>
      <x:c r="B172" s="13" t="n">
        <x:v>42</x:v>
      </x:c>
      <x:c r="C172" s="22" t="b">
        <x:v>1</x:v>
      </x:c>
      <x:c r="D172" s="11" t="n">
        <x:v>0.03052805364131923</x:v>
      </x:c>
      <x:c r="E172" s="11" t="n">
        <x:v>0.0006337648374028</x:v>
      </x:c>
      <x:c r="F172" s="11" t="n">
        <x:v>0.3267326653003692</x:v>
      </x:c>
      <x:c r="G172" s="13" t="n">
        <x:v>2</x:v>
      </x:c>
      <x:c r="H172" s="11" t="n">
        <x:v>0.1597056984901428</x:v>
      </x:c>
      <x:c r="I172" s="11" t="n">
        <x:v>0.1722265779972076</x:v>
      </x:c>
      <x:c r="J172" s="24" t="n">
        <x:v>131.29726070631295</x:v>
      </x:c>
      <x:c r="K172" s="24" t="n">
        <x:v>150.8671998977661</x:v>
      </x:c>
      <x:c r="L172" s="11" t="n">
        <x:v>0.801980197429657</x:v>
      </x:c>
      <x:c r="M172" s="11" t="n">
        <x:v>0.0999393239617347</x:v>
      </x:c>
    </x:row>
    <x:row r="173" ht="22" customHeight="1">
      <x:c r="A173" s="17" t="str">
        <x:f>"02065500"</x:f>
        <x:v>02065500</x:v>
      </x:c>
      <x:c r="B173" s="13" t="n">
        <x:v>42</x:v>
      </x:c>
      <x:c r="C173" s="22" t="b">
        <x:v>0</x:v>
      </x:c>
      <x:c r="D173" s="11" t="n">
        <x:v>0.0388751029968261</x:v>
      </x:c>
      <x:c r="E173" s="11" t="n">
        <x:v>0.0008703043955998667</x:v>
      </x:c>
      <x:c r="F173" s="11" t="n">
        <x:v>0.3870967626571655</x:v>
      </x:c>
      <x:c r="G173" s="13" t="n">
        <x:v>2</x:v>
      </x:c>
      <x:c r="H173" s="11" t="n">
        <x:v>0.2063724994659423</x:v>
      </x:c>
      <x:c r="I173" s="11" t="n">
        <x:v>0.3040999472141266</x:v>
      </x:c>
      <x:c r="J173" s="24" t="n">
        <x:v>134.9631321877241</x:v>
      </x:c>
      <x:c r="K173" s="24" t="n">
        <x:v>154.47662663459778</x:v>
      </x:c>
      <x:c r="L173" s="11" t="n">
        <x:v>0.8387096524238586</x:v>
      </x:c>
      <x:c r="M173" s="11" t="n">
        <x:v>0.0999332070350647</x:v>
      </x:c>
    </x:row>
    <x:row r="174" ht="22" customHeight="1">
      <x:c r="A174" s="17" t="str">
        <x:f>"02069700"</x:f>
        <x:v>02069700</x:v>
      </x:c>
      <x:c r="B174" s="13" t="n">
        <x:v>42</x:v>
      </x:c>
      <x:c r="C174" s="22" t="b">
        <x:v>1</x:v>
      </x:c>
      <x:c r="D174" s="11" t="n">
        <x:v>0.03382838393251097</x:v>
      </x:c>
      <x:c r="E174" s="11" t="n">
        <x:v>0.0010720064941172334</x:v>
      </x:c>
      <x:c r="F174" s="11" t="n">
        <x:v>0.3910891115665436</x:v>
      </x:c>
      <x:c r="G174" s="13" t="n">
        <x:v>9</x:v>
      </x:c>
      <x:c r="H174" s="11" t="n">
        <x:v>0.4525026977062225</x:v>
      </x:c>
      <x:c r="I174" s="11" t="n">
        <x:v>0.4578943252563476</x:v>
      </x:c>
      <x:c r="J174" s="24" t="n">
        <x:v>132.9235799079761</x:v>
      </x:c>
      <x:c r="K174" s="24" t="n">
        <x:v>143.46031785011292</x:v>
      </x:c>
      <x:c r="L174" s="11" t="n">
        <x:v>0.4009900987148285</x:v>
      </x:c>
      <x:c r="M174" s="11" t="n">
        <x:v>0.0999393239617347</x:v>
      </x:c>
    </x:row>
    <x:row r="175" ht="22" customHeight="1">
      <x:c r="A175" s="17" t="str">
        <x:f>"02069700"</x:f>
        <x:v>02069700</x:v>
      </x:c>
      <x:c r="B175" s="13" t="n">
        <x:v>42</x:v>
      </x:c>
      <x:c r="C175" s="22" t="b">
        <x:v>0</x:v>
      </x:c>
      <x:c r="D175" s="11" t="n">
        <x:v>0.028122415145238167</x:v>
      </x:c>
      <x:c r="E175" s="11" t="n">
        <x:v>0.00039129966171453333</x:v>
      </x:c>
      <x:c r="F175" s="11" t="n">
        <x:v>0.4342431724071502</x:v>
      </x:c>
      <x:c r="G175" s="13" t="n">
        <x:v>7</x:v>
      </x:c>
      <x:c r="H175" s="11" t="n">
        <x:v>0.5062659978866577</x:v>
      </x:c>
      <x:c r="I175" s="11" t="n">
        <x:v>0.5412144064903259</x:v>
      </x:c>
      <x:c r="J175" s="24" t="n">
        <x:v>132.97991942055523</x:v>
      </x:c>
      <x:c r="K175" s="24" t="n">
        <x:v>147.72061800956726</x:v>
      </x:c>
      <x:c r="L175" s="11" t="n">
        <x:v>0.5136476159095764</x:v>
      </x:c>
      <x:c r="M175" s="11" t="n">
        <x:v>0.0999332070350647</x:v>
      </x:c>
    </x:row>
    <x:row r="176" ht="22" customHeight="1">
      <x:c r="A176" s="17" t="str">
        <x:f>"02070000"</x:f>
        <x:v>02070000</x:v>
      </x:c>
      <x:c r="B176" s="13" t="n">
        <x:v>42</x:v>
      </x:c>
      <x:c r="C176" s="22" t="b">
        <x:v>1</x:v>
      </x:c>
      <x:c r="D176" s="11" t="n">
        <x:v>0.0255775582045316</x:v>
      </x:c>
      <x:c r="E176" s="11" t="n">
        <x:v>0.0001752966563799333</x:v>
      </x:c>
      <x:c r="F176" s="11" t="n">
        <x:v>0.3737623691558838</x:v>
      </x:c>
      <x:c r="G176" s="13" t="n">
        <x:v>8</x:v>
      </x:c>
      <x:c r="H176" s="11" t="n">
        <x:v>0.3239619433879852</x:v>
      </x:c>
      <x:c r="I176" s="11" t="n">
        <x:v>0.3284694850444793</x:v>
      </x:c>
      <x:c r="J176" s="24" t="n">
        <x:v>134.42798014637083</x:v>
      </x:c>
      <x:c r="K176" s="24" t="n">
        <x:v>147.09213662147522</x:v>
      </x:c>
      <x:c r="L176" s="11" t="n">
        <x:v>0.4331683218479156</x:v>
      </x:c>
      <x:c r="M176" s="11" t="n">
        <x:v>0.0999393239617347</x:v>
      </x:c>
    </x:row>
    <x:row r="177" ht="22" customHeight="1">
      <x:c r="A177" s="17" t="str">
        <x:f>"02070000"</x:f>
        <x:v>02070000</x:v>
      </x:c>
      <x:c r="B177" s="13" t="n">
        <x:v>42</x:v>
      </x:c>
      <x:c r="C177" s="22" t="b">
        <x:v>0</x:v>
      </x:c>
      <x:c r="D177" s="11" t="n">
        <x:v>0.016542597052951566</x:v>
      </x:c>
      <x:c r="E177" s="11" t="n">
        <x:v>0.00039804619154886666</x:v>
      </x:c>
      <x:c r="F177" s="11" t="n">
        <x:v>0.2878412008285522</x:v>
      </x:c>
      <x:c r="G177" s="13" t="n">
        <x:v>8</x:v>
      </x:c>
      <x:c r="H177" s="11" t="n">
        <x:v>0.3306836783885956</x:v>
      </x:c>
      <x:c r="I177" s="11" t="n">
        <x:v>0.3618216812610626</x:v>
      </x:c>
      <x:c r="J177" s="24" t="n">
        <x:v>133.84703968651593</x:v>
      </x:c>
      <x:c r="K177" s="24" t="n">
        <x:v>145.27631044387817</x:v>
      </x:c>
      <x:c r="L177" s="11" t="n">
        <x:v>0.3647642731666565</x:v>
      </x:c>
      <x:c r="M177" s="11" t="n">
        <x:v>0.0999332070350647</x:v>
      </x:c>
    </x:row>
    <x:row r="178" ht="22" customHeight="1">
      <x:c r="A178" s="17" t="str">
        <x:f>"02074500"</x:f>
        <x:v>02074500</x:v>
      </x:c>
      <x:c r="B178" s="13" t="n">
        <x:v>42</x:v>
      </x:c>
      <x:c r="C178" s="22" t="b">
        <x:v>1</x:v>
      </x:c>
      <x:c r="D178" s="11" t="n">
        <x:v>0.0437293723225593</x:v>
      </x:c>
      <x:c r="E178" s="11" t="n">
        <x:v>0.0007416396886886001</x:v>
      </x:c>
      <x:c r="F178" s="11" t="n">
        <x:v>0.3539603948593139</x:v>
      </x:c>
      <x:c r="G178" s="13" t="n">
        <x:v>2</x:v>
      </x:c>
      <x:c r="H178" s="11" t="n">
        <x:v>0.3949328064918518</x:v>
      </x:c>
      <x:c r="I178" s="11" t="n">
        <x:v>0.41982102394104</x:v>
      </x:c>
      <x:c r="J178" s="24" t="n">
        <x:v>139.07310416549444</x:v>
      </x:c>
      <x:c r="K178" s="24" t="n">
        <x:v>152.8024342060089</x:v>
      </x:c>
      <x:c r="L178" s="11" t="n">
        <x:v>0.7623762488365173</x:v>
      </x:c>
      <x:c r="M178" s="11" t="n">
        <x:v>0.0999393239617347</x:v>
      </x:c>
    </x:row>
    <x:row r="179" ht="22" customHeight="1">
      <x:c r="A179" s="17" t="str">
        <x:f>"02074500"</x:f>
        <x:v>02074500</x:v>
      </x:c>
      <x:c r="B179" s="13" t="n">
        <x:v>42</x:v>
      </x:c>
      <x:c r="C179" s="22" t="b">
        <x:v>0</x:v>
      </x:c>
      <x:c r="D179" s="11" t="n">
        <x:v>0.029776675005753764</x:v>
      </x:c>
      <x:c r="E179" s="11" t="n">
        <x:v>0.0007421200183064334</x:v>
      </x:c>
      <x:c r="F179" s="11" t="n">
        <x:v>0.3325062096118927</x:v>
      </x:c>
      <x:c r="G179" s="13" t="n">
        <x:v>2</x:v>
      </x:c>
      <x:c r="H179" s="11" t="n">
        <x:v>0.4046173989772796</x:v>
      </x:c>
      <x:c r="I179" s="11" t="n">
        <x:v>0.4304967224597931</x:v>
      </x:c>
      <x:c r="J179" s="24" t="n">
        <x:v>134.12941984646022</x:v>
      </x:c>
      <x:c r="K179" s="24" t="n">
        <x:v>147.45541262626648</x:v>
      </x:c>
      <x:c r="L179" s="11" t="n">
        <x:v>0.7642679810523987</x:v>
      </x:c>
      <x:c r="M179" s="11" t="n">
        <x:v>0.0999332070350647</x:v>
      </x:c>
    </x:row>
    <x:row r="180" ht="22" customHeight="1">
      <x:c r="A180" s="17" t="str">
        <x:f>"02077200"</x:f>
        <x:v>02077200</x:v>
      </x:c>
      <x:c r="B180" s="13" t="n">
        <x:v>42</x:v>
      </x:c>
      <x:c r="C180" s="22" t="b">
        <x:v>1</x:v>
      </x:c>
      <x:c r="D180" s="11" t="n">
        <x:v>0.03712871298193927</x:v>
      </x:c>
      <x:c r="E180" s="11" t="n">
        <x:v>0.0005258899861170333</x:v>
      </x:c>
      <x:c r="F180" s="11" t="n">
        <x:v>0.2995049357414245</x:v>
      </x:c>
      <x:c r="G180" s="13" t="n">
        <x:v>10</x:v>
      </x:c>
      <x:c r="H180" s="11" t="n">
        <x:v>0.388344943523407</x:v>
      </x:c>
      <x:c r="I180" s="11" t="n">
        <x:v>0.388344943523407</x:v>
      </x:c>
      <x:c r="J180" s="24" t="n">
        <x:v>139.73334995657206</x:v>
      </x:c>
      <x:c r="K180" s="24" t="n">
        <x:v>149.63990378379822</x:v>
      </x:c>
      <x:c r="L180" s="11" t="n">
        <x:v>0.2995049357414245</x:v>
      </x:c>
      <x:c r="M180" s="11" t="n">
        <x:v>0.0999393239617347</x:v>
      </x:c>
    </x:row>
    <x:row r="181" ht="22" customHeight="1">
      <x:c r="A181" s="17" t="str">
        <x:f>"02077200"</x:f>
        <x:v>02077200</x:v>
      </x:c>
      <x:c r="B181" s="13" t="n">
        <x:v>42</x:v>
      </x:c>
      <x:c r="C181" s="22" t="b">
        <x:v>0</x:v>
      </x:c>
      <x:c r="D181" s="11" t="n">
        <x:v>0.023986766114830898</x:v>
      </x:c>
      <x:c r="E181" s="11" t="n">
        <x:v>0.0006274287588894</x:v>
      </x:c>
      <x:c r="F181" s="11" t="n">
        <x:v>0.3300248086452484</x:v>
      </x:c>
      <x:c r="G181" s="13" t="n">
        <x:v>3</x:v>
      </x:c>
      <x:c r="H181" s="11" t="n">
        <x:v>0.4533306360244751</x:v>
      </x:c>
      <x:c r="I181" s="11" t="n">
        <x:v>0.4614404737949371</x:v>
      </x:c>
      <x:c r="J181" s="24" t="n">
        <x:v>133.8064961815253</x:v>
      </x:c>
      <x:c r="K181" s="24" t="n">
        <x:v>148.22453498840332</x:v>
      </x:c>
      <x:c r="L181" s="11" t="n">
        <x:v>0.707196056842804</x:v>
      </x:c>
      <x:c r="M181" s="11" t="n">
        <x:v>0.0999332070350647</x:v>
      </x:c>
    </x:row>
    <x:row r="182" ht="22" customHeight="1">
      <x:c r="A182" s="17" t="str">
        <x:f>"02081500"</x:f>
        <x:v>02081500</x:v>
      </x:c>
      <x:c r="B182" s="13" t="n">
        <x:v>42</x:v>
      </x:c>
      <x:c r="C182" s="22" t="b">
        <x:v>1</x:v>
      </x:c>
      <x:c r="D182" s="11" t="n">
        <x:v>0.0140264030390729</x:v>
      </x:c>
      <x:c r="E182" s="11" t="n">
        <x:v>0.00034385113879876664</x:v>
      </x:c>
      <x:c r="F182" s="11" t="n">
        <x:v>0.3143564462661743</x:v>
      </x:c>
      <x:c r="G182" s="13" t="n">
        <x:v>8</x:v>
      </x:c>
      <x:c r="H182" s="11" t="n">
        <x:v>0.2617710828781128</x:v>
      </x:c>
      <x:c r="I182" s="11" t="n">
        <x:v>0.2640942931175232</x:v>
      </x:c>
      <x:c r="J182" s="24" t="n">
        <x:v>134.02549424115568</x:v>
      </x:c>
      <x:c r="K182" s="24" t="n">
        <x:v>146.79737424850464</x:v>
      </x:c>
      <x:c r="L182" s="11" t="n">
        <x:v>0.3861386179924011</x:v>
      </x:c>
      <x:c r="M182" s="11" t="n">
        <x:v>0.0999393239617347</x:v>
      </x:c>
    </x:row>
    <x:row r="183" ht="22" customHeight="1">
      <x:c r="A183" s="17" t="str">
        <x:f>"02081500"</x:f>
        <x:v>02081500</x:v>
      </x:c>
      <x:c r="B183" s="13" t="n">
        <x:v>42</x:v>
      </x:c>
      <x:c r="C183" s="22" t="b">
        <x:v>0</x:v>
      </x:c>
      <x:c r="D183" s="11" t="n">
        <x:v>0.02977667438487203</x:v>
      </x:c>
      <x:c r="E183" s="11" t="n">
        <x:v>0.0003373272872219</x:v>
      </x:c>
      <x:c r="F183" s="11" t="n">
        <x:v>0.4838709533214569</x:v>
      </x:c>
      <x:c r="G183" s="13" t="n">
        <x:v>8</x:v>
      </x:c>
      <x:c r="H183" s="11" t="n">
        <x:v>0.3077406585216522</x:v>
      </x:c>
      <x:c r="I183" s="11" t="n">
        <x:v>0.3545502424240112</x:v>
      </x:c>
      <x:c r="J183" s="24" t="n">
        <x:v>141.64793922100216</x:v>
      </x:c>
      <x:c r="K183" s="24" t="n">
        <x:v>159.75829005241394</x:v>
      </x:c>
      <x:c r="L183" s="11" t="n">
        <x:v>0.5310173630714417</x:v>
      </x:c>
      <x:c r="M183" s="11" t="n">
        <x:v>0.0999332070350647</x:v>
      </x:c>
    </x:row>
    <x:row r="184" ht="22" customHeight="1">
      <x:c r="A184" s="17" t="str">
        <x:f>"02082950"</x:f>
        <x:v>02082950</x:v>
      </x:c>
      <x:c r="B184" s="13" t="n">
        <x:v>42</x:v>
      </x:c>
      <x:c r="C184" s="22" t="b">
        <x:v>1</x:v>
      </x:c>
      <x:c r="D184" s="11" t="n">
        <x:v>0.016501650524636067</x:v>
      </x:c>
      <x:c r="E184" s="11" t="n">
        <x:v>0.0006067961221560333</x:v>
      </x:c>
      <x:c r="F184" s="11" t="n">
        <x:v>0.301980197429657</x:v>
      </x:c>
      <x:c r="G184" s="13" t="n">
        <x:v>2</x:v>
      </x:c>
      <x:c r="H184" s="11" t="n">
        <x:v>0.0798004195094108</x:v>
      </x:c>
      <x:c r="I184" s="11" t="n">
        <x:v>0.0979072004556655</x:v>
      </x:c>
      <x:c r="J184" s="24" t="n">
        <x:v>138.43333949986845</x:v>
      </x:c>
      <x:c r="K184" s="24" t="n">
        <x:v>157.38908529281616</x:v>
      </x:c>
      <x:c r="L184" s="11" t="n">
        <x:v>0.7747524976730347</x:v>
      </x:c>
      <x:c r="M184" s="11" t="n">
        <x:v>0.0999393239617347</x:v>
      </x:c>
    </x:row>
    <x:row r="185" ht="22" customHeight="1">
      <x:c r="A185" s="17" t="str">
        <x:f>"02082950"</x:f>
        <x:v>02082950</x:v>
      </x:c>
      <x:c r="B185" s="13" t="n">
        <x:v>42</x:v>
      </x:c>
      <x:c r="C185" s="22" t="b">
        <x:v>0</x:v>
      </x:c>
      <x:c r="D185" s="11" t="n">
        <x:v>0.019851116773982765</x:v>
      </x:c>
      <x:c r="E185" s="11" t="n">
        <x:v>0.0003170876419365</x:v>
      </x:c>
      <x:c r="F185" s="11" t="n">
        <x:v>0.4168734550476074</x:v>
      </x:c>
      <x:c r="G185" s="13" t="n">
        <x:v>6</x:v>
      </x:c>
      <x:c r="H185" s="11" t="n">
        <x:v>0.134404644370079</x:v>
      </x:c>
      <x:c r="I185" s="11" t="n">
        <x:v>0.1982267051935196</x:v>
      </x:c>
      <x:c r="J185" s="24" t="n">
        <x:v>138.5283624175936</x:v>
      </x:c>
      <x:c r="K185" s="24" t="n">
        <x:v>152.941663980484</x:v>
      </x:c>
      <x:c r="L185" s="11" t="n">
        <x:v>0.555831253528595</x:v>
      </x:c>
      <x:c r="M185" s="11" t="n">
        <x:v>0.0999332070350647</x:v>
      </x:c>
    </x:row>
    <x:row r="186" ht="22" customHeight="1">
      <x:c r="A186" s="17" t="str">
        <x:f>"02092500"</x:f>
        <x:v>02092500</x:v>
      </x:c>
      <x:c r="B186" s="13" t="n">
        <x:v>42</x:v>
      </x:c>
      <x:c r="C186" s="22" t="b">
        <x:v>1</x:v>
      </x:c>
      <x:c r="D186" s="11" t="n">
        <x:v>0.0082508251847078</x:v>
      </x:c>
      <x:c r="E186" s="11" t="n">
        <x:v>0.0004449838112728667</x:v>
      </x:c>
      <x:c r="F186" s="11" t="n">
        <x:v>0.2301980257034301</x:v>
      </x:c>
      <x:c r="G186" s="13" t="n">
        <x:v>8</x:v>
      </x:c>
      <x:c r="H186" s="11" t="n">
        <x:v>0.0838912799954414</x:v>
      </x:c>
      <x:c r="I186" s="11" t="n">
        <x:v>0.0884856134653091</x:v>
      </x:c>
      <x:c r="J186" s="24" t="n">
        <x:v>132.61544816568494</x:v>
      </x:c>
      <x:c r="K186" s="24" t="n">
        <x:v>141.51501941680908</x:v>
      </x:c>
      <x:c r="L186" s="11" t="n">
        <x:v>0.2821782231330871</x:v>
      </x:c>
      <x:c r="M186" s="11" t="n">
        <x:v>0.0999393239617347</x:v>
      </x:c>
    </x:row>
    <x:row r="187" ht="22" customHeight="1">
      <x:c r="A187" s="17" t="str">
        <x:f>"02092500"</x:f>
        <x:v>02092500</x:v>
      </x:c>
      <x:c r="B187" s="13" t="n">
        <x:v>42</x:v>
      </x:c>
      <x:c r="C187" s="22" t="b">
        <x:v>0</x:v>
      </x:c>
      <x:c r="D187" s="11" t="n">
        <x:v>0.020678246704240566</x:v>
      </x:c>
      <x:c r="E187" s="11" t="n">
        <x:v>0.00022938256006446668</x:v>
      </x:c>
      <x:c r="F187" s="11" t="n">
        <x:v>0.3449131548404693</x:v>
      </x:c>
      <x:c r="G187" s="13" t="n">
        <x:v>10</x:v>
      </x:c>
      <x:c r="H187" s="11" t="n">
        <x:v>0.6303129196166992</x:v>
      </x:c>
      <x:c r="I187" s="11" t="n">
        <x:v>0.6303129196166992</x:v>
      </x:c>
      <x:c r="J187" s="24" t="n">
        <x:v>134.80677034147084</x:v>
      </x:c>
      <x:c r="K187" s="24" t="n">
        <x:v>150.02678799629211</x:v>
      </x:c>
      <x:c r="L187" s="11" t="n">
        <x:v>0.3449131548404693</x:v>
      </x:c>
      <x:c r="M187" s="11" t="n">
        <x:v>0.0999332070350647</x:v>
      </x:c>
    </x:row>
    <x:row r="188" ht="22" customHeight="1">
      <x:c r="A188" s="17" t="str">
        <x:f>"02102908"</x:f>
        <x:v>02102908</x:v>
      </x:c>
      <x:c r="B188" s="13" t="n">
        <x:v>42</x:v>
      </x:c>
      <x:c r="C188" s="22" t="b">
        <x:v>1</x:v>
      </x:c>
      <x:c r="D188" s="11" t="n">
        <x:v>0.01980197972928483</x:v>
      </x:c>
      <x:c r="E188" s="11" t="n">
        <x:v>0.0008764832746237334</x:v>
      </x:c>
      <x:c r="F188" s="11" t="n">
        <x:v>0.2673267424106598</x:v>
      </x:c>
      <x:c r="G188" s="13" t="n">
        <x:v>4</x:v>
      </x:c>
      <x:c r="H188" s="11" t="n">
        <x:v>0.8748827576637268</x:v>
      </x:c>
      <x:c r="I188" s="11" t="n">
        <x:v>0.9352307319641112</x:v>
      </x:c>
      <x:c r="J188" s="24" t="n">
        <x:v>135.46956803835928</x:v>
      </x:c>
      <x:c r="K188" s="24" t="n">
        <x:v>156.3106288909912</x:v>
      </x:c>
      <x:c r="L188" s="11" t="n">
        <x:v>0.5668317079544067</x:v>
      </x:c>
      <x:c r="M188" s="11" t="n">
        <x:v>0.0999393239617347</x:v>
      </x:c>
    </x:row>
    <x:row r="189" ht="22" customHeight="1">
      <x:c r="A189" s="17" t="str">
        <x:f>"02102908"</x:f>
        <x:v>02102908</x:v>
      </x:c>
      <x:c r="B189" s="13" t="n">
        <x:v>42</x:v>
      </x:c>
      <x:c r="C189" s="22" t="b">
        <x:v>0</x:v>
      </x:c>
      <x:c r="D189" s="11" t="n">
        <x:v>0.02977667500575377</x:v>
      </x:c>
      <x:c r="E189" s="11" t="n">
        <x:v>0.0005734563843967667</x:v>
      </x:c>
      <x:c r="F189" s="11" t="n">
        <x:v>0.3622828722000122</x:v>
      </x:c>
      <x:c r="G189" s="13" t="n">
        <x:v>3</x:v>
      </x:c>
      <x:c r="H189" s="11" t="n">
        <x:v>0.952366292476654</x:v>
      </x:c>
      <x:c r="I189" s="11" t="n">
        <x:v>1.1539068222045898</x:v>
      </x:c>
      <x:c r="J189" s="24" t="n">
        <x:v>135.33115959633142</x:v>
      </x:c>
      <x:c r="K189" s="24" t="n">
        <x:v>153.76176524162292</x:v>
      </x:c>
      <x:c r="L189" s="11" t="n">
        <x:v>0.6823821067810059</x:v>
      </x:c>
      <x:c r="M189" s="11" t="n">
        <x:v>0.0999332070350647</x:v>
      </x:c>
    </x:row>
    <x:row r="190" ht="22" customHeight="1">
      <x:c r="A190" s="17" t="str">
        <x:f>"02108000"</x:f>
        <x:v>02108000</x:v>
      </x:c>
      <x:c r="B190" s="13" t="n">
        <x:v>42</x:v>
      </x:c>
      <x:c r="C190" s="22" t="b">
        <x:v>1</x:v>
      </x:c>
      <x:c r="D190" s="11" t="n">
        <x:v>0.014026402495801399</x:v>
      </x:c>
      <x:c r="E190" s="11" t="n">
        <x:v>0.0006270226440392</x:v>
      </x:c>
      <x:c r="F190" s="11" t="n">
        <x:v>0.2524752616882324</x:v>
      </x:c>
      <x:c r="G190" s="13" t="n">
        <x:v>9</x:v>
      </x:c>
      <x:c r="H190" s="11" t="n">
        <x:v>0.0222850181162357</x:v>
      </x:c>
      <x:c r="I190" s="11" t="n">
        <x:v>0.0288527011871337</x:v>
      </x:c>
      <x:c r="J190" s="24" t="n">
        <x:v>135.3351299073547</x:v>
      </x:c>
      <x:c r="K190" s="24" t="n">
        <x:v>153.10554265975952</x:v>
      </x:c>
      <x:c r="L190" s="11" t="n">
        <x:v>0.2623762488365173</x:v>
      </x:c>
      <x:c r="M190" s="11" t="n">
        <x:v>0.0999393239617347</x:v>
      </x:c>
    </x:row>
    <x:row r="191" ht="22" customHeight="1">
      <x:c r="A191" s="17" t="str">
        <x:f>"02108000"</x:f>
        <x:v>02108000</x:v>
      </x:c>
      <x:c r="B191" s="13" t="n">
        <x:v>42</x:v>
      </x:c>
      <x:c r="C191" s="22" t="b">
        <x:v>0</x:v>
      </x:c>
      <x:c r="D191" s="11" t="n">
        <x:v>0.022332506254315303</x:v>
      </x:c>
      <x:c r="E191" s="11" t="n">
        <x:v>0.00037780657294200006</x:v>
      </x:c>
      <x:c r="F191" s="11" t="n">
        <x:v>0.3970223367214203</x:v>
      </x:c>
      <x:c r="G191" s="13" t="n">
        <x:v>6</x:v>
      </x:c>
      <x:c r="H191" s="11" t="n">
        <x:v>0.2682961225509643</x:v>
      </x:c>
      <x:c r="I191" s="11" t="n">
        <x:v>0.3322083652019501</x:v>
      </x:c>
      <x:c r="J191" s="24" t="n">
        <x:v>135.3448298126459</x:v>
      </x:c>
      <x:c r="K191" s="24" t="n">
        <x:v>159.11618828773499</x:v>
      </x:c>
      <x:c r="L191" s="11" t="n">
        <x:v>0.5483871102333069</x:v>
      </x:c>
      <x:c r="M191" s="11" t="n">
        <x:v>0.0999332070350647</x:v>
      </x:c>
    </x:row>
    <x:row r="192" ht="22" customHeight="1">
      <x:c r="A192" s="17" t="str">
        <x:f>"02111180"</x:f>
        <x:v>02111180</x:v>
      </x:c>
      <x:c r="B192" s="13" t="n">
        <x:v>42</x:v>
      </x:c>
      <x:c r="C192" s="22" t="b">
        <x:v>1</x:v>
      </x:c>
      <x:c r="D192" s="11" t="n">
        <x:v>0.028052804991602866</x:v>
      </x:c>
      <x:c r="E192" s="11" t="n">
        <x:v>0.0002562027996949</x:v>
      </x:c>
      <x:c r="F192" s="11" t="n">
        <x:v>0.4183168411254883</x:v>
      </x:c>
      <x:c r="G192" s="13" t="n">
        <x:v>3</x:v>
      </x:c>
      <x:c r="H192" s="11" t="n">
        <x:v>0.3834273815155029</x:v>
      </x:c>
      <x:c r="I192" s="11" t="n">
        <x:v>0.3896560072898865</x:v>
      </x:c>
      <x:c r="J192" s="24" t="n">
        <x:v>140.44360369909555</x:v>
      </x:c>
      <x:c r="K192" s="24" t="n">
        <x:v>157.45330452919006</x:v>
      </x:c>
      <x:c r="L192" s="11" t="n">
        <x:v>0.8143564462661743</x:v>
      </x:c>
      <x:c r="M192" s="11" t="n">
        <x:v>0.0999393239617347</x:v>
      </x:c>
    </x:row>
    <x:row r="193" ht="22" customHeight="1">
      <x:c r="A193" s="17" t="str">
        <x:f>"02111180"</x:f>
        <x:v>02111180</x:v>
      </x:c>
      <x:c r="B193" s="13" t="n">
        <x:v>42</x:v>
      </x:c>
      <x:c r="C193" s="22" t="b">
        <x:v>0</x:v>
      </x:c>
      <x:c r="D193" s="11" t="n">
        <x:v>0.03556658451755837</x:v>
      </x:c>
      <x:c r="E193" s="11" t="n">
        <x:v>0.0003373272872219</x:v>
      </x:c>
      <x:c r="F193" s="11" t="n">
        <x:v>0.4888337552547455</x:v>
      </x:c>
      <x:c r="G193" s="13" t="n">
        <x:v>10</x:v>
      </x:c>
      <x:c r="H193" s="11" t="n">
        <x:v>0.4678253829479217</x:v>
      </x:c>
      <x:c r="I193" s="11" t="n">
        <x:v>0.4678253829479217</x:v>
      </x:c>
      <x:c r="J193" s="24" t="n">
        <x:v>146.08524488843977</x:v>
      </x:c>
      <x:c r="K193" s="24" t="n">
        <x:v>166.8176748752594</x:v>
      </x:c>
      <x:c r="L193" s="11" t="n">
        <x:v>0.4888337552547455</x:v>
      </x:c>
      <x:c r="M193" s="11" t="n">
        <x:v>0.0999332070350647</x:v>
      </x:c>
    </x:row>
    <x:row r="194" ht="22" customHeight="1">
      <x:c r="A194" s="17" t="str">
        <x:f>"02112120"</x:f>
        <x:v>02112120</x:v>
      </x:c>
      <x:c r="B194" s="13" t="n">
        <x:v>42</x:v>
      </x:c>
      <x:c r="C194" s="22" t="b">
        <x:v>1</x:v>
      </x:c>
      <x:c r="D194" s="11" t="n">
        <x:v>0.0214521456509828</x:v>
      </x:c>
      <x:c r="E194" s="11" t="n">
        <x:v>0.0004247572893897</x:v>
      </x:c>
      <x:c r="F194" s="11" t="n">
        <x:v>0.2821782231330871</x:v>
      </x:c>
      <x:c r="G194" s="13" t="n">
        <x:v>1</x:v>
      </x:c>
      <x:c r="H194" s="11" t="n">
        <x:v>0.385887086391449</x:v>
      </x:c>
      <x:c r="I194" s="11" t="n">
        <x:v>0.454889714717865</x:v>
      </x:c>
      <x:c r="J194" s="24" t="n">
        <x:v>154.2246711635962</x:v>
      </x:c>
      <x:c r="K194" s="24" t="n">
        <x:v>171.58724665641785</x:v>
      </x:c>
      <x:c r="L194" s="11" t="n">
        <x:v>0.9009901285171508</x:v>
      </x:c>
      <x:c r="M194" s="11" t="n">
        <x:v>0.0999393239617347</x:v>
      </x:c>
    </x:row>
    <x:row r="195" ht="22" customHeight="1">
      <x:c r="A195" s="17" t="str">
        <x:f>"02112120"</x:f>
        <x:v>02112120</x:v>
      </x:c>
      <x:c r="B195" s="13" t="n">
        <x:v>42</x:v>
      </x:c>
      <x:c r="C195" s="22" t="b">
        <x:v>0</x:v>
      </x:c>
      <x:c r="D195" s="11" t="n">
        <x:v>0.029776675005753764</x:v>
      </x:c>
      <x:c r="E195" s="11" t="n">
        <x:v>0.0003170876443618666</x:v>
      </x:c>
      <x:c r="F195" s="11" t="n">
        <x:v>0.3970223367214203</x:v>
      </x:c>
      <x:c r="G195" s="13" t="n">
        <x:v>8</x:v>
      </x:c>
      <x:c r="H195" s="11" t="n">
        <x:v>0.4559526741504669</x:v>
      </x:c>
      <x:c r="I195" s="11" t="n">
        <x:v>0.4627099633216858</x:v>
      </x:c>
      <x:c r="J195" s="24" t="n">
        <x:v>147.4399836603552</x:v>
      </x:c>
      <x:c r="K195" s="24" t="n">
        <x:v>160.5313596725464</x:v>
      </x:c>
      <x:c r="L195" s="11" t="n">
        <x:v>0.4540942907333374</x:v>
      </x:c>
      <x:c r="M195" s="11" t="n">
        <x:v>0.0999332070350647</x:v>
      </x:c>
    </x:row>
    <x:row r="196" ht="22" customHeight="1">
      <x:c r="A196" s="17" t="str">
        <x:f>"02112360"</x:f>
        <x:v>02112360</x:v>
      </x:c>
      <x:c r="B196" s="13" t="n">
        <x:v>42</x:v>
      </x:c>
      <x:c r="C196" s="22" t="b">
        <x:v>1</x:v>
      </x:c>
      <x:c r="D196" s="11" t="n">
        <x:v>0.03217821816603337</x:v>
      </x:c>
      <x:c r="E196" s="11" t="n">
        <x:v>0.0009843581550133334</x:v>
      </x:c>
      <x:c r="F196" s="11" t="n">
        <x:v>0.4059405922889709</x:v>
      </x:c>
      <x:c r="G196" s="13" t="n">
        <x:v>7</x:v>
      </x:c>
      <x:c r="H196" s="11" t="n">
        <x:v>0.6048359870910645</x:v>
      </x:c>
      <x:c r="I196" s="11" t="n">
        <x:v>0.6452896595001221</x:v>
      </x:c>
      <x:c r="J196" s="24" t="n">
        <x:v>149.47706902585924</x:v>
      </x:c>
      <x:c r="K196" s="24" t="n">
        <x:v>165.10437297821045</x:v>
      </x:c>
      <x:c r="L196" s="11" t="n">
        <x:v>0.5445544719696045</x:v>
      </x:c>
      <x:c r="M196" s="11" t="n">
        <x:v>0.0999393239617347</x:v>
      </x:c>
    </x:row>
    <x:row r="197" ht="22" customHeight="1">
      <x:c r="A197" s="17" t="str">
        <x:f>"02112360"</x:f>
        <x:v>02112360</x:v>
      </x:c>
      <x:c r="B197" s="13" t="n">
        <x:v>42</x:v>
      </x:c>
      <x:c r="C197" s="22" t="b">
        <x:v>0</x:v>
      </x:c>
      <x:c r="D197" s="11" t="n">
        <x:v>0.0239867661148309</x:v>
      </x:c>
      <x:c r="E197" s="11" t="n">
        <x:v>0.00024962219564856665</x:v>
      </x:c>
      <x:c r="F197" s="11" t="n">
        <x:v>0.4243176281452179</x:v>
      </x:c>
      <x:c r="G197" s="13" t="n">
        <x:v>3</x:v>
      </x:c>
      <x:c r="H197" s="11" t="n">
        <x:v>0.6944190859794617</x:v>
      </x:c>
      <x:c r="I197" s="11" t="n">
        <x:v>0.8054687976837158</x:v>
      </x:c>
      <x:c r="J197" s="24" t="n">
        <x:v>156.2240433562547</x:v>
      </x:c>
      <x:c r="K197" s="24" t="n">
        <x:v>172.59567666053772</x:v>
      </x:c>
      <x:c r="L197" s="11" t="n">
        <x:v>0.766749382019043</x:v>
      </x:c>
      <x:c r="M197" s="11" t="n">
        <x:v>0.0999332070350647</x:v>
      </x:c>
    </x:row>
    <x:row r="198" ht="22" customHeight="1">
      <x:c r="A198" s="17" t="str">
        <x:f>"02118500"</x:f>
        <x:v>02118500</x:v>
      </x:c>
      <x:c r="B198" s="13" t="n">
        <x:v>42</x:v>
      </x:c>
      <x:c r="C198" s="22" t="b">
        <x:v>1</x:v>
      </x:c>
      <x:c r="D198" s="11" t="n">
        <x:v>0.023102310796578665</x:v>
      </x:c>
      <x:c r="E198" s="11" t="n">
        <x:v>0.0008764832746237</x:v>
      </x:c>
      <x:c r="F198" s="11" t="n">
        <x:v>0.3539603948593139</x:v>
      </x:c>
      <x:c r="G198" s="13" t="n">
        <x:v>10</x:v>
      </x:c>
      <x:c r="H198" s="11" t="n">
        <x:v>0.5597068071365356</x:v>
      </x:c>
      <x:c r="I198" s="11" t="n">
        <x:v>0.5597068071365356</x:v>
      </x:c>
      <x:c r="J198" s="24" t="n">
        <x:v>150.01933804992586</x:v>
      </x:c>
      <x:c r="K198" s="24" t="n">
        <x:v>161.35527396202087</x:v>
      </x:c>
      <x:c r="L198" s="11" t="n">
        <x:v>0.3539603948593139</x:v>
      </x:c>
      <x:c r="M198" s="11" t="n">
        <x:v>0.0999393239617347</x:v>
      </x:c>
    </x:row>
    <x:row r="199" ht="22" customHeight="1">
      <x:c r="A199" s="17" t="str">
        <x:f>"02118500"</x:f>
        <x:v>02118500</x:v>
      </x:c>
      <x:c r="B199" s="13" t="n">
        <x:v>42</x:v>
      </x:c>
      <x:c r="C199" s="22" t="b">
        <x:v>0</x:v>
      </x:c>
      <x:c r="D199" s="11" t="n">
        <x:v>0.0231596361845731</x:v>
      </x:c>
      <x:c r="E199" s="11" t="n">
        <x:v>0.0005936960224061667</x:v>
      </x:c>
      <x:c r="F199" s="11" t="n">
        <x:v>0.3746898174285888</x:v>
      </x:c>
      <x:c r="G199" s="13" t="n">
        <x:v>2</x:v>
      </x:c>
      <x:c r="H199" s="11" t="n">
        <x:v>0.6508948802947998</x:v>
      </x:c>
      <x:c r="I199" s="11" t="n">
        <x:v>0.6685290932655334</x:v>
      </x:c>
      <x:c r="J199" s="24" t="n">
        <x:v>152.3680906286463</x:v>
      </x:c>
      <x:c r="K199" s="24" t="n">
        <x:v>167.50115656852722</x:v>
      </x:c>
      <x:c r="L199" s="11" t="n">
        <x:v>0.8163771629333496</x:v>
      </x:c>
      <x:c r="M199" s="11" t="n">
        <x:v>0.0999332070350647</x:v>
      </x:c>
    </x:row>
    <x:row r="200" ht="22" customHeight="1">
      <x:c r="A200" s="17" t="str">
        <x:f>"02128000"</x:f>
        <x:v>02128000</x:v>
      </x:c>
      <x:c r="B200" s="13" t="n">
        <x:v>42</x:v>
      </x:c>
      <x:c r="C200" s="22" t="b">
        <x:v>1</x:v>
      </x:c>
      <x:c r="D200" s="11" t="n">
        <x:v>0.020627062767744</x:v>
      </x:c>
      <x:c r="E200" s="11" t="n">
        <x:v>0.00039778856444166663</x:v>
      </x:c>
      <x:c r="F200" s="11" t="n">
        <x:v>0.2227722704410553</x:v>
      </x:c>
      <x:c r="G200" s="13" t="n">
        <x:v>9</x:v>
      </x:c>
      <x:c r="H200" s="11" t="n">
        <x:v>0.3670344352722168</x:v>
      </x:c>
      <x:c r="I200" s="11" t="n">
        <x:v>0.3976472318172455</x:v>
      </x:c>
      <x:c r="J200" s="24" t="n">
        <x:v>146.3803850831464</x:v>
      </x:c>
      <x:c r="K200" s="24" t="n">
        <x:v>155.2803771495819</x:v>
      </x:c>
      <x:c r="L200" s="11" t="n">
        <x:v>0.2450495064258575</x:v>
      </x:c>
      <x:c r="M200" s="11" t="n">
        <x:v>0.0999393239617347</x:v>
      </x:c>
    </x:row>
    <x:row r="201" ht="22" customHeight="1">
      <x:c r="A201" s="17" t="str">
        <x:f>"02128000"</x:f>
        <x:v>02128000</x:v>
      </x:c>
      <x:c r="B201" s="13" t="n">
        <x:v>42</x:v>
      </x:c>
      <x:c r="C201" s="22" t="b">
        <x:v>0</x:v>
      </x:c>
      <x:c r="D201" s="11" t="n">
        <x:v>0.03060380493601157</x:v>
      </x:c>
      <x:c r="E201" s="11" t="n">
        <x:v>0.0003035945604399667</x:v>
      </x:c>
      <x:c r="F201" s="11" t="n">
        <x:v>0.3622828722000122</x:v>
      </x:c>
      <x:c r="G201" s="13" t="n">
        <x:v>9</x:v>
      </x:c>
      <x:c r="H201" s="11" t="n">
        <x:v>0.382023423910141</x:v>
      </x:c>
      <x:c r="I201" s="11" t="n">
        <x:v>0.4387650489807129</x:v>
      </x:c>
      <x:c r="J201" s="24" t="n">
        <x:v>148.69658215437084</x:v>
      </x:c>
      <x:c r="K201" s="24" t="n">
        <x:v>159.92680430412292</x:v>
      </x:c>
      <x:c r="L201" s="11" t="n">
        <x:v>0.3970223367214203</x:v>
      </x:c>
      <x:c r="M201" s="11" t="n">
        <x:v>0.0999332070350647</x:v>
      </x:c>
    </x:row>
    <x:row r="202" ht="22" customHeight="1">
      <x:c r="A202" s="17" t="str">
        <x:f>"02143000"</x:f>
        <x:v>02143000</x:v>
      </x:c>
      <x:c r="B202" s="13" t="n">
        <x:v>42</x:v>
      </x:c>
      <x:c r="C202" s="22" t="b">
        <x:v>1</x:v>
      </x:c>
      <x:c r="D202" s="11" t="n">
        <x:v>0.0305280530204375</x:v>
      </x:c>
      <x:c r="E202" s="11" t="n">
        <x:v>0.00030339805622733336</x:v>
      </x:c>
      <x:c r="F202" s="11" t="n">
        <x:v>0.3762376308441162</x:v>
      </x:c>
      <x:c r="G202" s="13" t="n">
        <x:v>6</x:v>
      </x:c>
      <x:c r="H202" s="11" t="n">
        <x:v>0.6793285012245178</x:v>
      </x:c>
      <x:c r="I202" s="11" t="n">
        <x:v>0.7312815189361572</x:v>
      </x:c>
      <x:c r="J202" s="24" t="n">
        <x:v>144.04070068709552</x:v>
      </x:c>
      <x:c r="K202" s="24" t="n">
        <x:v>157.2352740764618</x:v>
      </x:c>
      <x:c r="L202" s="11" t="n">
        <x:v>0.5099009871482849</x:v>
      </x:c>
      <x:c r="M202" s="11" t="n">
        <x:v>0.0999393239617347</x:v>
      </x:c>
    </x:row>
    <x:row r="203" ht="22" customHeight="1">
      <x:c r="A203" s="17" t="str">
        <x:f>"02143000"</x:f>
        <x:v>02143000</x:v>
      </x:c>
      <x:c r="B203" s="13" t="n">
        <x:v>42</x:v>
      </x:c>
      <x:c r="C203" s="22" t="b">
        <x:v>0</x:v>
      </x:c>
      <x:c r="D203" s="11" t="n">
        <x:v>0.029776675005753764</x:v>
      </x:c>
      <x:c r="E203" s="11" t="n">
        <x:v>0.00041828583925956664</x:v>
      </x:c>
      <x:c r="F203" s="11" t="n">
        <x:v>0.4069478809833526</x:v>
      </x:c>
      <x:c r="G203" s="13" t="n">
        <x:v>7</x:v>
      </x:c>
      <x:c r="H203" s="11" t="n">
        <x:v>0.7718544006347656</x:v>
      </x:c>
      <x:c r="I203" s="11" t="n">
        <x:v>1.0257805585861206</x:v>
      </x:c>
      <x:c r="J203" s="24" t="n">
        <x:v>140.749978329055</x:v>
      </x:c>
      <x:c r="K203" s="24" t="n">
        <x:v>154.47897028923035</x:v>
      </x:c>
      <x:c r="L203" s="11" t="n">
        <x:v>0.5062034726142883</x:v>
      </x:c>
      <x:c r="M203" s="11" t="n">
        <x:v>0.0999332070350647</x:v>
      </x:c>
    </x:row>
    <x:row r="204" ht="22" customHeight="1">
      <x:c r="A204" s="17" t="str">
        <x:f>"02143040"</x:f>
        <x:v>02143040</x:v>
      </x:c>
      <x:c r="B204" s="13" t="n">
        <x:v>42</x:v>
      </x:c>
      <x:c r="C204" s="22" t="b">
        <x:v>1</x:v>
      </x:c>
      <x:c r="D204" s="11" t="n">
        <x:v>0.0354785484572251</x:v>
      </x:c>
      <x:c r="E204" s="11" t="n">
        <x:v>0.00047869472958453335</x:v>
      </x:c>
      <x:c r="F204" s="11" t="n">
        <x:v>0.3613861501216888</x:v>
      </x:c>
      <x:c r="G204" s="13" t="n">
        <x:v>4</x:v>
      </x:c>
      <x:c r="H204" s="11" t="n">
        <x:v>1.0437198877334597</x:v>
      </x:c>
      <x:c r="I204" s="11" t="n">
        <x:v>1.0766634941101074</x:v>
      </x:c>
      <x:c r="J204" s="24" t="n">
        <x:v>141.277937871404</x:v>
      </x:c>
      <x:c r="K204" s="24" t="n">
        <x:v>153.81976771354675</x:v>
      </x:c>
      <x:c r="L204" s="11" t="n">
        <x:v>0.655940592288971</x:v>
      </x:c>
      <x:c r="M204" s="11" t="n">
        <x:v>0.0999393239617347</x:v>
      </x:c>
    </x:row>
    <x:row r="205" ht="22" customHeight="1">
      <x:c r="A205" s="17" t="str">
        <x:f>"02143040"</x:f>
        <x:v>02143040</x:v>
      </x:c>
      <x:c r="B205" s="13" t="n">
        <x:v>42</x:v>
      </x:c>
      <x:c r="C205" s="22" t="b">
        <x:v>0</x:v>
      </x:c>
      <x:c r="D205" s="11" t="n">
        <x:v>0.03473945396641883</x:v>
      </x:c>
      <x:c r="E205" s="11" t="n">
        <x:v>0.0004857513025247333</x:v>
      </x:c>
      <x:c r="F205" s="11" t="n">
        <x:v>0.4640198647975921</x:v>
      </x:c>
      <x:c r="G205" s="13" t="n">
        <x:v>6</x:v>
      </x:c>
      <x:c r="H205" s="11" t="n">
        <x:v>1.1472331285476685</x:v>
      </x:c>
      <x:c r="I205" s="11" t="n">
        <x:v>1.1652888059616089</x:v>
      </x:c>
      <x:c r="J205" s="24" t="n">
        <x:v>142.5581466127187</x:v>
      </x:c>
      <x:c r="K205" s="24" t="n">
        <x:v>155.69502782821655</x:v>
      </x:c>
      <x:c r="L205" s="11" t="n">
        <x:v>0.6153846383094788</x:v>
      </x:c>
      <x:c r="M205" s="11" t="n">
        <x:v>0.0999332070350647</x:v>
      </x:c>
    </x:row>
    <x:row r="206" ht="22" customHeight="1">
      <x:c r="A206" s="17" t="str">
        <x:f>"02149000"</x:f>
        <x:v>02149000</x:v>
      </x:c>
      <x:c r="B206" s="13" t="n">
        <x:v>42</x:v>
      </x:c>
      <x:c r="C206" s="22" t="b">
        <x:v>1</x:v>
      </x:c>
      <x:c r="D206" s="11" t="n">
        <x:v>0.0132013200782239</x:v>
      </x:c>
      <x:c r="E206" s="11" t="n">
        <x:v>0.0006067960979028334</x:v>
      </x:c>
      <x:c r="F206" s="11" t="n">
        <x:v>0.3044554591178894</x:v>
      </x:c>
      <x:c r="G206" s="13" t="n">
        <x:v>5</x:v>
      </x:c>
      <x:c r="H206" s="11" t="n">
        <x:v>0.7910507321357727</x:v>
      </x:c>
      <x:c r="I206" s="11" t="n">
        <x:v>0.7937316298484802</x:v>
      </x:c>
      <x:c r="J206" s="24" t="n">
        <x:v>138.5677153551951</x:v>
      </x:c>
      <x:c r="K206" s="24" t="n">
        <x:v>146.87613940238953</x:v>
      </x:c>
      <x:c r="L206" s="11" t="n">
        <x:v>0.4950495064258575</x:v>
      </x:c>
      <x:c r="M206" s="11" t="n">
        <x:v>0.0999393239617347</x:v>
      </x:c>
    </x:row>
    <x:row r="207" ht="22" customHeight="1">
      <x:c r="A207" s="17" t="str">
        <x:f>"02149000"</x:f>
        <x:v>02149000</x:v>
      </x:c>
      <x:c r="B207" s="13" t="n">
        <x:v>42</x:v>
      </x:c>
      <x:c r="C207" s="22" t="b">
        <x:v>0</x:v>
      </x:c>
      <x:c r="D207" s="11" t="n">
        <x:v>0.027295285525421237</x:v>
      </x:c>
      <x:c r="E207" s="11" t="n">
        <x:v>0.00026986182395673334</x:v>
      </x:c>
      <x:c r="F207" s="11" t="n">
        <x:v>0.444168746471405</x:v>
      </x:c>
      <x:c r="G207" s="13" t="n">
        <x:v>10</x:v>
      </x:c>
      <x:c r="H207" s="11" t="n">
        <x:v>0.9109912514686584</x:v>
      </x:c>
      <x:c r="I207" s="11" t="n">
        <x:v>0.9109912514686584</x:v>
      </x:c>
      <x:c r="J207" s="24" t="n">
        <x:v>139.83166346699</x:v>
      </x:c>
      <x:c r="K207" s="24" t="n">
        <x:v>156.23695039749146</x:v>
      </x:c>
      <x:c r="L207" s="11" t="n">
        <x:v>0.444168746471405</x:v>
      </x:c>
      <x:c r="M207" s="11" t="n">
        <x:v>0.0999332070350647</x:v>
      </x:c>
    </x:row>
    <x:row r="208" ht="22" customHeight="1">
      <x:c r="A208" s="17" t="str">
        <x:f>"02152100"</x:f>
        <x:v>02152100</x:v>
      </x:c>
      <x:c r="B208" s="13" t="n">
        <x:v>42</x:v>
      </x:c>
      <x:c r="C208" s="22" t="b">
        <x:v>1</x:v>
      </x:c>
      <x:c r="D208" s="11" t="n">
        <x:v>0.01567656748617687</x:v>
      </x:c>
      <x:c r="E208" s="11" t="n">
        <x:v>0.00026968715731826666</x:v>
      </x:c>
      <x:c r="F208" s="11" t="n">
        <x:v>0.2846534550189972</x:v>
      </x:c>
      <x:c r="G208" s="13" t="n">
        <x:v>6</x:v>
      </x:c>
      <x:c r="H208" s="11" t="n">
        <x:v>1.6635587215423584</x:v>
      </x:c>
      <x:c r="I208" s="11" t="n">
        <x:v>1.6691237688064575</x:v>
      </x:c>
      <x:c r="J208" s="24" t="n">
        <x:v>134.53441168833524</x:v>
      </x:c>
      <x:c r="K208" s="24" t="n">
        <x:v>145.94956040382385</x:v>
      </x:c>
      <x:c r="L208" s="11" t="n">
        <x:v>0.4009900987148285</x:v>
      </x:c>
      <x:c r="M208" s="11" t="n">
        <x:v>0.0999393239617347</x:v>
      </x:c>
    </x:row>
    <x:row r="209" ht="22" customHeight="1">
      <x:c r="A209" s="17" t="str">
        <x:f>"02152100"</x:f>
        <x:v>02152100</x:v>
      </x:c>
      <x:c r="B209" s="13" t="n">
        <x:v>42</x:v>
      </x:c>
      <x:c r="C209" s="22" t="b">
        <x:v>0</x:v>
      </x:c>
      <x:c r="D209" s="11" t="n">
        <x:v>0.028949545075495967</x:v>
      </x:c>
      <x:c r="E209" s="11" t="n">
        <x:v>0.0005059909405341666</x:v>
      </x:c>
      <x:c r="F209" s="11" t="n">
        <x:v>0.3895781636238098</x:v>
      </x:c>
      <x:c r="G209" s="13" t="n">
        <x:v>10</x:v>
      </x:c>
      <x:c r="H209" s="11" t="n">
        <x:v>1.7819091081619265</x:v>
      </x:c>
      <x:c r="I209" s="11" t="n">
        <x:v>1.7819091081619265</x:v>
      </x:c>
      <x:c r="J209" s="24" t="n">
        <x:v>137.30818242859095</x:v>
      </x:c>
      <x:c r="K209" s="24" t="n">
        <x:v>148.25749969482422</x:v>
      </x:c>
      <x:c r="L209" s="11" t="n">
        <x:v>0.3895781636238098</x:v>
      </x:c>
      <x:c r="M209" s="11" t="n">
        <x:v>0.0999332070350647</x:v>
      </x:c>
    </x:row>
    <x:row r="210" ht="22" customHeight="1">
      <x:c r="A210" s="17" t="str">
        <x:f>"02177000"</x:f>
        <x:v>02177000</x:v>
      </x:c>
      <x:c r="B210" s="13" t="n">
        <x:v>42</x:v>
      </x:c>
      <x:c r="C210" s="22" t="b">
        <x:v>1</x:v>
      </x:c>
      <x:c r="D210" s="11" t="n">
        <x:v>0.026402641087770396</x:v>
      </x:c>
      <x:c r="E210" s="11" t="n">
        <x:v>0.0005326321503768</x:v>
      </x:c>
      <x:c r="F210" s="11" t="n">
        <x:v>0.4084158539772033</x:v>
      </x:c>
      <x:c r="G210" s="13" t="n">
        <x:v>10</x:v>
      </x:c>
      <x:c r="H210" s="11" t="n">
        <x:v>1.3497146368026731</x:v>
      </x:c>
      <x:c r="I210" s="11" t="n">
        <x:v>1.3497146368026731</x:v>
      </x:c>
      <x:c r="J210" s="24" t="n">
        <x:v>133.96261839475483</x:v>
      </x:c>
      <x:c r="K210" s="24" t="n">
        <x:v>146.8722083568573</x:v>
      </x:c>
      <x:c r="L210" s="11" t="n">
        <x:v>0.4084158539772033</x:v>
      </x:c>
      <x:c r="M210" s="11" t="n">
        <x:v>0.0999393239617347</x:v>
      </x:c>
    </x:row>
    <x:row r="211" ht="22" customHeight="1">
      <x:c r="A211" s="17" t="str">
        <x:f>"02177000"</x:f>
        <x:v>02177000</x:v>
      </x:c>
      <x:c r="B211" s="13" t="n">
        <x:v>42</x:v>
      </x:c>
      <x:c r="C211" s="22" t="b">
        <x:v>0</x:v>
      </x:c>
      <x:c r="D211" s="11" t="n">
        <x:v>0.0206782463937997</x:v>
      </x:c>
      <x:c r="E211" s="11" t="n">
        <x:v>0.0003440738267575</x:v>
      </x:c>
      <x:c r="F211" s="11" t="n">
        <x:v>0.3424317538738251</x:v>
      </x:c>
      <x:c r="G211" s="13" t="n">
        <x:v>9</x:v>
      </x:c>
      <x:c r="H211" s="11" t="n">
        <x:v>1.642001986503601</x:v>
      </x:c>
      <x:c r="I211" s="11" t="n">
        <x:v>1.6668226718902588</x:v>
      </x:c>
      <x:c r="J211" s="24" t="n">
        <x:v>138.07864107657224</x:v>
      </x:c>
      <x:c r="K211" s="24" t="n">
        <x:v>152.24884867668152</x:v>
      </x:c>
      <x:c r="L211" s="11" t="n">
        <x:v>0.3796526193618774</x:v>
      </x:c>
      <x:c r="M211" s="11" t="n">
        <x:v>0.0999332070350647</x:v>
      </x:c>
    </x:row>
    <x:row r="212" ht="22" customHeight="1">
      <x:c r="A212" s="17" t="str">
        <x:f>"02202600"</x:f>
        <x:v>02202600</x:v>
      </x:c>
      <x:c r="B212" s="13" t="n">
        <x:v>42</x:v>
      </x:c>
      <x:c r="C212" s="22" t="b">
        <x:v>1</x:v>
      </x:c>
      <x:c r="D212" s="11" t="n">
        <x:v>0.017326732786993135</x:v>
      </x:c>
      <x:c r="E212" s="11" t="n">
        <x:v>0.00033036677632473335</x:v>
      </x:c>
      <x:c r="F212" s="11" t="n">
        <x:v>0.2772277295589447</x:v>
      </x:c>
      <x:c r="G212" s="13" t="n">
        <x:v>10</x:v>
      </x:c>
      <x:c r="H212" s="11" t="n">
        <x:v>0.050525426864624</x:v>
      </x:c>
      <x:c r="I212" s="11" t="n">
        <x:v>0.050525426864624</x:v>
      </x:c>
      <x:c r="J212" s="24" t="n">
        <x:v>135.10446670558304</x:v>
      </x:c>
      <x:c r="K212" s="24" t="n">
        <x:v>143.96946477890015</x:v>
      </x:c>
      <x:c r="L212" s="11" t="n">
        <x:v>0.2772277295589447</x:v>
      </x:c>
      <x:c r="M212" s="11" t="n">
        <x:v>0.0999393239617347</x:v>
      </x:c>
    </x:row>
    <x:row r="213" ht="22" customHeight="1">
      <x:c r="A213" s="17" t="str">
        <x:f>"02202600"</x:f>
        <x:v>02202600</x:v>
      </x:c>
      <x:c r="B213" s="13" t="n">
        <x:v>42</x:v>
      </x:c>
      <x:c r="C213" s="22" t="b">
        <x:v>0</x:v>
      </x:c>
      <x:c r="D213" s="11" t="n">
        <x:v>0.025641025664905632</x:v>
      </x:c>
      <x:c r="E213" s="11" t="n">
        <x:v>0.0006476683968988001</x:v>
      </x:c>
      <x:c r="F213" s="11" t="n">
        <x:v>0.3870967626571655</x:v>
      </x:c>
      <x:c r="G213" s="13" t="n">
        <x:v>2</x:v>
      </x:c>
      <x:c r="H213" s="11" t="n">
        <x:v>0.4000094532966614</x:v>
      </x:c>
      <x:c r="I213" s="11" t="n">
        <x:v>0.5768823623657227</x:v>
      </x:c>
      <x:c r="J213" s="24" t="n">
        <x:v>134.0693356655538</x:v>
      </x:c>
      <x:c r="K213" s="24" t="n">
        <x:v>154.43611025810242</x:v>
      </x:c>
      <x:c r="L213" s="11" t="n">
        <x:v>0.8337469100952148</x:v>
      </x:c>
      <x:c r="M213" s="11" t="n">
        <x:v>0.0999332070350647</x:v>
      </x:c>
    </x:row>
    <x:row r="214" ht="22" customHeight="1">
      <x:c r="A214" s="17" t="str">
        <x:f>"02212600"</x:f>
        <x:v>02212600</x:v>
      </x:c>
      <x:c r="B214" s="13" t="n">
        <x:v>42</x:v>
      </x:c>
      <x:c r="C214" s="22" t="b">
        <x:v>1</x:v>
      </x:c>
      <x:c r="D214" s="11" t="n">
        <x:v>0.028877887874841662</x:v>
      </x:c>
      <x:c r="E214" s="11" t="n">
        <x:v>0.0006067961318573</x:v>
      </x:c>
      <x:c r="F214" s="11" t="n">
        <x:v>0.3143564462661743</x:v>
      </x:c>
      <x:c r="G214" s="13" t="n">
        <x:v>10</x:v>
      </x:c>
      <x:c r="H214" s="11" t="n">
        <x:v>0.441270500421524</x:v>
      </x:c>
      <x:c r="I214" s="11" t="n">
        <x:v>0.441270500421524</x:v>
      </x:c>
      <x:c r="J214" s="24" t="n">
        <x:v>135.135265044868</x:v>
      </x:c>
      <x:c r="K214" s="24" t="n">
        <x:v>148.22235774993896</x:v>
      </x:c>
      <x:c r="L214" s="11" t="n">
        <x:v>0.3143564462661743</x:v>
      </x:c>
      <x:c r="M214" s="11" t="n">
        <x:v>0.0999393239617347</x:v>
      </x:c>
    </x:row>
    <x:row r="215" ht="22" customHeight="1">
      <x:c r="A215" s="17" t="str">
        <x:f>"02212600"</x:f>
        <x:v>02212600</x:v>
      </x:c>
      <x:c r="B215" s="13" t="n">
        <x:v>42</x:v>
      </x:c>
      <x:c r="C215" s="22" t="b">
        <x:v>0</x:v>
      </x:c>
      <x:c r="D215" s="11" t="n">
        <x:v>0.02812241452435643</x:v>
      </x:c>
      <x:c r="E215" s="11" t="n">
        <x:v>0.0004047927407858</x:v>
      </x:c>
      <x:c r="F215" s="11" t="n">
        <x:v>0.4243176281452179</x:v>
      </x:c>
      <x:c r="G215" s="13" t="n">
        <x:v>3</x:v>
      </x:c>
      <x:c r="H215" s="11" t="n">
        <x:v>0.4998323619365692</x:v>
      </x:c>
      <x:c r="I215" s="11" t="n">
        <x:v>0.5253540873527527</x:v>
      </x:c>
      <x:c r="J215" s="24" t="n">
        <x:v>133.80602585989982</x:v>
      </x:c>
      <x:c r="K215" s="24" t="n">
        <x:v>151.2635543346405</x:v>
      </x:c>
      <x:c r="L215" s="11" t="n">
        <x:v>0.729528546333313</x:v>
      </x:c>
      <x:c r="M215" s="11" t="n">
        <x:v>0.0999332070350647</x:v>
      </x:c>
    </x:row>
    <x:row r="216" ht="22" customHeight="1">
      <x:c r="A216" s="17" t="str">
        <x:f>"02221525"</x:f>
        <x:v>02221525</x:v>
      </x:c>
      <x:c r="B216" s="13" t="n">
        <x:v>42</x:v>
      </x:c>
      <x:c r="C216" s="22" t="b">
        <x:v>1</x:v>
      </x:c>
      <x:c r="D216" s="11" t="n">
        <x:v>0.020627062767744</x:v>
      </x:c>
      <x:c r="E216" s="11" t="n">
        <x:v>0.0008158036701690999</x:v>
      </x:c>
      <x:c r="F216" s="11" t="n">
        <x:v>0.396039605140686</x:v>
      </x:c>
      <x:c r="G216" s="13" t="n">
        <x:v>10</x:v>
      </x:c>
      <x:c r="H216" s="11" t="n">
        <x:v>0.1647132486104965</x:v>
      </x:c>
      <x:c r="I216" s="11" t="n">
        <x:v>0.1647132486104965</x:v>
      </x:c>
      <x:c r="J216" s="24" t="n">
        <x:v>134.8189524980262</x:v>
      </x:c>
      <x:c r="K216" s="24" t="n">
        <x:v>151.42346096038818</x:v>
      </x:c>
      <x:c r="L216" s="11" t="n">
        <x:v>0.396039605140686</x:v>
      </x:c>
      <x:c r="M216" s="11" t="n">
        <x:v>0.0999393239617347</x:v>
      </x:c>
    </x:row>
    <x:row r="217" ht="22" customHeight="1">
      <x:c r="A217" s="17" t="str">
        <x:f>"02221525"</x:f>
        <x:v>02221525</x:v>
      </x:c>
      <x:c r="B217" s="13" t="n">
        <x:v>42</x:v>
      </x:c>
      <x:c r="C217" s="22" t="b">
        <x:v>0</x:v>
      </x:c>
      <x:c r="D217" s="11" t="n">
        <x:v>0.047146402299404096</x:v>
      </x:c>
      <x:c r="E217" s="11" t="n">
        <x:v>0.0005869494731692667</x:v>
      </x:c>
      <x:c r="F217" s="11" t="n">
        <x:v>0.4789081811904907</x:v>
      </x:c>
      <x:c r="G217" s="13" t="n">
        <x:v>2</x:v>
      </x:c>
      <x:c r="H217" s="11" t="n">
        <x:v>0.2672207057476043</x:v>
      </x:c>
      <x:c r="I217" s="11" t="n">
        <x:v>0.3722705245018005</x:v>
      </x:c>
      <x:c r="J217" s="24" t="n">
        <x:v>133.00928871054202</x:v>
      </x:c>
      <x:c r="K217" s="24" t="n">
        <x:v>159.33873343467712</x:v>
      </x:c>
      <x:c r="L217" s="11" t="n">
        <x:v>0.8833746910095215</x:v>
      </x:c>
      <x:c r="M217" s="11" t="n">
        <x:v>0.0999332070350647</x:v>
      </x:c>
    </x:row>
    <x:row r="218" ht="22" customHeight="1">
      <x:c r="A218" s="17" t="str">
        <x:f>"02231000"</x:f>
        <x:v>02231000</x:v>
      </x:c>
      <x:c r="B218" s="13" t="n">
        <x:v>42</x:v>
      </x:c>
      <x:c r="C218" s="22" t="b">
        <x:v>1</x:v>
      </x:c>
      <x:c r="D218" s="11" t="n">
        <x:v>0.006600660039111934</x:v>
      </x:c>
      <x:c r="E218" s="11" t="n">
        <x:v>0.0002764293409806</x:v>
      </x:c>
      <x:c r="F218" s="11" t="n">
        <x:v>0.2425742596387863</x:v>
      </x:c>
      <x:c r="G218" s="13" t="n">
        <x:v>10</x:v>
      </x:c>
      <x:c r="H218" s="11" t="n">
        <x:v>0.1310784667730331</x:v>
      </x:c>
      <x:c r="I218" s="11" t="n">
        <x:v>0.1310784667730331</x:v>
      </x:c>
      <x:c r="J218" s="24" t="n">
        <x:v>132.84176413156092</x:v>
      </x:c>
      <x:c r="K218" s="24" t="n">
        <x:v>143.82121181488037</x:v>
      </x:c>
      <x:c r="L218" s="11" t="n">
        <x:v>0.2425742596387863</x:v>
      </x:c>
      <x:c r="M218" s="11" t="n">
        <x:v>0.0999393239617347</x:v>
      </x:c>
    </x:row>
    <x:row r="219" ht="22" customHeight="1">
      <x:c r="A219" s="17" t="str">
        <x:f>"02231000"</x:f>
        <x:v>02231000</x:v>
      </x:c>
      <x:c r="B219" s="13" t="n">
        <x:v>42</x:v>
      </x:c>
      <x:c r="C219" s="22" t="b">
        <x:v>0</x:v>
      </x:c>
      <x:c r="D219" s="11" t="n">
        <x:v>0.0289495456963777</x:v>
      </x:c>
      <x:c r="E219" s="11" t="n">
        <x:v>0.0002901014716674333</x:v>
      </x:c>
      <x:c r="F219" s="11" t="n">
        <x:v>0.4168734550476074</x:v>
      </x:c>
      <x:c r="G219" s="13" t="n">
        <x:v>7</x:v>
      </x:c>
      <x:c r="H219" s="11" t="n">
        <x:v>0.6439080238342285</x:v>
      </x:c>
      <x:c r="I219" s="11" t="n">
        <x:v>0.7421386241912842</x:v>
      </x:c>
      <x:c r="J219" s="24" t="n">
        <x:v>134.06024528294802</x:v>
      </x:c>
      <x:c r="K219" s="24" t="n">
        <x:v>153.9857165813446</x:v>
      </x:c>
      <x:c r="L219" s="11" t="n">
        <x:v>0.4714640080928802</x:v>
      </x:c>
      <x:c r="M219" s="11" t="n">
        <x:v>0.0999332070350647</x:v>
      </x:c>
    </x:row>
    <x:row r="220" ht="22" customHeight="1">
      <x:c r="A220" s="17" t="str">
        <x:f>"02231342"</x:f>
        <x:v>02231342</x:v>
      </x:c>
      <x:c r="B220" s="13" t="n">
        <x:v>42</x:v>
      </x:c>
      <x:c r="C220" s="22" t="b">
        <x:v>1</x:v>
      </x:c>
      <x:c r="D220" s="11" t="n">
        <x:v>0.009900990252693467</x:v>
      </x:c>
      <x:c r="E220" s="11" t="n">
        <x:v>0.0006337648374028</x:v>
      </x:c>
      <x:c r="F220" s="11" t="n">
        <x:v>0.3242574334144592</x:v>
      </x:c>
      <x:c r="G220" s="13" t="n">
        <x:v>8</x:v>
      </x:c>
      <x:c r="H220" s="11" t="n">
        <x:v>0.3861639499664306</x:v>
      </x:c>
      <x:c r="I220" s="11" t="n">
        <x:v>0.410479336977005</x:v>
      </x:c>
      <x:c r="J220" s="24" t="n">
        <x:v>134.68301030341536</x:v>
      </x:c>
      <x:c r="K220" s="24" t="n">
        <x:v>146.165034532547</x:v>
      </x:c>
      <x:c r="L220" s="11" t="n">
        <x:v>0.3811881244182586</x:v>
      </x:c>
      <x:c r="M220" s="11" t="n">
        <x:v>0.0999393239617347</x:v>
      </x:c>
    </x:row>
    <x:row r="221" ht="22" customHeight="1">
      <x:c r="A221" s="17" t="str">
        <x:f>"02231342"</x:f>
        <x:v>02231342</x:v>
      </x:c>
      <x:c r="B221" s="13" t="n">
        <x:v>42</x:v>
      </x:c>
      <x:c r="C221" s="22" t="b">
        <x:v>0</x:v>
      </x:c>
      <x:c r="D221" s="11" t="n">
        <x:v>0.0380479730665683</x:v>
      </x:c>
      <x:c r="E221" s="11" t="n">
        <x:v>0.00029684802090433333</x:v>
      </x:c>
      <x:c r="F221" s="11" t="n">
        <x:v>0.5062034726142883</x:v>
      </x:c>
      <x:c r="G221" s="13" t="n">
        <x:v>10</x:v>
      </x:c>
      <x:c r="H221" s="11" t="n">
        <x:v>1.2937860488891602</x:v>
      </x:c>
      <x:c r="I221" s="11" t="n">
        <x:v>1.2937860488891602</x:v>
      </x:c>
      <x:c r="J221" s="24" t="n">
        <x:v>139.52812095638365</x:v>
      </x:c>
      <x:c r="K221" s="24" t="n">
        <x:v>154.93945217132568</x:v>
      </x:c>
      <x:c r="L221" s="11" t="n">
        <x:v>0.5062034726142883</x:v>
      </x:c>
      <x:c r="M221" s="11" t="n">
        <x:v>0.0999332070350647</x:v>
      </x:c>
    </x:row>
    <x:row r="222" ht="22" customHeight="1">
      <x:c r="A222" s="17" t="str">
        <x:f>"02245500"</x:f>
        <x:v>02245500</x:v>
      </x:c>
      <x:c r="B222" s="13" t="n">
        <x:v>42</x:v>
      </x:c>
      <x:c r="C222" s="22" t="b">
        <x:v>1</x:v>
      </x:c>
      <x:c r="D222" s="11" t="n">
        <x:v>0.0231023104861378</x:v>
      </x:c>
      <x:c r="E222" s="11" t="n">
        <x:v>0.0003168824138507333</x:v>
      </x:c>
      <x:c r="F222" s="11" t="n">
        <x:v>0.3638613820075989</x:v>
      </x:c>
      <x:c r="G222" s="13" t="n">
        <x:v>10</x:v>
      </x:c>
      <x:c r="H222" s="11" t="n">
        <x:v>0.4983852803707123</x:v>
      </x:c>
      <x:c r="I222" s="11" t="n">
        <x:v>0.4983852803707123</x:v>
      </x:c>
      <x:c r="J222" s="24" t="n">
        <x:v>136.2250645942986</x:v>
      </x:c>
      <x:c r="K222" s="24" t="n">
        <x:v>149.16396498680115</x:v>
      </x:c>
      <x:c r="L222" s="11" t="n">
        <x:v>0.3638613820075989</x:v>
      </x:c>
      <x:c r="M222" s="11" t="n">
        <x:v>0.0999393239617347</x:v>
      </x:c>
    </x:row>
    <x:row r="223" ht="22" customHeight="1">
      <x:c r="A223" s="17" t="str">
        <x:f>"02245500"</x:f>
        <x:v>02245500</x:v>
      </x:c>
      <x:c r="B223" s="13" t="n">
        <x:v>42</x:v>
      </x:c>
      <x:c r="C223" s="22" t="b">
        <x:v>0</x:v>
      </x:c>
      <x:c r="D223" s="11" t="n">
        <x:v>0.037220843757192236</x:v>
      </x:c>
      <x:c r="E223" s="11" t="n">
        <x:v>0.00024287565126233335</x:v>
      </x:c>
      <x:c r="F223" s="11" t="n">
        <x:v>0.4937965273857116</x:v>
      </x:c>
      <x:c r="G223" s="13" t="n">
        <x:v>8</x:v>
      </x:c>
      <x:c r="H223" s="11" t="n">
        <x:v>0.8418892025947571</x:v>
      </x:c>
      <x:c r="I223" s="11" t="n">
        <x:v>0.8518678545951843</x:v>
      </x:c>
      <x:c r="J223" s="24" t="n">
        <x:v>140.87153012491763</x:v>
      </x:c>
      <x:c r="K223" s="24" t="n">
        <x:v>158.31210589408875</x:v>
      </x:c>
      <x:c r="L223" s="11" t="n">
        <x:v>0.5632754564285278</x:v>
      </x:c>
      <x:c r="M223" s="11" t="n">
        <x:v>0.0999332070350647</x:v>
      </x:c>
    </x:row>
    <x:row r="224" ht="22" customHeight="1">
      <x:c r="A224" s="17" t="str">
        <x:f>"02246000"</x:f>
        <x:v>02246000</x:v>
      </x:c>
      <x:c r="B224" s="13" t="n">
        <x:v>42</x:v>
      </x:c>
      <x:c r="C224" s="22" t="b">
        <x:v>1</x:v>
      </x:c>
      <x:c r="D224" s="11" t="n">
        <x:v>0.0297029707580804</x:v>
      </x:c>
      <x:c r="E224" s="11" t="n">
        <x:v>0.000316882423552</x:v>
      </x:c>
      <x:c r="F224" s="11" t="n">
        <x:v>0.3811881244182586</x:v>
      </x:c>
      <x:c r="G224" s="13" t="n">
        <x:v>7</x:v>
      </x:c>
      <x:c r="H224" s="11" t="n">
        <x:v>0.2820712625980377</x:v>
      </x:c>
      <x:c r="I224" s="11" t="n">
        <x:v>0.298094630241394</x:v>
      </x:c>
      <x:c r="J224" s="24" t="n">
        <x:v>137.38055198080838</x:v>
      </x:c>
      <x:c r="K224" s="24" t="n">
        <x:v>153.15157532691956</x:v>
      </x:c>
      <x:c r="L224" s="11" t="n">
        <x:v>0.4727722704410553</x:v>
      </x:c>
      <x:c r="M224" s="11" t="n">
        <x:v>0.0999393239617347</x:v>
      </x:c>
    </x:row>
    <x:row r="225" ht="22" customHeight="1">
      <x:c r="A225" s="17" t="str">
        <x:f>"02246000"</x:f>
        <x:v>02246000</x:v>
      </x:c>
      <x:c r="B225" s="13" t="n">
        <x:v>42</x:v>
      </x:c>
      <x:c r="C225" s="22" t="b">
        <x:v>0</x:v>
      </x:c>
      <x:c r="D225" s="11" t="n">
        <x:v>0.028949545075495964</x:v>
      </x:c>
      <x:c r="E225" s="11" t="n">
        <x:v>0.0002563687351842</x:v>
      </x:c>
      <x:c r="F225" s="11" t="n">
        <x:v>0.4565756916999817</x:v>
      </x:c>
      <x:c r="G225" s="13" t="n">
        <x:v>7</x:v>
      </x:c>
      <x:c r="H225" s="11" t="n">
        <x:v>0.3992736935615539</x:v>
      </x:c>
      <x:c r="I225" s="11" t="n">
        <x:v>0.4695998430252075</x:v>
      </x:c>
      <x:c r="J225" s="24" t="n">
        <x:v>139.51729607582092</x:v>
      </x:c>
      <x:c r="K225" s="24" t="n">
        <x:v>158.3563768863678</x:v>
      </x:c>
      <x:c r="L225" s="11" t="n">
        <x:v>0.5583126544952393</x:v>
      </x:c>
      <x:c r="M225" s="11" t="n">
        <x:v>0.0999332070350647</x:v>
      </x:c>
    </x:row>
    <x:row r="226" ht="22" customHeight="1">
      <x:c r="A226" s="17" t="str">
        <x:f>"02296500"</x:f>
        <x:v>02296500</x:v>
      </x:c>
      <x:c r="B226" s="13" t="n">
        <x:v>42</x:v>
      </x:c>
      <x:c r="C226" s="22" t="b">
        <x:v>1</x:v>
      </x:c>
      <x:c r="D226" s="11" t="n">
        <x:v>0.016501650524636067</x:v>
      </x:c>
      <x:c r="E226" s="11" t="n">
        <x:v>0.00027642934583123335</x:v>
      </x:c>
      <x:c r="F226" s="11" t="n">
        <x:v>0.3341584205627441</x:v>
      </x:c>
      <x:c r="G226" s="13" t="n">
        <x:v>8</x:v>
      </x:c>
      <x:c r="H226" s="11" t="n">
        <x:v>0.0230363328009843</x:v>
      </x:c>
      <x:c r="I226" s="11" t="n">
        <x:v>0.0233804583549499</x:v>
      </x:c>
      <x:c r="J226" s="24" t="n">
        <x:v>144.75029749330133</x:v>
      </x:c>
      <x:c r="K226" s="24" t="n">
        <x:v>156.0236759185791</x:v>
      </x:c>
      <x:c r="L226" s="11" t="n">
        <x:v>0.396039605140686</x:v>
      </x:c>
      <x:c r="M226" s="11" t="n">
        <x:v>0.0999393239617347</x:v>
      </x:c>
    </x:row>
    <x:row r="227" ht="22" customHeight="1">
      <x:c r="A227" s="17" t="str">
        <x:f>"02296500"</x:f>
        <x:v>02296500</x:v>
      </x:c>
      <x:c r="B227" s="13" t="n">
        <x:v>42</x:v>
      </x:c>
      <x:c r="C227" s="22" t="b">
        <x:v>0</x:v>
      </x:c>
      <x:c r="D227" s="11" t="n">
        <x:v>0.0438378825783729</x:v>
      </x:c>
      <x:c r="E227" s="11" t="n">
        <x:v>0.00033732729692316667</x:v>
      </x:c>
      <x:c r="F227" s="11" t="n">
        <x:v>0.5062034726142883</x:v>
      </x:c>
      <x:c r="G227" s="13" t="n">
        <x:v>3</x:v>
      </x:c>
      <x:c r="H227" s="11" t="n">
        <x:v>0.4567116796970367</x:v>
      </x:c>
      <x:c r="I227" s="11" t="n">
        <x:v>0.5177268385887146</x:v>
      </x:c>
      <x:c r="J227" s="24" t="n">
        <x:v>134.90380271617323</x:v>
      </x:c>
      <x:c r="K227" s="24" t="n">
        <x:v>155.69321155548096</x:v>
      </x:c>
      <x:c r="L227" s="11" t="n">
        <x:v>0.8238213658332825</x:v>
      </x:c>
      <x:c r="M227" s="11" t="n">
        <x:v>0.0999332070350647</x:v>
      </x:c>
    </x:row>
    <x:row r="228" ht="22" customHeight="1">
      <x:c r="A228" s="17" t="str">
        <x:f>"02297155"</x:f>
        <x:v>02297155</x:v>
      </x:c>
      <x:c r="B228" s="13" t="n">
        <x:v>42</x:v>
      </x:c>
      <x:c r="C228" s="22" t="b">
        <x:v>1</x:v>
      </x:c>
      <x:c r="D228" s="11" t="n">
        <x:v>0.023102310175696934</x:v>
      </x:c>
      <x:c r="E228" s="11" t="n">
        <x:v>0.0005191477927534</x:v>
      </x:c>
      <x:c r="F228" s="11" t="n">
        <x:v>0.3613861501216888</x:v>
      </x:c>
      <x:c r="G228" s="13" t="n">
        <x:v>9</x:v>
      </x:c>
      <x:c r="H228" s="11" t="n">
        <x:v>0.1339766085147857</x:v>
      </x:c>
      <x:c r="I228" s="11" t="n">
        <x:v>0.1356937289237976</x:v>
      </x:c>
      <x:c r="J228" s="24" t="n">
        <x:v>138.2047967147082</x:v>
      </x:c>
      <x:c r="K228" s="24" t="n">
        <x:v>150.59312438964844</x:v>
      </x:c>
      <x:c r="L228" s="11" t="n">
        <x:v>0.3935643434524536</x:v>
      </x:c>
      <x:c r="M228" s="11" t="n">
        <x:v>0.0999393239617347</x:v>
      </x:c>
    </x:row>
    <x:row r="229" ht="22" customHeight="1">
      <x:c r="A229" s="17" t="str">
        <x:f>"02297155"</x:f>
        <x:v>02297155</x:v>
      </x:c>
      <x:c r="B229" s="13" t="n">
        <x:v>42</x:v>
      </x:c>
      <x:c r="C229" s="22" t="b">
        <x:v>0</x:v>
      </x:c>
      <x:c r="D229" s="11" t="n">
        <x:v>0.05541770160198207</x:v>
      </x:c>
      <x:c r="E229" s="11" t="n">
        <x:v>0.0005397236479135001</x:v>
      </x:c>
      <x:c r="F229" s="11" t="n">
        <x:v>0.5161290168762207</x:v>
      </x:c>
      <x:c r="G229" s="13" t="n">
        <x:v>3</x:v>
      </x:c>
      <x:c r="H229" s="11" t="n">
        <x:v>0.4242516160011291</x:v>
      </x:c>
      <x:c r="I229" s="11" t="n">
        <x:v>0.5129991173744202</x:v>
      </x:c>
      <x:c r="J229" s="24" t="n">
        <x:v>136.9082874218002</x:v>
      </x:c>
      <x:c r="K229" s="24" t="n">
        <x:v>163.1157066822052</x:v>
      </x:c>
      <x:c r="L229" s="11" t="n">
        <x:v>0.8089330196380615</x:v>
      </x:c>
      <x:c r="M229" s="11" t="n">
        <x:v>0.0999332070350647</x:v>
      </x:c>
    </x:row>
    <x:row r="230" ht="22" customHeight="1">
      <x:c r="A230" s="17" t="str">
        <x:f>"02297310"</x:f>
        <x:v>02297310</x:v>
      </x:c>
      <x:c r="B230" s="13" t="n">
        <x:v>42</x:v>
      </x:c>
      <x:c r="C230" s="22" t="b">
        <x:v>1</x:v>
      </x:c>
      <x:c r="D230" s="11" t="n">
        <x:v>0.018976897932589002</x:v>
      </x:c>
      <x:c r="E230" s="11" t="n">
        <x:v>0.00035059330790920004</x:v>
      </x:c>
      <x:c r="F230" s="11" t="n">
        <x:v>0.3811881244182586</x:v>
      </x:c>
      <x:c r="G230" s="13" t="n">
        <x:v>6</x:v>
      </x:c>
      <x:c r="H230" s="11" t="n">
        <x:v>0.028178809210658</x:v>
      </x:c>
      <x:c r="I230" s="11" t="n">
        <x:v>0.0317965820431709</x:v>
      </x:c>
      <x:c r="J230" s="24" t="n">
        <x:v>135.12670715339482</x:v>
      </x:c>
      <x:c r="K230" s="24" t="n">
        <x:v>150.67784190177917</x:v>
      </x:c>
      <x:c r="L230" s="11" t="n">
        <x:v>0.5099009871482849</x:v>
      </x:c>
      <x:c r="M230" s="11" t="n">
        <x:v>0.0999393239617347</x:v>
      </x:c>
    </x:row>
    <x:row r="231" ht="22" customHeight="1">
      <x:c r="A231" s="17" t="str">
        <x:f>"02297310"</x:f>
        <x:v>02297310</x:v>
      </x:c>
      <x:c r="B231" s="13" t="n">
        <x:v>42</x:v>
      </x:c>
      <x:c r="C231" s="22" t="b">
        <x:v>0</x:v>
      </x:c>
      <x:c r="D231" s="11" t="n">
        <x:v>0.0322580635547637</x:v>
      </x:c>
      <x:c r="E231" s="11" t="n">
        <x:v>0.00045201855634026666</x:v>
      </x:c>
      <x:c r="F231" s="11" t="n">
        <x:v>0.4689826369285583</x:v>
      </x:c>
      <x:c r="G231" s="13" t="n">
        <x:v>8</x:v>
      </x:c>
      <x:c r="H231" s="11" t="n">
        <x:v>0.3793823421001434</x:v>
      </x:c>
      <x:c r="I231" s="11" t="n">
        <x:v>0.6366310715675354</x:v>
      </x:c>
      <x:c r="J231" s="24" t="n">
        <x:v>136.09747999627143</x:v>
      </x:c>
      <x:c r="K231" s="24" t="n">
        <x:v>151.83450555801392</x:v>
      </x:c>
      <x:c r="L231" s="11" t="n">
        <x:v>0.5161290168762207</x:v>
      </x:c>
      <x:c r="M231" s="11" t="n">
        <x:v>0.0999332070350647</x:v>
      </x:c>
    </x:row>
    <x:row r="232" ht="22" customHeight="1">
      <x:c r="A232" s="17" t="str">
        <x:f>"02298123"</x:f>
        <x:v>02298123</x:v>
      </x:c>
      <x:c r="B232" s="13" t="n">
        <x:v>42</x:v>
      </x:c>
      <x:c r="C232" s="22" t="b">
        <x:v>1</x:v>
      </x:c>
      <x:c r="D232" s="11" t="n">
        <x:v>0.014026402806242268</x:v>
      </x:c>
      <x:c r="E232" s="11" t="n">
        <x:v>0.0007146709831431334</x:v>
      </x:c>
      <x:c r="F232" s="11" t="n">
        <x:v>0.2747524678707123</x:v>
      </x:c>
      <x:c r="G232" s="13" t="n">
        <x:v>5</x:v>
      </x:c>
      <x:c r="H232" s="11" t="n">
        <x:v>0.0324030481278896</x:v>
      </x:c>
      <x:c r="I232" s="11" t="n">
        <x:v>0.0339829698204994</x:v>
      </x:c>
      <x:c r="J232" s="24" t="n">
        <x:v>135.77213455643505</x:v>
      </x:c>
      <x:c r="K232" s="24" t="n">
        <x:v>148.89040637016296</x:v>
      </x:c>
      <x:c r="L232" s="11" t="n">
        <x:v>0.4554455578327179</x:v>
      </x:c>
      <x:c r="M232" s="11" t="n">
        <x:v>0.0999393239617347</x:v>
      </x:c>
    </x:row>
    <x:row r="233" ht="22" customHeight="1">
      <x:c r="A233" s="17" t="str">
        <x:f>"02298123"</x:f>
        <x:v>02298123</x:v>
      </x:c>
      <x:c r="B233" s="13" t="n">
        <x:v>42</x:v>
      </x:c>
      <x:c r="C233" s="22" t="b">
        <x:v>0</x:v>
      </x:c>
      <x:c r="D233" s="11" t="n">
        <x:v>0.03143093486626936</x:v>
      </x:c>
      <x:c r="E233" s="11" t="n">
        <x:v>0.00031708765406310004</x:v>
      </x:c>
      <x:c r="F233" s="11" t="n">
        <x:v>0.4491315186023712</x:v>
      </x:c>
      <x:c r="G233" s="13" t="n">
        <x:v>5</x:v>
      </x:c>
      <x:c r="H233" s="11" t="n">
        <x:v>0.4494584500789642</x:v>
      </x:c>
      <x:c r="I233" s="11" t="n">
        <x:v>0.5387718081474304</x:v>
      </x:c>
      <x:c r="J233" s="24" t="n">
        <x:v>134.86163667216897</x:v>
      </x:c>
      <x:c r="K233" s="24" t="n">
        <x:v>154.40010595321655</x:v>
      </x:c>
      <x:c r="L233" s="11" t="n">
        <x:v>0.6476426720619202</x:v>
      </x:c>
      <x:c r="M233" s="11" t="n">
        <x:v>0.0999332070350647</x:v>
      </x:c>
    </x:row>
    <x:row r="234" ht="22" customHeight="1">
      <x:c r="A234" s="17" t="str">
        <x:f>"02298608"</x:f>
        <x:v>02298608</x:v>
      </x:c>
      <x:c r="B234" s="13" t="n">
        <x:v>42</x:v>
      </x:c>
      <x:c r="C234" s="22" t="b">
        <x:v>1</x:v>
      </x:c>
      <x:c r="D234" s="11" t="n">
        <x:v>0.038778877506653396</x:v>
      </x:c>
      <x:c r="E234" s="11" t="n">
        <x:v>0.00028991369375333336</x:v>
      </x:c>
      <x:c r="F234" s="11" t="n">
        <x:v>0.3341584205627441</x:v>
      </x:c>
      <x:c r="G234" s="13" t="n">
        <x:v>7</x:v>
      </x:c>
      <x:c r="H234" s="11" t="n">
        <x:v>0.0369583368301391</x:v>
      </x:c>
      <x:c r="I234" s="11" t="n">
        <x:v>0.0426823869347572</x:v>
      </x:c>
      <x:c r="J234" s="24" t="n">
        <x:v>137.0142702627927</x:v>
      </x:c>
      <x:c r="K234" s="24" t="n">
        <x:v>149.68571615219116</x:v>
      </x:c>
      <x:c r="L234" s="11" t="n">
        <x:v>0.4183168411254883</x:v>
      </x:c>
      <x:c r="M234" s="11" t="n">
        <x:v>0.0999393239617347</x:v>
      </x:c>
    </x:row>
    <x:row r="235" ht="22" customHeight="1">
      <x:c r="A235" s="17" t="str">
        <x:f>"02298608"</x:f>
        <x:v>02298608</x:v>
      </x:c>
      <x:c r="B235" s="13" t="n">
        <x:v>42</x:v>
      </x:c>
      <x:c r="C235" s="22" t="b">
        <x:v>0</x:v>
      </x:c>
      <x:c r="D235" s="11" t="n">
        <x:v>0.033085194105903236</x:v>
      </x:c>
      <x:c r="E235" s="11" t="n">
        <x:v>0.0002833549175799</x:v>
      </x:c>
      <x:c r="F235" s="11" t="n">
        <x:v>0.4764268100261688</x:v>
      </x:c>
      <x:c r="G235" s="13" t="n">
        <x:v>7</x:v>
      </x:c>
      <x:c r="H235" s="11" t="n">
        <x:v>0.2752318978309631</x:v>
      </x:c>
      <x:c r="I235" s="11" t="n">
        <x:v>0.3844209611415863</x:v>
      </x:c>
      <x:c r="J235" s="24" t="n">
        <x:v>140.51872685272247</x:v>
      </x:c>
      <x:c r="K235" s="24" t="n">
        <x:v>160.39623880386353</x:v>
      </x:c>
      <x:c r="L235" s="11" t="n">
        <x:v>0.555831253528595</x:v>
      </x:c>
      <x:c r="M235" s="11" t="n">
        <x:v>0.0999332070350647</x:v>
      </x:c>
    </x:row>
    <x:row r="236" ht="22" customHeight="1">
      <x:c r="A236" s="17" t="str">
        <x:f>"02299950"</x:f>
        <x:v>02299950</x:v>
      </x:c>
      <x:c r="B236" s="13" t="n">
        <x:v>42</x:v>
      </x:c>
      <x:c r="C236" s="22" t="b">
        <x:v>1</x:v>
      </x:c>
      <x:c r="D236" s="11" t="n">
        <x:v>0.0181518150493502</x:v>
      </x:c>
      <x:c r="E236" s="11" t="n">
        <x:v>0.000404530748104</x:v>
      </x:c>
      <x:c r="F236" s="11" t="n">
        <x:v>0.3292079269886017</x:v>
      </x:c>
      <x:c r="G236" s="13" t="n">
        <x:v>3</x:v>
      </x:c>
      <x:c r="H236" s="11" t="n">
        <x:v>0.2443425804376602</x:v>
      </x:c>
      <x:c r="I236" s="11" t="n">
        <x:v>0.2529801428318023</x:v>
      </x:c>
      <x:c r="J236" s="24" t="n">
        <x:v>135.94364581163973</x:v>
      </x:c>
      <x:c r="K236" s="24" t="n">
        <x:v>153.25579833984375</x:v>
      </x:c>
      <x:c r="L236" s="11" t="n">
        <x:v>0.6683168411254883</x:v>
      </x:c>
      <x:c r="M236" s="11" t="n">
        <x:v>0.0999393239617347</x:v>
      </x:c>
    </x:row>
    <x:row r="237" ht="22" customHeight="1">
      <x:c r="A237" s="17" t="str">
        <x:f>"02299950"</x:f>
        <x:v>02299950</x:v>
      </x:c>
      <x:c r="B237" s="13" t="n">
        <x:v>42</x:v>
      </x:c>
      <x:c r="C237" s="22" t="b">
        <x:v>0</x:v>
      </x:c>
      <x:c r="D237" s="11" t="n">
        <x:v>0.028122415145238167</x:v>
      </x:c>
      <x:c r="E237" s="11" t="n">
        <x:v>0.0004790047435865666</x:v>
      </x:c>
      <x:c r="F237" s="11" t="n">
        <x:v>0.4317618012428283</x:v>
      </x:c>
      <x:c r="G237" s="13" t="n">
        <x:v>1</x:v>
      </x:c>
      <x:c r="H237" s="11" t="n">
        <x:v>0.3681577742099762</x:v>
      </x:c>
      <x:c r="I237" s="11" t="n">
        <x:v>0.3895041048526764</x:v>
      </x:c>
      <x:c r="J237" s="24" t="n">
        <x:v>136.2520092111081</x:v>
      </x:c>
      <x:c r="K237" s="24" t="n">
        <x:v>169.3971300125122</x:v>
      </x:c>
      <x:c r="L237" s="11" t="n">
        <x:v>0.9354838728904724</x:v>
      </x:c>
      <x:c r="M237" s="11" t="n">
        <x:v>0.0999332070350647</x:v>
      </x:c>
    </x:row>
    <x:row r="238" ht="22" customHeight="1">
      <x:c r="A238" s="17" t="str">
        <x:f>"02300700"</x:f>
        <x:v>02300700</x:v>
      </x:c>
      <x:c r="B238" s="13" t="n">
        <x:v>42</x:v>
      </x:c>
      <x:c r="C238" s="22" t="b">
        <x:v>1</x:v>
      </x:c>
      <x:c r="D238" s="11" t="n">
        <x:v>0.023927392438054033</x:v>
      </x:c>
      <x:c r="E238" s="11" t="n">
        <x:v>0.0004989212514676667</x:v>
      </x:c>
      <x:c r="F238" s="11" t="n">
        <x:v>0.3366336524486542</x:v>
      </x:c>
      <x:c r="G238" s="13" t="n">
        <x:v>7</x:v>
      </x:c>
      <x:c r="H238" s="11" t="n">
        <x:v>0.2518846094608307</x:v>
      </x:c>
      <x:c r="I238" s="11" t="n">
        <x:v>0.2543542087078094</x:v>
      </x:c>
      <x:c r="J238" s="24" t="n">
        <x:v>139.4893599692732</x:v>
      </x:c>
      <x:c r="K238" s="24" t="n">
        <x:v>152.315767288208</x:v>
      </x:c>
      <x:c r="L238" s="11" t="n">
        <x:v>0.4554455578327179</x:v>
      </x:c>
      <x:c r="M238" s="11" t="n">
        <x:v>0.0999393239617347</x:v>
      </x:c>
    </x:row>
    <x:row r="239" ht="22" customHeight="1">
      <x:c r="A239" s="17" t="str">
        <x:f>"02300700"</x:f>
        <x:v>02300700</x:v>
      </x:c>
      <x:c r="B239" s="13" t="n">
        <x:v>42</x:v>
      </x:c>
      <x:c r="C239" s="22" t="b">
        <x:v>0</x:v>
      </x:c>
      <x:c r="D239" s="11" t="n">
        <x:v>0.03225806417564543</x:v>
      </x:c>
      <x:c r="E239" s="11" t="n">
        <x:v>0.000330580737985</x:v>
      </x:c>
      <x:c r="F239" s="11" t="n">
        <x:v>0.444168746471405</x:v>
      </x:c>
      <x:c r="G239" s="13" t="n">
        <x:v>8</x:v>
      </x:c>
      <x:c r="H239" s="11" t="n">
        <x:v>0.3869448900222778</x:v>
      </x:c>
      <x:c r="I239" s="11" t="n">
        <x:v>0.3929067850112915</x:v>
      </x:c>
      <x:c r="J239" s="24" t="n">
        <x:v>140.90824512764812</x:v>
      </x:c>
      <x:c r="K239" s="24" t="n">
        <x:v>158.73316645622253</x:v>
      </x:c>
      <x:c r="L239" s="11" t="n">
        <x:v>0.503722071647644</x:v>
      </x:c>
      <x:c r="M239" s="11" t="n">
        <x:v>0.0999332070350647</x:v>
      </x:c>
    </x:row>
    <x:row r="240" ht="22" customHeight="1">
      <x:c r="A240" s="17" t="str">
        <x:f>"02312200"</x:f>
        <x:v>02312200</x:v>
      </x:c>
      <x:c r="B240" s="13" t="n">
        <x:v>42</x:v>
      </x:c>
      <x:c r="C240" s="22" t="b">
        <x:v>1</x:v>
      </x:c>
      <x:c r="D240" s="11" t="n">
        <x:v>0.020627063078184866</x:v>
      </x:c>
      <x:c r="E240" s="11" t="n">
        <x:v>0.00039778856444169997</x:v>
      </x:c>
      <x:c r="F240" s="11" t="n">
        <x:v>0.2227722704410553</x:v>
      </x:c>
      <x:c r="G240" s="13" t="n">
        <x:v>3</x:v>
      </x:c>
      <x:c r="H240" s="11" t="n">
        <x:v>0.0075635868124663</x:v>
      </x:c>
      <x:c r="I240" s="11" t="n">
        <x:v>0.0077487151138484</x:v>
      </x:c>
      <x:c r="J240" s="24" t="n">
        <x:v>143.31108715664595</x:v>
      </x:c>
      <x:c r="K240" s="24" t="n">
        <x:v>154.21973276138306</x:v>
      </x:c>
      <x:c r="L240" s="11" t="n">
        <x:v>0.5915841460227966</x:v>
      </x:c>
      <x:c r="M240" s="11" t="n">
        <x:v>0.0999393239617347</x:v>
      </x:c>
    </x:row>
    <x:row r="241" ht="22" customHeight="1">
      <x:c r="A241" s="17" t="str">
        <x:f>"02312200"</x:f>
        <x:v>02312200</x:v>
      </x:c>
      <x:c r="B241" s="13" t="n">
        <x:v>42</x:v>
      </x:c>
      <x:c r="C241" s="22" t="b">
        <x:v>0</x:v>
      </x:c>
      <x:c r="D241" s="11" t="n">
        <x:v>0.03225806479652716</x:v>
      </x:c>
      <x:c r="E241" s="11" t="n">
        <x:v>0.0004385254675677</x:v>
      </x:c>
      <x:c r="F241" s="11" t="n">
        <x:v>0.5111662745475769</x:v>
      </x:c>
      <x:c r="G241" s="13" t="n">
        <x:v>2</x:v>
      </x:c>
      <x:c r="H241" s="11" t="n">
        <x:v>0.5500932335853577</x:v>
      </x:c>
      <x:c r="I241" s="11" t="n">
        <x:v>0.6605504751205444</x:v>
      </x:c>
      <x:c r="J241" s="24" t="n">
        <x:v>133.2470924910158</x:v>
      </x:c>
      <x:c r="K241" s="24" t="n">
        <x:v>159.64341163635254</x:v>
      </x:c>
      <x:c r="L241" s="11" t="n">
        <x:v>0.92555832862854</x:v>
      </x:c>
      <x:c r="M241" s="11" t="n">
        <x:v>0.0999332070350647</x:v>
      </x:c>
    </x:row>
    <x:row r="242" ht="22" customHeight="1">
      <x:c r="A242" s="17" t="str">
        <x:f>"02314500"</x:f>
        <x:v>02314500</x:v>
      </x:c>
      <x:c r="B242" s="13" t="n">
        <x:v>42</x:v>
      </x:c>
      <x:c r="C242" s="22" t="b">
        <x:v>1</x:v>
      </x:c>
      <x:c r="D242" s="11" t="n">
        <x:v>0.013201320233444334</x:v>
      </x:c>
      <x:c r="E242" s="11" t="n">
        <x:v>0.0005191477830521333</x:v>
      </x:c>
      <x:c r="F242" s="11" t="n">
        <x:v>0.1831683218479156</x:v>
      </x:c>
      <x:c r="G242" s="13" t="n">
        <x:v>3</x:v>
      </x:c>
      <x:c r="H242" s="11" t="n">
        <x:v>0.0044065262190997</x:v>
      </x:c>
      <x:c r="I242" s="11" t="n">
        <x:v>0.0062239752151072</x:v>
      </x:c>
      <x:c r="J242" s="24" t="n">
        <x:v>137.71251076553017</x:v>
      </x:c>
      <x:c r="K242" s="24" t="n">
        <x:v>148.9540991783142</x:v>
      </x:c>
      <x:c r="L242" s="11" t="n">
        <x:v>0.5544554591178894</x:v>
      </x:c>
      <x:c r="M242" s="11" t="n">
        <x:v>0.0999393239617347</x:v>
      </x:c>
    </x:row>
    <x:row r="243" ht="22" customHeight="1">
      <x:c r="A243" s="17" t="str">
        <x:f>"02314500"</x:f>
        <x:v>02314500</x:v>
      </x:c>
      <x:c r="B243" s="13" t="n">
        <x:v>42</x:v>
      </x:c>
      <x:c r="C243" s="22" t="b">
        <x:v>0</x:v>
      </x:c>
      <x:c r="D243" s="11" t="n">
        <x:v>0.029776674695312904</x:v>
      </x:c>
      <x:c r="E243" s="11" t="n">
        <x:v>0.0003373272969231667</x:v>
      </x:c>
      <x:c r="F243" s="11" t="n">
        <x:v>0.4764268100261688</x:v>
      </x:c>
      <x:c r="G243" s="13" t="n">
        <x:v>2</x:v>
      </x:c>
      <x:c r="H243" s="11" t="n">
        <x:v>0.7522592544555664</x:v>
      </x:c>
      <x:c r="I243" s="11" t="n">
        <x:v>0.8743325471878052</x:v>
      </x:c>
      <x:c r="J243" s="24" t="n">
        <x:v>135.1443250514567</x:v>
      </x:c>
      <x:c r="K243" s="24" t="n">
        <x:v>160.87572169303894</x:v>
      </x:c>
      <x:c r="L243" s="11" t="n">
        <x:v>0.9131513833999634</x:v>
      </x:c>
      <x:c r="M243" s="11" t="n">
        <x:v>0.0999332070350647</x:v>
      </x:c>
    </x:row>
    <x:row r="244" ht="22" customHeight="1">
      <x:c r="A244" s="17" t="str">
        <x:f>"02315500"</x:f>
        <x:v>02315500</x:v>
      </x:c>
      <x:c r="B244" s="13" t="n">
        <x:v>42</x:v>
      </x:c>
      <x:c r="C244" s="22" t="b">
        <x:v>1</x:v>
      </x:c>
      <x:c r="D244" s="11" t="n">
        <x:v>0.009075907447064867</x:v>
      </x:c>
      <x:c r="E244" s="11" t="n">
        <x:v>0.0006539913592859666</x:v>
      </x:c>
      <x:c r="F244" s="11" t="n">
        <x:v>0.2103960365056991</x:v>
      </x:c>
      <x:c r="G244" s="13" t="n">
        <x:v>1</x:v>
      </x:c>
      <x:c r="H244" s="11" t="n">
        <x:v>0.0057057817466557</x:v>
      </x:c>
      <x:c r="I244" s="11" t="n">
        <x:v>0.0085758063942193</x:v>
      </x:c>
      <x:c r="J244" s="24" t="n">
        <x:v>137.65744916908443</x:v>
      </x:c>
      <x:c r="K244" s="24" t="n">
        <x:v>175.2540204524994</x:v>
      </x:c>
      <x:c r="L244" s="11" t="n">
        <x:v>0.9108911156654358</x:v>
      </x:c>
      <x:c r="M244" s="11" t="n">
        <x:v>0.0999393239617347</x:v>
      </x:c>
    </x:row>
    <x:row r="245" ht="22" customHeight="1">
      <x:c r="A245" s="17" t="str">
        <x:f>"02315500"</x:f>
        <x:v>02315500</x:v>
      </x:c>
      <x:c r="B245" s="13" t="n">
        <x:v>42</x:v>
      </x:c>
      <x:c r="C245" s="22" t="b">
        <x:v>0</x:v>
      </x:c>
      <x:c r="D245" s="11" t="n">
        <x:v>0.052109181880950865</x:v>
      </x:c>
      <x:c r="E245" s="11" t="n">
        <x:v>0.0005397236624654667</x:v>
      </x:c>
      <x:c r="F245" s="11" t="n">
        <x:v>0.5880893468856812</x:v>
      </x:c>
      <x:c r="G245" s="13" t="n">
        <x:v>6</x:v>
      </x:c>
      <x:c r="H245" s="11" t="n">
        <x:v>0.6840428113937378</x:v>
      </x:c>
      <x:c r="I245" s="11" t="n">
        <x:v>0.7366684675216675</x:v>
      </x:c>
      <x:c r="J245" s="24" t="n">
        <x:v>138.8583111409098</x:v>
      </x:c>
      <x:c r="K245" s="24" t="n">
        <x:v>163.06487607955933</x:v>
      </x:c>
      <x:c r="L245" s="11" t="n">
        <x:v>0.7245657444000244</x:v>
      </x:c>
      <x:c r="M245" s="11" t="n">
        <x:v>0.0999332070350647</x:v>
      </x:c>
    </x:row>
    <x:row r="246" ht="22" customHeight="1">
      <x:c r="A246" s="17" t="str">
        <x:f>"02324400"</x:f>
        <x:v>02324400</x:v>
      </x:c>
      <x:c r="B246" s="13" t="n">
        <x:v>42</x:v>
      </x:c>
      <x:c r="C246" s="22" t="b">
        <x:v>1</x:v>
      </x:c>
      <x:c r="D246" s="11" t="n">
        <x:v>0.009075907679895533</x:v>
      </x:c>
      <x:c r="E246" s="11" t="n">
        <x:v>0.0008832254485847666</x:v>
      </x:c>
      <x:c r="F246" s="11" t="n">
        <x:v>0.2648514807224273</x:v>
      </x:c>
      <x:c r="G246" s="13" t="n">
        <x:v>9</x:v>
      </x:c>
      <x:c r="H246" s="11" t="n">
        <x:v>0.0521646402776241</x:v>
      </x:c>
      <x:c r="I246" s="11" t="n">
        <x:v>0.0601301454007625</x:v>
      </x:c>
      <x:c r="J246" s="24" t="n">
        <x:v>136.46958007849753</x:v>
      </x:c>
      <x:c r="K246" s="24" t="n">
        <x:v>146.54892134666443</x:v>
      </x:c>
      <x:c r="L246" s="11" t="n">
        <x:v>0.3044554591178894</x:v>
      </x:c>
      <x:c r="M246" s="11" t="n">
        <x:v>0.0999393239617347</x:v>
      </x:c>
    </x:row>
    <x:row r="247" ht="22" customHeight="1">
      <x:c r="A247" s="17" t="str">
        <x:f>"02324400"</x:f>
        <x:v>02324400</x:v>
      </x:c>
      <x:c r="B247" s="13" t="n">
        <x:v>42</x:v>
      </x:c>
      <x:c r="C247" s="22" t="b">
        <x:v>0</x:v>
      </x:c>
      <x:c r="D247" s="11" t="n">
        <x:v>0.0397022329270839</x:v>
      </x:c>
      <x:c r="E247" s="11" t="n">
        <x:v>0.00026986183365800004</x:v>
      </x:c>
      <x:c r="F247" s="11" t="n">
        <x:v>0.5434243083000183</x:v>
      </x:c>
      <x:c r="G247" s="13" t="n">
        <x:v>2</x:v>
      </x:c>
      <x:c r="H247" s="11" t="n">
        <x:v>0.8354085087776184</x:v>
      </x:c>
      <x:c r="I247" s="11" t="n">
        <x:v>0.9868596792221068</x:v>
      </x:c>
      <x:c r="J247" s="24" t="n">
        <x:v>139.1711858585477</x:v>
      </x:c>
      <x:c r="K247" s="24" t="n">
        <x:v>163.19816613197327</x:v>
      </x:c>
      <x:c r="L247" s="11" t="n">
        <x:v>0.9007444381713868</x:v>
      </x:c>
      <x:c r="M247" s="11" t="n">
        <x:v>0.0999332070350647</x:v>
      </x:c>
    </x:row>
    <x:row r="248" ht="22" customHeight="1">
      <x:c r="A248" s="17" t="str">
        <x:f>"02327100"</x:f>
        <x:v>02327100</x:v>
      </x:c>
      <x:c r="B248" s="13" t="n">
        <x:v>42</x:v>
      </x:c>
      <x:c r="C248" s="22" t="b">
        <x:v>1</x:v>
      </x:c>
      <x:c r="D248" s="11" t="n">
        <x:v>0.027227723350127464</x:v>
      </x:c>
      <x:c r="E248" s="11" t="n">
        <x:v>0.0011731391423381334</x:v>
      </x:c>
      <x:c r="F248" s="11" t="n">
        <x:v>0.3861386179924011</x:v>
      </x:c>
      <x:c r="G248" s="13" t="n">
        <x:v>1</x:v>
      </x:c>
      <x:c r="H248" s="11" t="n">
        <x:v>0.0478246174752712</x:v>
      </x:c>
      <x:c r="I248" s="11" t="n">
        <x:v>0.0748685151338577</x:v>
      </x:c>
      <x:c r="J248" s="24" t="n">
        <x:v>141.04446062352508</x:v>
      </x:c>
      <x:c r="K248" s="24" t="n">
        <x:v>166.4537706375122</x:v>
      </x:c>
      <x:c r="L248" s="11" t="n">
        <x:v>0.9356435537338256</x:v>
      </x:c>
      <x:c r="M248" s="11" t="n">
        <x:v>0.0999393239617347</x:v>
      </x:c>
    </x:row>
    <x:row r="249" ht="22" customHeight="1">
      <x:c r="A249" s="17" t="str">
        <x:f>"02327100"</x:f>
        <x:v>02327100</x:v>
      </x:c>
      <x:c r="B249" s="13" t="n">
        <x:v>42</x:v>
      </x:c>
      <x:c r="C249" s="22" t="b">
        <x:v>0</x:v>
      </x:c>
      <x:c r="D249" s="11" t="n">
        <x:v>0.034739453345537095</x:v>
      </x:c>
      <x:c r="E249" s="11" t="n">
        <x:v>0.0005936960224061667</x:v>
      </x:c>
      <x:c r="F249" s="11" t="n">
        <x:v>0.4143920540809631</x:v>
      </x:c>
      <x:c r="G249" s="13" t="n">
        <x:v>7</x:v>
      </x:c>
      <x:c r="H249" s="11" t="n">
        <x:v>0.2188512086868286</x:v>
      </x:c>
      <x:c r="I249" s="11" t="n">
        <x:v>0.2344074696302414</x:v>
      </x:c>
      <x:c r="J249" s="24" t="n">
        <x:v>144.49603326246142</x:v>
      </x:c>
      <x:c r="K249" s="24" t="n">
        <x:v>161.453022480011</x:v>
      </x:c>
      <x:c r="L249" s="11" t="n">
        <x:v>0.5235732197761536</x:v>
      </x:c>
      <x:c r="M249" s="11" t="n">
        <x:v>0.0999332070350647</x:v>
      </x:c>
    </x:row>
    <x:row r="250" ht="22" customHeight="1">
      <x:c r="A250" s="17" t="str">
        <x:f>"02349900"</x:f>
        <x:v>02349900</x:v>
      </x:c>
      <x:c r="B250" s="13" t="n">
        <x:v>42</x:v>
      </x:c>
      <x:c r="C250" s="22" t="b">
        <x:v>1</x:v>
      </x:c>
      <x:c r="D250" s="11" t="n">
        <x:v>0.028877887874841635</x:v>
      </x:c>
      <x:c r="E250" s="11" t="n">
        <x:v>0.00037756202315596663</x:v>
      </x:c>
      <x:c r="F250" s="11" t="n">
        <x:v>0.3514851629734039</x:v>
      </x:c>
      <x:c r="G250" s="13" t="n">
        <x:v>6</x:v>
      </x:c>
      <x:c r="H250" s="11" t="n">
        <x:v>0.4652251005172729</x:v>
      </x:c>
      <x:c r="I250" s="11" t="n">
        <x:v>0.4754736721515655</x:v>
      </x:c>
      <x:c r="J250" s="24" t="n">
        <x:v>138.835185630247</x:v>
      </x:c>
      <x:c r="K250" s="24" t="n">
        <x:v>154.23560619354248</x:v>
      </x:c>
      <x:c r="L250" s="11" t="n">
        <x:v>0.5099009871482849</x:v>
      </x:c>
      <x:c r="M250" s="11" t="n">
        <x:v>0.0999393239617347</x:v>
      </x:c>
    </x:row>
    <x:row r="251" ht="22" customHeight="1">
      <x:c r="A251" s="17" t="str">
        <x:f>"02349900"</x:f>
        <x:v>02349900</x:v>
      </x:c>
      <x:c r="B251" s="13" t="n">
        <x:v>42</x:v>
      </x:c>
      <x:c r="C251" s="22" t="b">
        <x:v>0</x:v>
      </x:c>
      <x:c r="D251" s="11" t="n">
        <x:v>0.03391232403616103</x:v>
      </x:c>
      <x:c r="E251" s="11" t="n">
        <x:v>0.0005127374897710667</x:v>
      </x:c>
      <x:c r="F251" s="11" t="n">
        <x:v>0.4789081811904907</x:v>
      </x:c>
      <x:c r="G251" s="13" t="n">
        <x:v>9</x:v>
      </x:c>
      <x:c r="H251" s="11" t="n">
        <x:v>0.6074860095977783</x:v>
      </x:c>
      <x:c r="I251" s="11" t="n">
        <x:v>0.6308521628379822</x:v>
      </x:c>
      <x:c r="J251" s="24" t="n">
        <x:v>145.1231523854658</x:v>
      </x:c>
      <x:c r="K251" s="24" t="n">
        <x:v>161.41553044319153</x:v>
      </x:c>
      <x:c r="L251" s="11" t="n">
        <x:v>0.5111662745475769</x:v>
      </x:c>
      <x:c r="M251" s="11" t="n">
        <x:v>0.0999332070350647</x:v>
      </x:c>
    </x:row>
    <x:row r="252" ht="22" customHeight="1">
      <x:c r="A252" s="17" t="str">
        <x:f>"02361000"</x:f>
        <x:v>02361000</x:v>
      </x:c>
      <x:c r="B252" s="13" t="n">
        <x:v>42</x:v>
      </x:c>
      <x:c r="C252" s="22" t="b">
        <x:v>1</x:v>
      </x:c>
      <x:c r="D252" s="11" t="n">
        <x:v>0.0165016502141952</x:v>
      </x:c>
      <x:c r="E252" s="11" t="n">
        <x:v>0.0006135382767145666</x:v>
      </x:c>
      <x:c r="F252" s="11" t="n">
        <x:v>0.2301980257034301</x:v>
      </x:c>
      <x:c r="G252" s="13" t="n">
        <x:v>10</x:v>
      </x:c>
      <x:c r="H252" s="11" t="n">
        <x:v>0.0941286236047744</x:v>
      </x:c>
      <x:c r="I252" s="11" t="n">
        <x:v>0.0941286236047744</x:v>
      </x:c>
      <x:c r="J252" s="24" t="n">
        <x:v>141.92701892741024</x:v>
      </x:c>
      <x:c r="K252" s="24" t="n">
        <x:v>153.860018491745</x:v>
      </x:c>
      <x:c r="L252" s="11" t="n">
        <x:v>0.2301980257034301</x:v>
      </x:c>
      <x:c r="M252" s="11" t="n">
        <x:v>0.0999393239617347</x:v>
      </x:c>
    </x:row>
    <x:row r="253" ht="22" customHeight="1">
      <x:c r="A253" s="17" t="str">
        <x:f>"02361000"</x:f>
        <x:v>02361000</x:v>
      </x:c>
      <x:c r="B253" s="13" t="n">
        <x:v>42</x:v>
      </x:c>
      <x:c r="C253" s="22" t="b">
        <x:v>0</x:v>
      </x:c>
      <x:c r="D253" s="11" t="n">
        <x:v>0.014061207572619033</x:v>
      </x:c>
      <x:c r="E253" s="11" t="n">
        <x:v>0.0003643134744682333</x:v>
      </x:c>
      <x:c r="F253" s="11" t="n">
        <x:v>0.3126550912857055</x:v>
      </x:c>
      <x:c r="G253" s="13" t="n">
        <x:v>3</x:v>
      </x:c>
      <x:c r="H253" s="11" t="n">
        <x:v>0.1845361292362213</x:v>
      </x:c>
      <x:c r="I253" s="11" t="n">
        <x:v>0.3243436813354492</x:v>
      </x:c>
      <x:c r="J253" s="24" t="n">
        <x:v>147.37187668401748</x:v>
      </x:c>
      <x:c r="K253" s="24" t="n">
        <x:v>164.24575209617615</x:v>
      </x:c>
      <x:c r="L253" s="11" t="n">
        <x:v>0.6501240730285645</x:v>
      </x:c>
      <x:c r="M253" s="11" t="n">
        <x:v>0.0999332070350647</x:v>
      </x:c>
    </x:row>
    <x:row r="254" ht="22" customHeight="1">
      <x:c r="A254" s="17" t="str">
        <x:f>"02369800"</x:f>
        <x:v>02369800</x:v>
      </x:c>
      <x:c r="B254" s="13" t="n">
        <x:v>42</x:v>
      </x:c>
      <x:c r="C254" s="22" t="b">
        <x:v>1</x:v>
      </x:c>
      <x:c r="D254" s="11" t="n">
        <x:v>0.016501649903754332</x:v>
      </x:c>
      <x:c r="E254" s="11" t="n">
        <x:v>0.0006674757266106</x:v>
      </x:c>
      <x:c r="F254" s="11" t="n">
        <x:v>0.2747524678707123</x:v>
      </x:c>
      <x:c r="G254" s="13" t="n">
        <x:v>1</x:v>
      </x:c>
      <x:c r="H254" s="11" t="n">
        <x:v>0.1381254494190216</x:v>
      </x:c>
      <x:c r="I254" s="11" t="n">
        <x:v>0.1505392640829086</x:v>
      </x:c>
      <x:c r="J254" s="24" t="n">
        <x:v>140.07386463228613</x:v>
      </x:c>
      <x:c r="K254" s="24" t="n">
        <x:v>153.39044642448425</x:v>
      </x:c>
      <x:c r="L254" s="11" t="n">
        <x:v>0.7920792102813721</x:v>
      </x:c>
      <x:c r="M254" s="11" t="n">
        <x:v>0.0999393239617347</x:v>
      </x:c>
    </x:row>
    <x:row r="255" ht="22" customHeight="1">
      <x:c r="A255" s="17" t="str">
        <x:f>"02369800"</x:f>
        <x:v>02369800</x:v>
      </x:c>
      <x:c r="B255" s="13" t="n">
        <x:v>42</x:v>
      </x:c>
      <x:c r="C255" s="22" t="b">
        <x:v>0</x:v>
      </x:c>
      <x:c r="D255" s="11" t="n">
        <x:v>0.016542597052951566</x:v>
      </x:c>
      <x:c r="E255" s="11" t="n">
        <x:v>0.0005667098448611333</x:v>
      </x:c>
      <x:c r="F255" s="11" t="n">
        <x:v>0.2754342555999756</x:v>
      </x:c>
      <x:c r="G255" s="13" t="n">
        <x:v>2</x:v>
      </x:c>
      <x:c r="H255" s="11" t="n">
        <x:v>0.2035720646381378</x:v>
      </x:c>
      <x:c r="I255" s="11" t="n">
        <x:v>0.2279876917600631</x:v>
      </x:c>
      <x:c r="J255" s="24" t="n">
        <x:v>142.1666802521795</x:v>
      </x:c>
      <x:c r="K255" s="24" t="n">
        <x:v>155.14111137390137</x:v>
      </x:c>
      <x:c r="L255" s="11" t="n">
        <x:v>0.707196056842804</x:v>
      </x:c>
      <x:c r="M255" s="11" t="n">
        <x:v>0.0999332070350647</x:v>
      </x:c>
    </x:row>
    <x:row r="256" ht="22" customHeight="1">
      <x:c r="A256" s="17" t="str">
        <x:f>"02371500"</x:f>
        <x:v>02371500</x:v>
      </x:c>
      <x:c r="B256" s="13" t="n">
        <x:v>42</x:v>
      </x:c>
      <x:c r="C256" s="22" t="b">
        <x:v>1</x:v>
      </x:c>
      <x:c r="D256" s="11" t="n">
        <x:v>0.014026402806242266</x:v>
      </x:c>
      <x:c r="E256" s="11" t="n">
        <x:v>0.0006944444612599334</x:v>
      </x:c>
      <x:c r="F256" s="11" t="n">
        <x:v>0.2029702961444854</x:v>
      </x:c>
      <x:c r="G256" s="13" t="n">
        <x:v>6</x:v>
      </x:c>
      <x:c r="H256" s="11" t="n">
        <x:v>0.0414960868656635</x:v>
      </x:c>
      <x:c r="I256" s="11" t="n">
        <x:v>0.0454910434782505</x:v>
      </x:c>
      <x:c r="J256" s="24" t="n">
        <x:v>134.84176688082516</x:v>
      </x:c>
      <x:c r="K256" s="24" t="n">
        <x:v>145.02771759033203</x:v>
      </x:c>
      <x:c r="L256" s="11" t="n">
        <x:v>0.3910891115665436</x:v>
      </x:c>
      <x:c r="M256" s="11" t="n">
        <x:v>0.0999393239617347</x:v>
      </x:c>
    </x:row>
    <x:row r="257" ht="22" customHeight="1">
      <x:c r="A257" s="17" t="str">
        <x:f>"02371500"</x:f>
        <x:v>02371500</x:v>
      </x:c>
      <x:c r="B257" s="13" t="n">
        <x:v>42</x:v>
      </x:c>
      <x:c r="C257" s="22" t="b">
        <x:v>0</x:v>
      </x:c>
      <x:c r="D257" s="11" t="n">
        <x:v>0.02812241452435643</x:v>
      </x:c>
      <x:c r="E257" s="11" t="n">
        <x:v>0.00044527200710333336</x:v>
      </x:c>
      <x:c r="F257" s="11" t="n">
        <x:v>0.3697270452976227</x:v>
      </x:c>
      <x:c r="G257" s="13" t="n">
        <x:v>6</x:v>
      </x:c>
      <x:c r="H257" s="11" t="n">
        <x:v>0.1962755024433136</x:v>
      </x:c>
      <x:c r="I257" s="11" t="n">
        <x:v>0.2860603630542755</x:v>
      </x:c>
      <x:c r="J257" s="24" t="n">
        <x:v>134.60049551911652</x:v>
      </x:c>
      <x:c r="K257" s="24" t="n">
        <x:v>149.612380027771</x:v>
      </x:c>
      <x:c r="L257" s="11" t="n">
        <x:v>0.5533498525619507</x:v>
      </x:c>
      <x:c r="M257" s="11" t="n">
        <x:v>0.0999332070350647</x:v>
      </x:c>
    </x:row>
    <x:row r="258" ht="22" customHeight="1">
      <x:c r="A258" s="17" t="str">
        <x:f>"02372250"</x:f>
        <x:v>02372250</x:v>
      </x:c>
      <x:c r="B258" s="13" t="n">
        <x:v>42</x:v>
      </x:c>
      <x:c r="C258" s="22" t="b">
        <x:v>1</x:v>
      </x:c>
      <x:c r="D258" s="11" t="n">
        <x:v>0.015676567641397268</x:v>
      </x:c>
      <x:c r="E258" s="11" t="n">
        <x:v>0.00046521036225983327</x:v>
      </x:c>
      <x:c r="F258" s="11" t="n">
        <x:v>0.344059407711029</x:v>
      </x:c>
      <x:c r="G258" s="13" t="n">
        <x:v>9</x:v>
      </x:c>
      <x:c r="H258" s="11" t="n">
        <x:v>0.061531838029623</x:v>
      </x:c>
      <x:c r="I258" s="11" t="n">
        <x:v>0.0637803971767425</x:v>
      </x:c>
      <x:c r="J258" s="24" t="n">
        <x:v>132.65709888283163</x:v>
      </x:c>
      <x:c r="K258" s="24" t="n">
        <x:v>145.66989183425903</x:v>
      </x:c>
      <x:c r="L258" s="11" t="n">
        <x:v>0.3638613820075989</x:v>
      </x:c>
      <x:c r="M258" s="11" t="n">
        <x:v>0.0999393239617347</x:v>
      </x:c>
    </x:row>
    <x:row r="259" ht="22" customHeight="1">
      <x:c r="A259" s="17" t="str">
        <x:f>"02372250"</x:f>
        <x:v>02372250</x:v>
      </x:c>
      <x:c r="B259" s="13" t="n">
        <x:v>42</x:v>
      </x:c>
      <x:c r="C259" s="22" t="b">
        <x:v>0</x:v>
      </x:c>
      <x:c r="D259" s="11" t="n">
        <x:v>0.0215053763240575</x:v>
      </x:c>
      <x:c r="E259" s="11" t="n">
        <x:v>0.0003643134744682333</x:v>
      </x:c>
      <x:c r="F259" s="11" t="n">
        <x:v>0.4367245733737945</x:v>
      </x:c>
      <x:c r="G259" s="13" t="n">
        <x:v>10</x:v>
      </x:c>
      <x:c r="H259" s="11" t="n">
        <x:v>0.1647706776857376</x:v>
      </x:c>
      <x:c r="I259" s="11" t="n">
        <x:v>0.1647706776857376</x:v>
      </x:c>
      <x:c r="J259" s="24" t="n">
        <x:v>138.60844413284212</x:v>
      </x:c>
      <x:c r="K259" s="24" t="n">
        <x:v>154.04279327392578</x:v>
      </x:c>
      <x:c r="L259" s="11" t="n">
        <x:v>0.4367245733737945</x:v>
      </x:c>
      <x:c r="M259" s="11" t="n">
        <x:v>0.0999332070350647</x:v>
      </x:c>
    </x:row>
    <x:row r="260" ht="22" customHeight="1">
      <x:c r="A260" s="17" t="str">
        <x:f>"02374500"</x:f>
        <x:v>02374500</x:v>
      </x:c>
      <x:c r="B260" s="13" t="n">
        <x:v>42</x:v>
      </x:c>
      <x:c r="C260" s="22" t="b">
        <x:v>1</x:v>
      </x:c>
      <x:c r="D260" s="11" t="n">
        <x:v>0.014851485068599332</x:v>
      </x:c>
      <x:c r="E260" s="11" t="n">
        <x:v>0.0006674757266106</x:v>
      </x:c>
      <x:c r="F260" s="11" t="n">
        <x:v>0.2871287167072296</x:v>
      </x:c>
      <x:c r="G260" s="13" t="n">
        <x:v>2</x:v>
      </x:c>
      <x:c r="H260" s="11" t="n">
        <x:v>0.114217534661293</x:v>
      </x:c>
      <x:c r="I260" s="11" t="n">
        <x:v>0.1194633245468139</x:v>
      </x:c>
      <x:c r="J260" s="24" t="n">
        <x:v>135.9279652973637</x:v>
      </x:c>
      <x:c r="K260" s="24" t="n">
        <x:v>150.7181544303894</x:v>
      </x:c>
      <x:c r="L260" s="11" t="n">
        <x:v>0.7153465151786804</x:v>
      </x:c>
      <x:c r="M260" s="11" t="n">
        <x:v>0.0999393239617347</x:v>
      </x:c>
    </x:row>
    <x:row r="261" ht="22" customHeight="1">
      <x:c r="A261" s="17" t="str">
        <x:f>"02374500"</x:f>
        <x:v>02374500</x:v>
      </x:c>
      <x:c r="B261" s="13" t="n">
        <x:v>42</x:v>
      </x:c>
      <x:c r="C261" s="22" t="b">
        <x:v>0</x:v>
      </x:c>
      <x:c r="D261" s="11" t="n">
        <x:v>0.03970223354796563</x:v>
      </x:c>
      <x:c r="E261" s="11" t="n">
        <x:v>0.0005194840390079666</x:v>
      </x:c>
      <x:c r="F261" s="11" t="n">
        <x:v>0.5285359621047974</x:v>
      </x:c>
      <x:c r="G261" s="13" t="n">
        <x:v>10</x:v>
      </x:c>
      <x:c r="H261" s="11" t="n">
        <x:v>0.2928858995437622</x:v>
      </x:c>
      <x:c r="I261" s="11" t="n">
        <x:v>0.2928858995437622</x:v>
      </x:c>
      <x:c r="J261" s="24" t="n">
        <x:v>134.81900617014617</x:v>
      </x:c>
      <x:c r="K261" s="24" t="n">
        <x:v>152.3334503173828</x:v>
      </x:c>
      <x:c r="L261" s="11" t="n">
        <x:v>0.5285359621047974</x:v>
      </x:c>
      <x:c r="M261" s="11" t="n">
        <x:v>0.0999332070350647</x:v>
      </x:c>
    </x:row>
    <x:row r="262" ht="22" customHeight="1">
      <x:c r="A262" s="17" t="str">
        <x:f>"02381600"</x:f>
        <x:v>02381600</x:v>
      </x:c>
      <x:c r="B262" s="13" t="n">
        <x:v>42</x:v>
      </x:c>
      <x:c r="C262" s="22" t="b">
        <x:v>1</x:v>
      </x:c>
      <x:c r="D262" s="11" t="n">
        <x:v>0.03217821878691507</x:v>
      </x:c>
      <x:c r="E262" s="11" t="n">
        <x:v>0.00029665587741566665</x:v>
      </x:c>
      <x:c r="F262" s="11" t="n">
        <x:v>0.4183168411254883</x:v>
      </x:c>
      <x:c r="G262" s="13" t="n">
        <x:v>8</x:v>
      </x:c>
      <x:c r="H262" s="11" t="n">
        <x:v>0.5133287906646729</x:v>
      </x:c>
      <x:c r="I262" s="11" t="n">
        <x:v>0.5157778859138489</x:v>
      </x:c>
      <x:c r="J262" s="24" t="n">
        <x:v>135.61633978411555</x:v>
      </x:c>
      <x:c r="K262" s="24" t="n">
        <x:v>150.456312417984</x:v>
      </x:c>
      <x:c r="L262" s="11" t="n">
        <x:v>0.4826732575893402</x:v>
      </x:c>
      <x:c r="M262" s="11" t="n">
        <x:v>0.0999393239617347</x:v>
      </x:c>
    </x:row>
    <x:row r="263" ht="22" customHeight="1">
      <x:c r="A263" s="17" t="str">
        <x:f>"02381600"</x:f>
        <x:v>02381600</x:v>
      </x:c>
      <x:c r="B263" s="13" t="n">
        <x:v>42</x:v>
      </x:c>
      <x:c r="C263" s="22" t="b">
        <x:v>0</x:v>
      </x:c>
      <x:c r="D263" s="11" t="n">
        <x:v>0.03639371382693443</x:v>
      </x:c>
      <x:c r="E263" s="11" t="n">
        <x:v>0.00035756692523129997</x:v>
      </x:c>
      <x:c r="F263" s="11" t="n">
        <x:v>0.4416873455047607</x:v>
      </x:c>
      <x:c r="G263" s="13" t="n">
        <x:v>2</x:v>
      </x:c>
      <x:c r="H263" s="11" t="n">
        <x:v>0.6683924198150635</x:v>
      </x:c>
      <x:c r="I263" s="11" t="n">
        <x:v>0.70563805103302</x:v>
      </x:c>
      <x:c r="J263" s="24" t="n">
        <x:v>135.1427751686424</x:v>
      </x:c>
      <x:c r="K263" s="24" t="n">
        <x:v>152.92752742767334</x:v>
      </x:c>
      <x:c r="L263" s="11" t="n">
        <x:v>0.8138957619667053</x:v>
      </x:c>
      <x:c r="M263" s="11" t="n">
        <x:v>0.0999332070350647</x:v>
      </x:c>
    </x:row>
    <x:row r="264" ht="22" customHeight="1">
      <x:c r="A264" s="17" t="str">
        <x:f>"02422500"</x:f>
        <x:v>02422500</x:v>
      </x:c>
      <x:c r="B264" s="13" t="n">
        <x:v>42</x:v>
      </x:c>
      <x:c r="C264" s="22" t="b">
        <x:v>1</x:v>
      </x:c>
      <x:c r="D264" s="11" t="n">
        <x:v>0.0255775582045316</x:v>
      </x:c>
      <x:c r="E264" s="11" t="n">
        <x:v>0.0004517259852339333</x:v>
      </x:c>
      <x:c r="F264" s="11" t="n">
        <x:v>0.4034653604030609</x:v>
      </x:c>
      <x:c r="G264" s="13" t="n">
        <x:v>3</x:v>
      </x:c>
      <x:c r="H264" s="11" t="n">
        <x:v>0.279930830001831</x:v>
      </x:c>
      <x:c r="I264" s="11" t="n">
        <x:v>0.3149352371692657</x:v>
      </x:c>
      <x:c r="J264" s="24" t="n">
        <x:v>139.15207616146654</x:v>
      </x:c>
      <x:c r="K264" s="24" t="n">
        <x:v>154.8025541305542</x:v>
      </x:c>
      <x:c r="L264" s="11" t="n">
        <x:v>0.7896039485931396</x:v>
      </x:c>
      <x:c r="M264" s="11" t="n">
        <x:v>0.0999393239617347</x:v>
      </x:c>
    </x:row>
    <x:row r="265" ht="22" customHeight="1">
      <x:c r="A265" s="17" t="str">
        <x:f>"02422500"</x:f>
        <x:v>02422500</x:v>
      </x:c>
      <x:c r="B265" s="13" t="n">
        <x:v>42</x:v>
      </x:c>
      <x:c r="C265" s="22" t="b">
        <x:v>0</x:v>
      </x:c>
      <x:c r="D265" s="11" t="n">
        <x:v>0.03143093486626936</x:v>
      </x:c>
      <x:c r="E265" s="11" t="n">
        <x:v>0.0005262305688423</x:v>
      </x:c>
      <x:c r="F265" s="11" t="n">
        <x:v>0.4466501176357269</x:v>
      </x:c>
      <x:c r="G265" s="13" t="n">
        <x:v>9</x:v>
      </x:c>
      <x:c r="H265" s="11" t="n">
        <x:v>0.3633908331394195</x:v>
      </x:c>
      <x:c r="I265" s="11" t="n">
        <x:v>0.3650413453578949</x:v>
      </x:c>
      <x:c r="J265" s="24" t="n">
        <x:v>141.02145963627845</x:v>
      </x:c>
      <x:c r="K265" s="24" t="n">
        <x:v>155.95629501342773</x:v>
      </x:c>
      <x:c r="L265" s="11" t="n">
        <x:v>0.4714640080928802</x:v>
      </x:c>
      <x:c r="M265" s="11" t="n">
        <x:v>0.0999332070350647</x:v>
      </x:c>
    </x:row>
    <x:row r="266" ht="22" customHeight="1">
      <x:c r="A266" s="17" t="str">
        <x:f>"02430085"</x:f>
        <x:v>02430085</x:v>
      </x:c>
      <x:c r="B266" s="13" t="n">
        <x:v>42</x:v>
      </x:c>
      <x:c r="C266" s="22" t="b">
        <x:v>1</x:v>
      </x:c>
      <x:c r="D266" s="11" t="n">
        <x:v>0.014851485534260632</x:v>
      </x:c>
      <x:c r="E266" s="11" t="n">
        <x:v>0.0005798274166105666</x:v>
      </x:c>
      <x:c r="F266" s="11" t="n">
        <x:v>0.3366336524486542</x:v>
      </x:c>
      <x:c r="G266" s="13" t="n">
        <x:v>3</x:v>
      </x:c>
      <x:c r="H266" s="11" t="n">
        <x:v>0.3277082145214081</x:v>
      </x:c>
      <x:c r="I266" s="11" t="n">
        <x:v>0.3548910617828369</x:v>
      </x:c>
      <x:c r="J266" s="24" t="n">
        <x:v>135.40717830881476</x:v>
      </x:c>
      <x:c r="K266" s="24" t="n">
        <x:v>150.66779828071594</x:v>
      </x:c>
      <x:c r="L266" s="11" t="n">
        <x:v>0.7301980257034302</x:v>
      </x:c>
      <x:c r="M266" s="11" t="n">
        <x:v>0.0999393239617347</x:v>
      </x:c>
    </x:row>
    <x:row r="267" ht="22" customHeight="1">
      <x:c r="A267" s="17" t="str">
        <x:f>"02430085"</x:f>
        <x:v>02430085</x:v>
      </x:c>
      <x:c r="B267" s="13" t="n">
        <x:v>42</x:v>
      </x:c>
      <x:c r="C267" s="22" t="b">
        <x:v>0</x:v>
      </x:c>
      <x:c r="D267" s="11" t="n">
        <x:v>0.0355665832757949</x:v>
      </x:c>
      <x:c r="E267" s="11" t="n">
        <x:v>0.0003170876540631333</x:v>
      </x:c>
      <x:c r="F267" s="11" t="n">
        <x:v>0.4044665098190307</x:v>
      </x:c>
      <x:c r="G267" s="13" t="n">
        <x:v>7</x:v>
      </x:c>
      <x:c r="H267" s="11" t="n">
        <x:v>0.3901348114013672</x:v>
      </x:c>
      <x:c r="I267" s="11" t="n">
        <x:v>0.3920508325099945</x:v>
      </x:c>
      <x:c r="J267" s="24" t="n">
        <x:v>139.3063492104411</x:v>
      </x:c>
      <x:c r="K267" s="24" t="n">
        <x:v>153.54140949249268</x:v>
      </x:c>
      <x:c r="L267" s="11" t="n">
        <x:v>0.5260545611381531</x:v>
      </x:c>
      <x:c r="M267" s="11" t="n">
        <x:v>0.0999332070350647</x:v>
      </x:c>
    </x:row>
    <x:row r="268" ht="22" customHeight="1">
      <x:c r="A268" s="17" t="str">
        <x:f>"02450250"</x:f>
        <x:v>02450250</x:v>
      </x:c>
      <x:c r="B268" s="13" t="n">
        <x:v>42</x:v>
      </x:c>
      <x:c r="C268" s="22" t="b">
        <x:v>1</x:v>
      </x:c>
      <x:c r="D268" s="11" t="n">
        <x:v>0.010726072670270967</x:v>
      </x:c>
      <x:c r="E268" s="11" t="n">
        <x:v>0.0007281553504677666</x:v>
      </x:c>
      <x:c r="F268" s="11" t="n">
        <x:v>0.2945544421672821</x:v>
      </x:c>
      <x:c r="G268" s="13" t="n">
        <x:v>2</x:v>
      </x:c>
      <x:c r="H268" s="11" t="n">
        <x:v>0.2822942733764648</x:v>
      </x:c>
      <x:c r="I268" s="11" t="n">
        <x:v>0.2933330833911896</x:v>
      </x:c>
      <x:c r="J268" s="24" t="n">
        <x:v>143.20125925168395</x:v>
      </x:c>
      <x:c r="K268" s="24" t="n">
        <x:v>157.05442094802856</x:v>
      </x:c>
      <x:c r="L268" s="11" t="n">
        <x:v>0.8118811845779419</x:v>
      </x:c>
      <x:c r="M268" s="11" t="n">
        <x:v>0.0999393239617347</x:v>
      </x:c>
    </x:row>
    <x:row r="269" ht="22" customHeight="1">
      <x:c r="A269" s="17" t="str">
        <x:f>"02450250"</x:f>
        <x:v>02450250</x:v>
      </x:c>
      <x:c r="B269" s="13" t="n">
        <x:v>42</x:v>
      </x:c>
      <x:c r="C269" s="22" t="b">
        <x:v>0</x:v>
      </x:c>
      <x:c r="D269" s="11" t="n">
        <x:v>0.023986766114830898</x:v>
      </x:c>
      <x:c r="E269" s="11" t="n">
        <x:v>0.0002901014619661666</x:v>
      </x:c>
      <x:c r="F269" s="11" t="n">
        <x:v>0.4143920540809631</x:v>
      </x:c>
      <x:c r="G269" s="13" t="n">
        <x:v>10</x:v>
      </x:c>
      <x:c r="H269" s="11" t="n">
        <x:v>0.3127939105033874</x:v>
      </x:c>
      <x:c r="I269" s="11" t="n">
        <x:v>0.3127939105033874</x:v>
      </x:c>
      <x:c r="J269" s="24" t="n">
        <x:v>143.1064634071663</x:v>
      </x:c>
      <x:c r="K269" s="24" t="n">
        <x:v>154.8476424217224</x:v>
      </x:c>
      <x:c r="L269" s="11" t="n">
        <x:v>0.4143920540809631</x:v>
      </x:c>
      <x:c r="M269" s="11" t="n">
        <x:v>0.0999332070350647</x:v>
      </x:c>
    </x:row>
    <x:row r="270" ht="22" customHeight="1">
      <x:c r="A270" s="17" t="str">
        <x:f>"02464000"</x:f>
        <x:v>02464000</x:v>
      </x:c>
      <x:c r="B270" s="13" t="n">
        <x:v>42</x:v>
      </x:c>
      <x:c r="C270" s="22" t="b">
        <x:v>1</x:v>
      </x:c>
      <x:c r="D270" s="11" t="n">
        <x:v>0.02310231017569697</x:v>
      </x:c>
      <x:c r="E270" s="11" t="n">
        <x:v>0.0003438511242468667</x:v>
      </x:c>
      <x:c r="F270" s="11" t="n">
        <x:v>0.4257425665855407</x:v>
      </x:c>
      <x:c r="G270" s="13" t="n">
        <x:v>10</x:v>
      </x:c>
      <x:c r="H270" s="11" t="n">
        <x:v>0.4354528784751892</x:v>
      </x:c>
      <x:c r="I270" s="11" t="n">
        <x:v>0.4354528784751892</x:v>
      </x:c>
      <x:c r="J270" s="24" t="n">
        <x:v>136.87109179794788</x:v>
      </x:c>
      <x:c r="K270" s="24" t="n">
        <x:v>151.32999110221863</x:v>
      </x:c>
      <x:c r="L270" s="11" t="n">
        <x:v>0.4257425665855407</x:v>
      </x:c>
      <x:c r="M270" s="11" t="n">
        <x:v>0.0999393239617347</x:v>
      </x:c>
    </x:row>
    <x:row r="271" ht="22" customHeight="1">
      <x:c r="A271" s="17" t="str">
        <x:f>"02464000"</x:f>
        <x:v>02464000</x:v>
      </x:c>
      <x:c r="B271" s="13" t="n">
        <x:v>42</x:v>
      </x:c>
      <x:c r="C271" s="22" t="b">
        <x:v>0</x:v>
      </x:c>
      <x:c r="D271" s="11" t="n">
        <x:v>0.037220843757192236</x:v>
      </x:c>
      <x:c r="E271" s="11" t="n">
        <x:v>0.00030359455073866666</x:v>
      </x:c>
      <x:c r="F271" s="11" t="n">
        <x:v>0.4863523542881012</x:v>
      </x:c>
      <x:c r="G271" s="13" t="n">
        <x:v>3</x:v>
      </x:c>
      <x:c r="H271" s="11" t="n">
        <x:v>0.5311324596405029</x:v>
      </x:c>
      <x:c r="I271" s="11" t="n">
        <x:v>0.5448170304298401</x:v>
      </x:c>
      <x:c r="J271" s="24" t="n">
        <x:v>136.2444202415645</x:v>
      </x:c>
      <x:c r="K271" s="24" t="n">
        <x:v>161.52694368362427</x:v>
      </x:c>
      <x:c r="L271" s="11" t="n">
        <x:v>0.8064516186714172</x:v>
      </x:c>
      <x:c r="M271" s="11" t="n">
        <x:v>0.0999332070350647</x:v>
      </x:c>
    </x:row>
    <x:row r="272" ht="22" customHeight="1">
      <x:c r="A272" s="17" t="str">
        <x:f>"02465493"</x:f>
        <x:v>02465493</x:v>
      </x:c>
      <x:c r="B272" s="13" t="n">
        <x:v>42</x:v>
      </x:c>
      <x:c r="C272" s="22" t="b">
        <x:v>1</x:v>
      </x:c>
      <x:c r="D272" s="11" t="n">
        <x:v>0.0090759075246751</x:v>
      </x:c>
      <x:c r="E272" s="11" t="n">
        <x:v>0.0013079827573770665</x:v>
      </x:c>
      <x:c r="F272" s="11" t="n">
        <x:v>0.1905940622091293</x:v>
      </x:c>
      <x:c r="G272" s="13" t="n">
        <x:v>9</x:v>
      </x:c>
      <x:c r="H272" s="11" t="n">
        <x:v>0.847113847732544</x:v>
      </x:c>
      <x:c r="I272" s="11" t="n">
        <x:v>0.8525763154029846</x:v>
      </x:c>
      <x:c r="J272" s="24" t="n">
        <x:v>137.38065805658698</x:v>
      </x:c>
      <x:c r="K272" s="24" t="n">
        <x:v>145.80930280685425</x:v>
      </x:c>
      <x:c r="L272" s="11" t="n">
        <x:v>0.2128712832927703</x:v>
      </x:c>
      <x:c r="M272" s="11" t="n">
        <x:v>0.0999393239617347</x:v>
      </x:c>
    </x:row>
    <x:row r="273" ht="22" customHeight="1">
      <x:c r="A273" s="17" t="str">
        <x:f>"02465493"</x:f>
        <x:v>02465493</x:v>
      </x:c>
      <x:c r="B273" s="13" t="n">
        <x:v>42</x:v>
      </x:c>
      <x:c r="C273" s="22" t="b">
        <x:v>0</x:v>
      </x:c>
      <x:c r="D273" s="11" t="n">
        <x:v>0.016542597052951566</x:v>
      </x:c>
      <x:c r="E273" s="11" t="n">
        <x:v>0.00043177892318146667</x:v>
      </x:c>
      <x:c r="F273" s="11" t="n">
        <x:v>0.2977667450904846</x:v>
      </x:c>
      <x:c r="G273" s="13" t="n">
        <x:v>9</x:v>
      </x:c>
      <x:c r="H273" s="11" t="n">
        <x:v>0.9605458378791808</x:v>
      </x:c>
      <x:c r="I273" s="11" t="n">
        <x:v>0.962494730949402</x:v>
      </x:c>
      <x:c r="J273" s="24" t="n">
        <x:v>141.24688855186105</x:v>
      </x:c>
      <x:c r="K273" s="24" t="n">
        <x:v>153.1788625717163</x:v>
      </x:c>
      <x:c r="L273" s="11" t="n">
        <x:v>0.3076923191547394</x:v>
      </x:c>
      <x:c r="M273" s="11" t="n">
        <x:v>0.0999332070350647</x:v>
      </x:c>
    </x:row>
    <x:row r="274" ht="22" customHeight="1">
      <x:c r="A274" s="17" t="str">
        <x:f>"02469800"</x:f>
        <x:v>02469800</x:v>
      </x:c>
      <x:c r="B274" s="13" t="n">
        <x:v>42</x:v>
      </x:c>
      <x:c r="C274" s="22" t="b">
        <x:v>1</x:v>
      </x:c>
      <x:c r="D274" s="11" t="n">
        <x:v>0.013201320233444334</x:v>
      </x:c>
      <x:c r="E274" s="11" t="n">
        <x:v>0.0004989212611689666</x:v>
      </x:c>
      <x:c r="F274" s="11" t="n">
        <x:v>0.3193069398403168</x:v>
      </x:c>
      <x:c r="G274" s="13" t="n">
        <x:v>2</x:v>
      </x:c>
      <x:c r="H274" s="11" t="n">
        <x:v>0.1714630275964737</x:v>
      </x:c>
      <x:c r="I274" s="11" t="n">
        <x:v>0.1829951703548431</x:v>
      </x:c>
      <x:c r="J274" s="24" t="n">
        <x:v>139.13933863304555</x:v>
      </x:c>
      <x:c r="K274" s="24" t="n">
        <x:v>160.23862767219543</x:v>
      </x:c>
      <x:c r="L274" s="11" t="n">
        <x:v>0.7202970385551453</x:v>
      </x:c>
      <x:c r="M274" s="11" t="n">
        <x:v>0.0999393239617347</x:v>
      </x:c>
    </x:row>
    <x:row r="275" ht="22" customHeight="1">
      <x:c r="A275" s="17" t="str">
        <x:f>"02469800"</x:f>
        <x:v>02469800</x:v>
      </x:c>
      <x:c r="B275" s="13" t="n">
        <x:v>42</x:v>
      </x:c>
      <x:c r="C275" s="22" t="b">
        <x:v>0</x:v>
      </x:c>
      <x:c r="D275" s="11" t="n">
        <x:v>0.0339123234152793</x:v>
      </x:c>
      <x:c r="E275" s="11" t="n">
        <x:v>0.00024962219564860004</x:v>
      </x:c>
      <x:c r="F275" s="11" t="n">
        <x:v>0.5359801650047302</x:v>
      </x:c>
      <x:c r="G275" s="13" t="n">
        <x:v>10</x:v>
      </x:c>
      <x:c r="H275" s="11" t="n">
        <x:v>0.2298746556043625</x:v>
      </x:c>
      <x:c r="I275" s="11" t="n">
        <x:v>0.2298746556043625</x:v>
      </x:c>
      <x:c r="J275" s="24" t="n">
        <x:v>136.55590369738638</x:v>
      </x:c>
      <x:c r="K275" s="24" t="n">
        <x:v>155.56666493415833</x:v>
      </x:c>
      <x:c r="L275" s="11" t="n">
        <x:v>0.5359801650047302</x:v>
      </x:c>
      <x:c r="M275" s="11" t="n">
        <x:v>0.0999332070350647</x:v>
      </x:c>
    </x:row>
    <x:row r="276" ht="22" customHeight="1">
      <x:c r="A276" s="17" t="str">
        <x:f>"02472000"</x:f>
        <x:v>02472000</x:v>
      </x:c>
      <x:c r="B276" s="13" t="n">
        <x:v>42</x:v>
      </x:c>
      <x:c r="C276" s="22" t="b">
        <x:v>1</x:v>
      </x:c>
      <x:c r="D276" s="11" t="n">
        <x:v>0.0264026404668887</x:v>
      </x:c>
      <x:c r="E276" s="11" t="n">
        <x:v>0.00030339805622733336</x:v>
      </x:c>
      <x:c r="F276" s="11" t="n">
        <x:v>0.4009900987148285</x:v>
      </x:c>
      <x:c r="G276" s="13" t="n">
        <x:v>4</x:v>
      </x:c>
      <x:c r="H276" s="11" t="n">
        <x:v>0.0543984994292259</x:v>
      </x:c>
      <x:c r="I276" s="11" t="n">
        <x:v>0.0544091202318668</x:v>
      </x:c>
      <x:c r="J276" s="24" t="n">
        <x:v>134.70830367412418</x:v>
      </x:c>
      <x:c r="K276" s="24" t="n">
        <x:v>155.99351358413696</x:v>
      </x:c>
      <x:c r="L276" s="11" t="n">
        <x:v>0.6930692791938782</x:v>
      </x:c>
      <x:c r="M276" s="11" t="n">
        <x:v>0.0999393239617347</x:v>
      </x:c>
    </x:row>
    <x:row r="277" ht="22" customHeight="1">
      <x:c r="A277" s="17" t="str">
        <x:f>"02472000"</x:f>
        <x:v>02472000</x:v>
      </x:c>
      <x:c r="B277" s="13" t="n">
        <x:v>42</x:v>
      </x:c>
      <x:c r="C277" s="22" t="b">
        <x:v>0</x:v>
      </x:c>
      <x:c r="D277" s="11" t="n">
        <x:v>0.0248138960450887</x:v>
      </x:c>
      <x:c r="E277" s="11" t="n">
        <x:v>0.0002901014716674333</x:v>
      </x:c>
      <x:c r="F277" s="11" t="n">
        <x:v>0.4069478809833526</x:v>
      </x:c>
      <x:c r="G277" s="13" t="n">
        <x:v>9</x:v>
      </x:c>
      <x:c r="H277" s="11" t="n">
        <x:v>0.1305933147668838</x:v>
      </x:c>
      <x:c r="I277" s="11" t="n">
        <x:v>0.1328921616077423</x:v>
      </x:c>
      <x:c r="J277" s="24" t="n">
        <x:v>138.36254225391895</x:v>
      </x:c>
      <x:c r="K277" s="24" t="n">
        <x:v>151.56040000915527</x:v>
      </x:c>
      <x:c r="L277" s="11" t="n">
        <x:v>0.4267989993095398</x:v>
      </x:c>
      <x:c r="M277" s="11" t="n">
        <x:v>0.0999332070350647</x:v>
      </x:c>
    </x:row>
    <x:row r="278" ht="22" customHeight="1">
      <x:c r="A278" s="17" t="str">
        <x:f>"02472500"</x:f>
        <x:v>02472500</x:v>
      </x:c>
      <x:c r="B278" s="13" t="n">
        <x:v>42</x:v>
      </x:c>
      <x:c r="C278" s="22" t="b">
        <x:v>1</x:v>
      </x:c>
      <x:c r="D278" s="11" t="n">
        <x:v>0.040429043273131</x:v>
      </x:c>
      <x:c r="E278" s="11" t="n">
        <x:v>0.0006135382961171</x:v>
      </x:c>
      <x:c r="F278" s="11" t="n">
        <x:v>0.3762376308441162</x:v>
      </x:c>
      <x:c r="G278" s="13" t="n">
        <x:v>2</x:v>
      </x:c>
      <x:c r="H278" s="11" t="n">
        <x:v>0.1719128042459488</x:v>
      </x:c>
      <x:c r="I278" s="11" t="n">
        <x:v>0.1911632865667343</x:v>
      </x:c>
      <x:c r="J278" s="24" t="n">
        <x:v>144.55642540939152</x:v>
      </x:c>
      <x:c r="K278" s="24" t="n">
        <x:v>171.7319416999817</x:v>
      </x:c>
      <x:c r="L278" s="11" t="n">
        <x:v>0.8415841460227966</x:v>
      </x:c>
      <x:c r="M278" s="11" t="n">
        <x:v>0.0999393239617347</x:v>
      </x:c>
    </x:row>
    <x:row r="279" ht="22" customHeight="1">
      <x:c r="A279" s="17" t="str">
        <x:f>"02472500"</x:f>
        <x:v>02472500</x:v>
      </x:c>
      <x:c r="B279" s="13" t="n">
        <x:v>42</x:v>
      </x:c>
      <x:c r="C279" s="22" t="b">
        <x:v>0</x:v>
      </x:c>
      <x:c r="D279" s="11" t="n">
        <x:v>0.033085194726784964</x:v>
      </x:c>
      <x:c r="E279" s="11" t="n">
        <x:v>0.0002563687351842333</x:v>
      </x:c>
      <x:c r="F279" s="11" t="n">
        <x:v>0.4615384638309479</x:v>
      </x:c>
      <x:c r="G279" s="13" t="n">
        <x:v>3</x:v>
      </x:c>
      <x:c r="H279" s="11" t="n">
        <x:v>0.2068167030811309</x:v>
      </x:c>
      <x:c r="I279" s="11" t="n">
        <x:v>0.2236038297414779</x:v>
      </x:c>
      <x:c r="J279" s="24" t="n">
        <x:v>139.6564446594566</x:v>
      </x:c>
      <x:c r="K279" s="24" t="n">
        <x:v>162.86869406700134</x:v>
      </x:c>
      <x:c r="L279" s="11" t="n">
        <x:v>0.8287841081619263</x:v>
      </x:c>
      <x:c r="M279" s="11" t="n">
        <x:v>0.0999332070350647</x:v>
      </x:c>
    </x:row>
    <x:row r="280" ht="22" customHeight="1">
      <x:c r="A280" s="17" t="str">
        <x:f>"02479155"</x:f>
        <x:v>02479155</x:v>
      </x:c>
      <x:c r="B280" s="13" t="n">
        <x:v>42</x:v>
      </x:c>
      <x:c r="C280" s="22" t="b">
        <x:v>1</x:v>
      </x:c>
      <x:c r="D280" s="11" t="n">
        <x:v>0.03547854845722514</x:v>
      </x:c>
      <x:c r="E280" s="11" t="n">
        <x:v>0.0003303667666235</x:v>
      </x:c>
      <x:c r="F280" s="11" t="n">
        <x:v>0.4034653604030609</x:v>
      </x:c>
      <x:c r="G280" s="13" t="n">
        <x:v>9</x:v>
      </x:c>
      <x:c r="H280" s="11" t="n">
        <x:v>0.3449166417121887</x:v>
      </x:c>
      <x:c r="I280" s="11" t="n">
        <x:v>0.3540706634521484</x:v>
      </x:c>
      <x:c r="J280" s="24" t="n">
        <x:v>139.29021301399916</x:v>
      </x:c>
      <x:c r="K280" s="24" t="n">
        <x:v>154.83079648017883</x:v>
      </x:c>
      <x:c r="L280" s="11" t="n">
        <x:v>0.4356435537338257</x:v>
      </x:c>
      <x:c r="M280" s="11" t="n">
        <x:v>0.0999393239617347</x:v>
      </x:c>
    </x:row>
    <x:row r="281" ht="22" customHeight="1">
      <x:c r="A281" s="17" t="str">
        <x:f>"02479155"</x:f>
        <x:v>02479155</x:v>
      </x:c>
      <x:c r="B281" s="13" t="n">
        <x:v>42</x:v>
      </x:c>
      <x:c r="C281" s="22" t="b">
        <x:v>0</x:v>
      </x:c>
      <x:c r="D281" s="11" t="n">
        <x:v>0.03887510361770783</x:v>
      </x:c>
      <x:c r="E281" s="11" t="n">
        <x:v>0.00035756692523129997</x:v>
      </x:c>
      <x:c r="F281" s="11" t="n">
        <x:v>0.3796526193618774</x:v>
      </x:c>
      <x:c r="G281" s="13" t="n">
        <x:v>7</x:v>
      </x:c>
      <x:c r="H281" s="11" t="n">
        <x:v>0.3960729539394378</x:v>
      </x:c>
      <x:c r="I281" s="11" t="n">
        <x:v>0.4107381701469421</x:v>
      </x:c>
      <x:c r="J281" s="24" t="n">
        <x:v>139.27277879510075</x:v>
      </x:c>
      <x:c r="K281" s="24" t="n">
        <x:v>152.7923686504364</x:v>
      </x:c>
      <x:c r="L281" s="11" t="n">
        <x:v>0.481389582157135</x:v>
      </x:c>
      <x:c r="M281" s="11" t="n">
        <x:v>0.0999332070350647</x:v>
      </x:c>
    </x:row>
    <x:row r="282" ht="22" customHeight="1">
      <x:c r="A282" s="17" t="str">
        <x:f>"02479300"</x:f>
        <x:v>02479300</x:v>
      </x:c>
      <x:c r="B282" s="13" t="n">
        <x:v>42</x:v>
      </x:c>
      <x:c r="C282" s="22" t="b">
        <x:v>1</x:v>
      </x:c>
      <x:c r="D282" s="11" t="n">
        <x:v>0.022277228223780737</x:v>
      </x:c>
      <x:c r="E282" s="11" t="n">
        <x:v>0.0002831715197922667</x:v>
      </x:c>
      <x:c r="F282" s="11" t="n">
        <x:v>0.3811881244182586</x:v>
      </x:c>
      <x:c r="G282" s="13" t="n">
        <x:v>5</x:v>
      </x:c>
      <x:c r="H282" s="11" t="n">
        <x:v>0.0588306672871112</x:v>
      </x:c>
      <x:c r="I282" s="11" t="n">
        <x:v>0.0624276287853717</x:v>
      </x:c>
      <x:c r="J282" s="24" t="n">
        <x:v>142.65388035494834</x:v>
      </x:c>
      <x:c r="K282" s="24" t="n">
        <x:v>159.0261800289154</x:v>
      </x:c>
      <x:c r="L282" s="11" t="n">
        <x:v>0.6113861203193665</x:v>
      </x:c>
      <x:c r="M282" s="11" t="n">
        <x:v>0.0999393239617347</x:v>
      </x:c>
    </x:row>
    <x:row r="283" ht="22" customHeight="1">
      <x:c r="A283" s="17" t="str">
        <x:f>"02479300"</x:f>
        <x:v>02479300</x:v>
      </x:c>
      <x:c r="B283" s="13" t="n">
        <x:v>42</x:v>
      </x:c>
      <x:c r="C283" s="22" t="b">
        <x:v>0</x:v>
      </x:c>
      <x:c r="D283" s="11" t="n">
        <x:v>0.0231596361845731</x:v>
      </x:c>
      <x:c r="E283" s="11" t="n">
        <x:v>0.0003980461866982333</x:v>
      </x:c>
      <x:c r="F283" s="11" t="n">
        <x:v>0.3796526193618774</x:v>
      </x:c>
      <x:c r="G283" s="13" t="n">
        <x:v>5</x:v>
      </x:c>
      <x:c r="H283" s="11" t="n">
        <x:v>0.1569561511278152</x:v>
      </x:c>
      <x:c r="I283" s="11" t="n">
        <x:v>0.1654620021581649</x:v>
      </x:c>
      <x:c r="J283" s="24" t="n">
        <x:v>138.5007652817294</x:v>
      </x:c>
      <x:c r="K283" s="24" t="n">
        <x:v>152.6263976097107</x:v>
      </x:c>
      <x:c r="L283" s="11" t="n">
        <x:v>0.5831265449523926</x:v>
      </x:c>
      <x:c r="M283" s="11" t="n">
        <x:v>0.0999332070350647</x:v>
      </x:c>
    </x:row>
    <x:row r="284" ht="22" customHeight="1">
      <x:c r="A284" s="17" t="str">
        <x:f>"02479560"</x:f>
        <x:v>02479560</x:v>
      </x:c>
      <x:c r="B284" s="13" t="n">
        <x:v>42</x:v>
      </x:c>
      <x:c r="C284" s="22" t="b">
        <x:v>1</x:v>
      </x:c>
      <x:c r="D284" s="11" t="n">
        <x:v>0.014851485068599332</x:v>
      </x:c>
      <x:c r="E284" s="11" t="n">
        <x:v>0.0003775620328572</x:v>
      </x:c>
      <x:c r="F284" s="11" t="n">
        <x:v>0.3094059526920318</x:v>
      </x:c>
      <x:c r="G284" s="13" t="n">
        <x:v>3</x:v>
      </x:c>
      <x:c r="H284" s="11" t="n">
        <x:v>0.0875704437494278</x:v>
      </x:c>
      <x:c r="I284" s="11" t="n">
        <x:v>0.0940356850624084</x:v>
      </x:c>
      <x:c r="J284" s="24" t="n">
        <x:v>142.35681186337024</x:v>
      </x:c>
      <x:c r="K284" s="24" t="n">
        <x:v>161.9291124343872</x:v>
      </x:c>
      <x:c r="L284" s="11" t="n">
        <x:v>0.6658415794372559</x:v>
      </x:c>
      <x:c r="M284" s="11" t="n">
        <x:v>0.0999393239617347</x:v>
      </x:c>
    </x:row>
    <x:row r="285" ht="22" customHeight="1">
      <x:c r="A285" s="17" t="str">
        <x:f>"02479560"</x:f>
        <x:v>02479560</x:v>
      </x:c>
      <x:c r="B285" s="13" t="n">
        <x:v>42</x:v>
      </x:c>
      <x:c r="C285" s="22" t="b">
        <x:v>0</x:v>
      </x:c>
      <x:c r="D285" s="11" t="n">
        <x:v>0.021505376634498363</x:v>
      </x:c>
      <x:c r="E285" s="11" t="n">
        <x:v>0.0002631152892717333</x:v>
      </x:c>
      <x:c r="F285" s="11" t="n">
        <x:v>0.4243176281452179</x:v>
      </x:c>
      <x:c r="G285" s="13" t="n">
        <x:v>9</x:v>
      </x:c>
      <x:c r="H285" s="11" t="n">
        <x:v>0.1861219704151153</x:v>
      </x:c>
      <x:c r="I285" s="11" t="n">
        <x:v>0.1921791583299636</x:v>
      </x:c>
      <x:c r="J285" s="24" t="n">
        <x:v>134.69970997795463</x:v>
      </x:c>
      <x:c r="K285" s="24" t="n">
        <x:v>149.00716829299927</x:v>
      </x:c>
      <x:c r="L285" s="11" t="n">
        <x:v>0.4615384638309479</x:v>
      </x:c>
      <x:c r="M285" s="11" t="n">
        <x:v>0.0999332070350647</x:v>
      </x:c>
    </x:row>
    <x:row r="286" ht="22" customHeight="1">
      <x:c r="A286" s="17" t="str">
        <x:f>"02481000"</x:f>
        <x:v>02481000</x:v>
      </x:c>
      <x:c r="B286" s="13" t="n">
        <x:v>42</x:v>
      </x:c>
      <x:c r="C286" s="22" t="b">
        <x:v>1</x:v>
      </x:c>
      <x:c r="D286" s="11" t="n">
        <x:v>0.018976898243029866</x:v>
      </x:c>
      <x:c r="E286" s="11" t="n">
        <x:v>0.00045846818829883336</x:v>
      </x:c>
      <x:c r="F286" s="11" t="n">
        <x:v>0.3737623691558838</x:v>
      </x:c>
      <x:c r="G286" s="13" t="n">
        <x:v>5</x:v>
      </x:c>
      <x:c r="H286" s="11" t="n">
        <x:v>0.3401424288749695</x:v>
      </x:c>
      <x:c r="I286" s="11" t="n">
        <x:v>0.3690885603427887</x:v>
      </x:c>
      <x:c r="J286" s="24" t="n">
        <x:v>137.92928312718868</x:v>
      </x:c>
      <x:c r="K286" s="24" t="n">
        <x:v>153.87852334976196</x:v>
      </x:c>
      <x:c r="L286" s="11" t="n">
        <x:v>0.5618811845779419</x:v>
      </x:c>
      <x:c r="M286" s="11" t="n">
        <x:v>0.0999393239617347</x:v>
      </x:c>
    </x:row>
    <x:row r="287" ht="22" customHeight="1">
      <x:c r="A287" s="17" t="str">
        <x:f>"02481000"</x:f>
        <x:v>02481000</x:v>
      </x:c>
      <x:c r="B287" s="13" t="n">
        <x:v>42</x:v>
      </x:c>
      <x:c r="C287" s="22" t="b">
        <x:v>0</x:v>
      </x:c>
      <x:c r="D287" s="11" t="n">
        <x:v>0.028122415145238167</x:v>
      </x:c>
      <x:c r="E287" s="11" t="n">
        <x:v>0.0002968480112030667</x:v>
      </x:c>
      <x:c r="F287" s="11" t="n">
        <x:v>0.4689826369285583</x:v>
      </x:c>
      <x:c r="G287" s="13" t="n">
        <x:v>10</x:v>
      </x:c>
      <x:c r="H287" s="11" t="n">
        <x:v>0.3814885020256042</x:v>
      </x:c>
      <x:c r="I287" s="11" t="n">
        <x:v>0.3814885020256042</x:v>
      </x:c>
      <x:c r="J287" s="24" t="n">
        <x:v>139.64729919470847</x:v>
      </x:c>
      <x:c r="K287" s="24" t="n">
        <x:v>158.6174292564392</x:v>
      </x:c>
      <x:c r="L287" s="11" t="n">
        <x:v>0.4689826369285583</x:v>
      </x:c>
      <x:c r="M287" s="11" t="n">
        <x:v>0.0999332070350647</x:v>
      </x:c>
    </x:row>
    <x:row r="288" ht="22" customHeight="1">
      <x:c r="A288" s="17" t="str">
        <x:f>"02481510"</x:f>
        <x:v>02481510</x:v>
      </x:c>
      <x:c r="B288" s="13" t="n">
        <x:v>42</x:v>
      </x:c>
      <x:c r="C288" s="22" t="b">
        <x:v>1</x:v>
      </x:c>
      <x:c r="D288" s="11" t="n">
        <x:v>0.0264026404668887</x:v>
      </x:c>
      <x:c r="E288" s="11" t="n">
        <x:v>0.0007214131571041667</x:v>
      </x:c>
      <x:c r="F288" s="11" t="n">
        <x:v>0.3341584205627441</x:v>
      </x:c>
      <x:c r="G288" s="13" t="n">
        <x:v>9</x:v>
      </x:c>
      <x:c r="H288" s="11" t="n">
        <x:v>0.2228741347789764</x:v>
      </x:c>
      <x:c r="I288" s="11" t="n">
        <x:v>0.3720611333847046</x:v>
      </x:c>
      <x:c r="J288" s="24" t="n">
        <x:v>135.44377148803324</x:v>
      </x:c>
      <x:c r="K288" s="24" t="n">
        <x:v>149.77175664901733</x:v>
      </x:c>
      <x:c r="L288" s="11" t="n">
        <x:v>0.3564356565475464</x:v>
      </x:c>
      <x:c r="M288" s="11" t="n">
        <x:v>0.0999393239617347</x:v>
      </x:c>
    </x:row>
    <x:row r="289" ht="22" customHeight="1">
      <x:c r="A289" s="17" t="str">
        <x:f>"02481510"</x:f>
        <x:v>02481510</x:v>
      </x:c>
      <x:c r="B289" s="13" t="n">
        <x:v>42</x:v>
      </x:c>
      <x:c r="C289" s="22" t="b">
        <x:v>0</x:v>
      </x:c>
      <x:c r="D289" s="11" t="n">
        <x:v>0.0413564927875995</x:v>
      </x:c>
      <x:c r="E289" s="11" t="n">
        <x:v>0.0005059909405341333</x:v>
      </x:c>
      <x:c r="F289" s="11" t="n">
        <x:v>0.466501235961914</x:v>
      </x:c>
      <x:c r="G289" s="13" t="n">
        <x:v>7</x:v>
      </x:c>
      <x:c r="H289" s="11" t="n">
        <x:v>0.2962532341480255</x:v>
      </x:c>
      <x:c r="I289" s="11" t="n">
        <x:v>0.3161325454711914</x:v>
      </x:c>
      <x:c r="J289" s="24" t="n">
        <x:v>136.976026234217</x:v>
      </x:c>
      <x:c r="K289" s="24" t="n">
        <x:v>152.82892441749573</x:v>
      </x:c>
      <x:c r="L289" s="11" t="n">
        <x:v>0.5533498525619507</x:v>
      </x:c>
      <x:c r="M289" s="11" t="n">
        <x:v>0.0999332070350647</x:v>
      </x:c>
    </x:row>
    <x:row r="290" ht="22" customHeight="1">
      <x:c r="A290" s="17" t="str">
        <x:f>"03010655"</x:f>
        <x:v>03010655</x:v>
      </x:c>
      <x:c r="B290" s="13" t="n">
        <x:v>42</x:v>
      </x:c>
      <x:c r="C290" s="22" t="b">
        <x:v>1</x:v>
      </x:c>
      <x:c r="D290" s="11" t="n">
        <x:v>0.036303630719582196</x:v>
      </x:c>
      <x:c r="E290" s="11" t="n">
        <x:v>0.00031014023018843335</x:v>
      </x:c>
      <x:c r="F290" s="11" t="n">
        <x:v>0.4356435537338257</x:v>
      </x:c>
      <x:c r="G290" s="13" t="n">
        <x:v>2</x:v>
      </x:c>
      <x:c r="H290" s="11" t="n">
        <x:v>0.2682998478412628</x:v>
      </x:c>
      <x:c r="I290" s="11" t="n">
        <x:v>0.2865945398807525</x:v>
      </x:c>
      <x:c r="J290" s="24" t="n">
        <x:v>136.5161168621853</x:v>
      </x:c>
      <x:c r="K290" s="24" t="n">
        <x:v>154.81863713264465</x:v>
      </x:c>
      <x:c r="L290" s="11" t="n">
        <x:v>0.8787128925323486</x:v>
      </x:c>
      <x:c r="M290" s="11" t="n">
        <x:v>0.0999393239617347</x:v>
      </x:c>
    </x:row>
    <x:row r="291" ht="22" customHeight="1">
      <x:c r="A291" s="17" t="str">
        <x:f>"03010655"</x:f>
        <x:v>03010655</x:v>
      </x:c>
      <x:c r="B291" s="13" t="n">
        <x:v>42</x:v>
      </x:c>
      <x:c r="C291" s="22" t="b">
        <x:v>0</x:v>
      </x:c>
      <x:c r="D291" s="11" t="n">
        <x:v>0.05128205070892963</x:v>
      </x:c>
      <x:c r="E291" s="11" t="n">
        <x:v>0.0003710600237051333</x:v>
      </x:c>
      <x:c r="F291" s="11" t="n">
        <x:v>0.5756824016571045</x:v>
      </x:c>
      <x:c r="G291" s="13" t="n">
        <x:v>4</x:v>
      </x:c>
      <x:c r="H291" s="11" t="n">
        <x:v>0.5125908851623535</x:v>
      </x:c>
      <x:c r="I291" s="11" t="n">
        <x:v>0.578338086605072</x:v>
      </x:c>
      <x:c r="J291" s="24" t="n">
        <x:v>136.83048738446087</x:v>
      </x:c>
      <x:c r="K291" s="24" t="n">
        <x:v>161.3870849609375</x:v>
      </x:c>
      <x:c r="L291" s="11" t="n">
        <x:v>0.8709677457809448</x:v>
      </x:c>
      <x:c r="M291" s="11" t="n">
        <x:v>0.0999332070350647</x:v>
      </x:c>
    </x:row>
    <x:row r="292" ht="22" customHeight="1">
      <x:c r="A292" s="17" t="str">
        <x:f>"03011800"</x:f>
        <x:v>03011800</x:v>
      </x:c>
      <x:c r="B292" s="13" t="n">
        <x:v>42</x:v>
      </x:c>
      <x:c r="C292" s="22" t="b">
        <x:v>1</x:v>
      </x:c>
      <x:c r="D292" s="11" t="n">
        <x:v>0.0321782181660334</x:v>
      </x:c>
      <x:c r="E292" s="11" t="n">
        <x:v>0.0006607335526496</x:v>
      </x:c>
      <x:c r="F292" s="11" t="n">
        <x:v>0.396039605140686</x:v>
      </x:c>
      <x:c r="G292" s="13" t="n">
        <x:v>3</x:v>
      </x:c>
      <x:c r="H292" s="11" t="n">
        <x:v>0.400014728307724</x:v>
      </x:c>
      <x:c r="I292" s="11" t="n">
        <x:v>0.4169273972511291</x:v>
      </x:c>
      <x:c r="J292" s="24" t="n">
        <x:v>141.88855456653982</x:v>
      </x:c>
      <x:c r="K292" s="24" t="n">
        <x:v>157.95416831970215</x:v>
      </x:c>
      <x:c r="L292" s="11" t="n">
        <x:v>0.8044554591178894</x:v>
      </x:c>
      <x:c r="M292" s="11" t="n">
        <x:v>0.0999393239617347</x:v>
      </x:c>
    </x:row>
    <x:row r="293" ht="22" customHeight="1">
      <x:c r="A293" s="17" t="str">
        <x:f>"03011800"</x:f>
        <x:v>03011800</x:v>
      </x:c>
      <x:c r="B293" s="13" t="n">
        <x:v>42</x:v>
      </x:c>
      <x:c r="C293" s="22" t="b">
        <x:v>0</x:v>
      </x:c>
      <x:c r="D293" s="11" t="n">
        <x:v>0.042183622717857305</x:v>
      </x:c>
      <x:c r="E293" s="11" t="n">
        <x:v>0.00036431346476693333</x:v>
      </x:c>
      <x:c r="F293" s="11" t="n">
        <x:v>0.503722071647644</x:v>
      </x:c>
      <x:c r="G293" s="13" t="n">
        <x:v>6</x:v>
      </x:c>
      <x:c r="H293" s="11" t="n">
        <x:v>0.6362369656562805</x:v>
      </x:c>
      <x:c r="I293" s="11" t="n">
        <x:v>0.6676042079925537</x:v>
      </x:c>
      <x:c r="J293" s="24" t="n">
        <x:v>137.45617827028036</x:v>
      </x:c>
      <x:c r="K293" s="24" t="n">
        <x:v>154.5356240272522</x:v>
      </x:c>
      <x:c r="L293" s="11" t="n">
        <x:v>0.6650124192237854</x:v>
      </x:c>
      <x:c r="M293" s="11" t="n">
        <x:v>0.0999332070350647</x:v>
      </x:c>
    </x:row>
    <x:row r="294" ht="22" customHeight="1">
      <x:c r="A294" s="17" t="str">
        <x:f>"03015500"</x:f>
        <x:v>03015500</x:v>
      </x:c>
      <x:c r="B294" s="13" t="n">
        <x:v>42</x:v>
      </x:c>
      <x:c r="C294" s="22" t="b">
        <x:v>1</x:v>
      </x:c>
      <x:c r="D294" s="11" t="n">
        <x:v>0.0264026404668887</x:v>
      </x:c>
      <x:c r="E294" s="11" t="n">
        <x:v>0.0005393743243378334</x:v>
      </x:c>
      <x:c r="F294" s="11" t="n">
        <x:v>0.3910891115665436</x:v>
      </x:c>
      <x:c r="G294" s="13" t="n">
        <x:v>6</x:v>
      </x:c>
      <x:c r="H294" s="11" t="n">
        <x:v>0.449720025062561</x:v>
      </x:c>
      <x:c r="I294" s="11" t="n">
        <x:v>0.4585380256175995</x:v>
      </x:c>
      <x:c r="J294" s="24" t="n">
        <x:v>140.70359339751303</x:v>
      </x:c>
      <x:c r="K294" s="24" t="n">
        <x:v>156.84939813613892</x:v>
      </x:c>
      <x:c r="L294" s="11" t="n">
        <x:v>0.5816831588745117</x:v>
      </x:c>
      <x:c r="M294" s="11" t="n">
        <x:v>0.0999393239617347</x:v>
      </x:c>
    </x:row>
    <x:row r="295" ht="22" customHeight="1">
      <x:c r="A295" s="17" t="str">
        <x:f>"03015500"</x:f>
        <x:v>03015500</x:v>
      </x:c>
      <x:c r="B295" s="13" t="n">
        <x:v>42</x:v>
      </x:c>
      <x:c r="C295" s="22" t="b">
        <x:v>0</x:v>
      </x:c>
      <x:c r="D295" s="11" t="n">
        <x:v>0.0330851944163441</x:v>
      </x:c>
      <x:c r="E295" s="11" t="n">
        <x:v>0.0003508203759944333</x:v>
      </x:c>
      <x:c r="F295" s="11" t="n">
        <x:v>0.5334987640380859</x:v>
      </x:c>
      <x:c r="G295" s="13" t="n">
        <x:v>5</x:v>
      </x:c>
      <x:c r="H295" s="11" t="n">
        <x:v>0.6795288920402527</x:v>
      </x:c>
      <x:c r="I295" s="11" t="n">
        <x:v>0.748037576675415</x:v>
      </x:c>
      <x:c r="J295" s="24" t="n">
        <x:v>138.98984038829803</x:v>
      </x:c>
      <x:c r="K295" s="24" t="n">
        <x:v>163.84700965881348</x:v>
      </x:c>
      <x:c r="L295" s="11" t="n">
        <x:v>0.7617865800857544</x:v>
      </x:c>
      <x:c r="M295" s="11" t="n">
        <x:v>0.0999332070350647</x:v>
      </x:c>
    </x:row>
    <x:row r="296" ht="22" customHeight="1">
      <x:c r="A296" s="17" t="str">
        <x:f>"03021350"</x:f>
        <x:v>03021350</x:v>
      </x:c>
      <x:c r="B296" s="13" t="n">
        <x:v>42</x:v>
      </x:c>
      <x:c r="C296" s="22" t="b">
        <x:v>1</x:v>
      </x:c>
      <x:c r="D296" s="11" t="n">
        <x:v>0.0396039610107739</x:v>
      </x:c>
      <x:c r="E296" s="11" t="n">
        <x:v>0.00041801510572739997</x:v>
      </x:c>
      <x:c r="F296" s="11" t="n">
        <x:v>0.4529702961444855</x:v>
      </x:c>
      <x:c r="G296" s="13" t="n">
        <x:v>3</x:v>
      </x:c>
      <x:c r="H296" s="11" t="n">
        <x:v>0.8023891448974609</x:v>
      </x:c>
      <x:c r="I296" s="11" t="n">
        <x:v>0.830030083656311</x:v>
      </x:c>
      <x:c r="J296" s="24" t="n">
        <x:v>144.79421367682517</x:v>
      </x:c>
      <x:c r="K296" s="24" t="n">
        <x:v>165.91044855117798</x:v>
      </x:c>
      <x:c r="L296" s="11" t="n">
        <x:v>0.8143564462661743</x:v>
      </x:c>
      <x:c r="M296" s="11" t="n">
        <x:v>0.0999393239617347</x:v>
      </x:c>
    </x:row>
    <x:row r="297" ht="22" customHeight="1">
      <x:c r="A297" s="17" t="str">
        <x:f>"03021350"</x:f>
        <x:v>03021350</x:v>
      </x:c>
      <x:c r="B297" s="13" t="n">
        <x:v>42</x:v>
      </x:c>
      <x:c r="C297" s="22" t="b">
        <x:v>0</x:v>
      </x:c>
      <x:c r="D297" s="11" t="n">
        <x:v>0.0397022329270839</x:v>
      </x:c>
      <x:c r="E297" s="11" t="n">
        <x:v>0.00029010147166740004</x:v>
      </x:c>
      <x:c r="F297" s="11" t="n">
        <x:v>0.5483871102333069</x:v>
      </x:c>
      <x:c r="G297" s="13" t="n">
        <x:v>5</x:v>
      </x:c>
      <x:c r="H297" s="11" t="n">
        <x:v>0.9903770685195924</x:v>
      </x:c>
      <x:c r="I297" s="11" t="n">
        <x:v>1.005136013031006</x:v>
      </x:c>
      <x:c r="J297" s="24" t="n">
        <x:v>139.71703576482832</x:v>
      </x:c>
      <x:c r="K297" s="24" t="n">
        <x:v>162.56157112121582</x:v>
      </x:c>
      <x:c r="L297" s="11" t="n">
        <x:v>0.7394540905952454</x:v>
      </x:c>
      <x:c r="M297" s="11" t="n">
        <x:v>0.0999332070350647</x:v>
      </x:c>
    </x:row>
    <x:row r="298" ht="22" customHeight="1">
      <x:c r="A298" s="17" t="str">
        <x:f>"03026500"</x:f>
        <x:v>03026500</x:v>
      </x:c>
      <x:c r="B298" s="13" t="n">
        <x:v>42</x:v>
      </x:c>
      <x:c r="C298" s="22" t="b">
        <x:v>1</x:v>
      </x:c>
      <x:c r="D298" s="11" t="n">
        <x:v>0.0437293723225593</x:v>
      </x:c>
      <x:c r="E298" s="11" t="n">
        <x:v>0.0003303667763248</x:v>
      </x:c>
      <x:c r="F298" s="11" t="n">
        <x:v>0.4653465449810028</x:v>
      </x:c>
      <x:c r="G298" s="13" t="n">
        <x:v>10</x:v>
      </x:c>
      <x:c r="H298" s="11" t="n">
        <x:v>0.3241622447967529</x:v>
      </x:c>
      <x:c r="I298" s="11" t="n">
        <x:v>0.3241622447967529</x:v>
      </x:c>
      <x:c r="J298" s="24" t="n">
        <x:v>140.2141145374626</x:v>
      </x:c>
      <x:c r="K298" s="24" t="n">
        <x:v>153.84158873558044</x:v>
      </x:c>
      <x:c r="L298" s="11" t="n">
        <x:v>0.4653465449810028</x:v>
      </x:c>
      <x:c r="M298" s="11" t="n">
        <x:v>0.0999393239617347</x:v>
      </x:c>
    </x:row>
    <x:row r="299" ht="22" customHeight="1">
      <x:c r="A299" s="17" t="str">
        <x:f>"03026500"</x:f>
        <x:v>03026500</x:v>
      </x:c>
      <x:c r="B299" s="13" t="n">
        <x:v>42</x:v>
      </x:c>
      <x:c r="C299" s="22" t="b">
        <x:v>0</x:v>
      </x:c>
      <x:c r="D299" s="11" t="n">
        <x:v>0.03970223292708391</x:v>
      </x:c>
      <x:c r="E299" s="11" t="n">
        <x:v>0.00033732729692316667</x:v>
      </x:c>
      <x:c r="F299" s="11" t="n">
        <x:v>0.5285359621047974</x:v>
      </x:c>
      <x:c r="G299" s="13" t="n">
        <x:v>5</x:v>
      </x:c>
      <x:c r="H299" s="11" t="n">
        <x:v>0.496321439743042</x:v>
      </x:c>
      <x:c r="I299" s="11" t="n">
        <x:v>0.5130036473274231</x:v>
      </x:c>
      <x:c r="J299" s="24" t="n">
        <x:v>145.56836403813213</x:v>
      </x:c>
      <x:c r="K299" s="24" t="n">
        <x:v>174.13877201080322</x:v>
      </x:c>
      <x:c r="L299" s="11" t="n">
        <x:v>0.7096773982048035</x:v>
      </x:c>
      <x:c r="M299" s="11" t="n">
        <x:v>0.0999332070350647</x:v>
      </x:c>
    </x:row>
    <x:row r="300" ht="22" customHeight="1">
      <x:c r="A300" s="17" t="str">
        <x:f>"03028000"</x:f>
        <x:v>03028000</x:v>
      </x:c>
      <x:c r="B300" s="13" t="n">
        <x:v>42</x:v>
      </x:c>
      <x:c r="C300" s="22" t="b">
        <x:v>1</x:v>
      </x:c>
      <x:c r="D300" s="11" t="n">
        <x:v>0.046204620351393964</x:v>
      </x:c>
      <x:c r="E300" s="11" t="n">
        <x:v>0.0001955231976656</x:v>
      </x:c>
      <x:c r="F300" s="11" t="n">
        <x:v>0.5198019742965698</x:v>
      </x:c>
      <x:c r="G300" s="13" t="n">
        <x:v>4</x:v>
      </x:c>
      <x:c r="H300" s="11" t="n">
        <x:v>0.3996261954307556</x:v>
      </x:c>
      <x:c r="I300" s="11" t="n">
        <x:v>0.4217748939990997</x:v>
      </x:c>
      <x:c r="J300" s="24" t="n">
        <x:v>141.25528509542346</x:v>
      </x:c>
      <x:c r="K300" s="24" t="n">
        <x:v>161.95874762535095</x:v>
      </x:c>
      <x:c r="L300" s="11" t="n">
        <x:v>0.7945544719696045</x:v>
      </x:c>
      <x:c r="M300" s="11" t="n">
        <x:v>0.0999393239617347</x:v>
      </x:c>
    </x:row>
    <x:row r="301" ht="22" customHeight="1">
      <x:c r="A301" s="17" t="str">
        <x:f>"03028000"</x:f>
        <x:v>03028000</x:v>
      </x:c>
      <x:c r="B301" s="13" t="n">
        <x:v>42</x:v>
      </x:c>
      <x:c r="C301" s="22" t="b">
        <x:v>0</x:v>
      </x:c>
      <x:c r="D301" s="11" t="n">
        <x:v>0.031430934245387634</x:v>
      </x:c>
      <x:c r="E301" s="11" t="n">
        <x:v>0.00028335492728116666</x:v>
      </x:c>
      <x:c r="F301" s="11" t="n">
        <x:v>0.6079404354095459</x:v>
      </x:c>
      <x:c r="G301" s="13" t="n">
        <x:v>1</x:v>
      </x:c>
      <x:c r="H301" s="11" t="n">
        <x:v>0.684926450252533</x:v>
      </x:c>
      <x:c r="I301" s="11" t="n">
        <x:v>0.7106139063835144</x:v>
      </x:c>
      <x:c r="J301" s="24" t="n">
        <x:v>143.22195859532803</x:v>
      </x:c>
      <x:c r="K301" s="24" t="n">
        <x:v>180.90763926506042</x:v>
      </x:c>
      <x:c r="L301" s="11" t="n">
        <x:v>0.9900744557380676</x:v>
      </x:c>
      <x:c r="M301" s="11" t="n">
        <x:v>0.0999332070350647</x:v>
      </x:c>
    </x:row>
    <x:row r="302" ht="22" customHeight="1">
      <x:c r="A302" s="17" t="str">
        <x:f>"03049000"</x:f>
        <x:v>03049000</x:v>
      </x:c>
      <x:c r="B302" s="13" t="n">
        <x:v>42</x:v>
      </x:c>
      <x:c r="C302" s="22" t="b">
        <x:v>1</x:v>
      </x:c>
      <x:c r="D302" s="11" t="n">
        <x:v>0.0412541255354881</x:v>
      </x:c>
      <x:c r="E302" s="11" t="n">
        <x:v>0.00047195254592219995</x:v>
      </x:c>
      <x:c r="F302" s="11" t="n">
        <x:v>0.4653465449810028</x:v>
      </x:c>
      <x:c r="G302" s="13" t="n">
        <x:v>8</x:v>
      </x:c>
      <x:c r="H302" s="11" t="n">
        <x:v>0.948580801486969</x:v>
      </x:c>
      <x:c r="I302" s="11" t="n">
        <x:v>0.9532735347747804</x:v>
      </x:c>
      <x:c r="J302" s="24" t="n">
        <x:v>140.9095454243943</x:v>
      </x:c>
      <x:c r="K302" s="24" t="n">
        <x:v>155.8547260761261</x:v>
      </x:c>
      <x:c r="L302" s="11" t="n">
        <x:v>0.5297029614448547</x:v>
      </x:c>
      <x:c r="M302" s="11" t="n">
        <x:v>0.0999393239617347</x:v>
      </x:c>
    </x:row>
    <x:row r="303" ht="22" customHeight="1">
      <x:c r="A303" s="17" t="str">
        <x:f>"03049000"</x:f>
        <x:v>03049000</x:v>
      </x:c>
      <x:c r="B303" s="13" t="n">
        <x:v>42</x:v>
      </x:c>
      <x:c r="C303" s="22" t="b">
        <x:v>0</x:v>
      </x:c>
      <x:c r="D303" s="11" t="n">
        <x:v>0.0380479730665683</x:v>
      </x:c>
      <x:c r="E303" s="11" t="n">
        <x:v>0.00039129965201326663</x:v>
      </x:c>
      <x:c r="F303" s="11" t="n">
        <x:v>0.4416873455047607</x:v>
      </x:c>
      <x:c r="G303" s="13" t="n">
        <x:v>8</x:v>
      </x:c>
      <x:c r="H303" s="11" t="n">
        <x:v>1.3663111925125122</x:v>
      </x:c>
      <x:c r="I303" s="11" t="n">
        <x:v>1.4120367765426636</x:v>
      </x:c>
      <x:c r="J303" s="24" t="n">
        <x:v>143.98373608477414</x:v>
      </x:c>
      <x:c r="K303" s="24" t="n">
        <x:v>163.05415225028992</x:v>
      </x:c>
      <x:c r="L303" s="11" t="n">
        <x:v>0.4962779283523559</x:v>
      </x:c>
      <x:c r="M303" s="11" t="n">
        <x:v>0.0999332070350647</x:v>
      </x:c>
    </x:row>
    <x:row r="304" ht="22" customHeight="1">
      <x:c r="A304" s="17" t="str">
        <x:f>"03049800"</x:f>
        <x:v>03049800</x:v>
      </x:c>
      <x:c r="B304" s="13" t="n">
        <x:v>42</x:v>
      </x:c>
      <x:c r="C304" s="22" t="b">
        <x:v>1</x:v>
      </x:c>
      <x:c r="D304" s="11" t="n">
        <x:v>0.03547854845722514</x:v>
      </x:c>
      <x:c r="E304" s="11" t="n">
        <x:v>0.0003775620377078667</x:v>
      </x:c>
      <x:c r="F304" s="11" t="n">
        <x:v>0.3886138498783111</x:v>
      </x:c>
      <x:c r="G304" s="13" t="n">
        <x:v>9</x:v>
      </x:c>
      <x:c r="H304" s="11" t="n">
        <x:v>3.612429141998291</x:v>
      </x:c>
      <x:c r="I304" s="11" t="n">
        <x:v>3.624382972717285</x:v>
      </x:c>
      <x:c r="J304" s="24" t="n">
        <x:v>142.08853029459715</x:v>
      </x:c>
      <x:c r="K304" s="24" t="n">
        <x:v>155.59002494812012</x:v>
      </x:c>
      <x:c r="L304" s="11" t="n">
        <x:v>0.4282178282737732</x:v>
      </x:c>
      <x:c r="M304" s="11" t="n">
        <x:v>0.0999393239617347</x:v>
      </x:c>
    </x:row>
    <x:row r="305" ht="22" customHeight="1">
      <x:c r="A305" s="17" t="str">
        <x:f>"03049800"</x:f>
        <x:v>03049800</x:v>
      </x:c>
      <x:c r="B305" s="13" t="n">
        <x:v>42</x:v>
      </x:c>
      <x:c r="C305" s="22" t="b">
        <x:v>0</x:v>
      </x:c>
      <x:c r="D305" s="11" t="n">
        <x:v>0.0339123234152793</x:v>
      </x:c>
      <x:c r="E305" s="11" t="n">
        <x:v>0.0003373272872219</x:v>
      </x:c>
      <x:c r="F305" s="11" t="n">
        <x:v>0.3796526193618774</x:v>
      </x:c>
      <x:c r="G305" s="13" t="n">
        <x:v>3</x:v>
      </x:c>
      <x:c r="H305" s="11" t="n">
        <x:v>4.133886337280273</x:v>
      </x:c>
      <x:c r="I305" s="11" t="n">
        <x:v>4.215122222900391</x:v>
      </x:c>
      <x:c r="J305" s="24" t="n">
        <x:v>143.37418053112924</x:v>
      </x:c>
      <x:c r="K305" s="24" t="n">
        <x:v>159.28851890563965</x:v>
      </x:c>
      <x:c r="L305" s="11" t="n">
        <x:v>0.7369726896286011</x:v>
      </x:c>
      <x:c r="M305" s="11" t="n">
        <x:v>0.0999332070350647</x:v>
      </x:c>
    </x:row>
    <x:row r="306" ht="22" customHeight="1">
      <x:c r="A306" s="17" t="str">
        <x:f>"03076600"</x:f>
        <x:v>03076600</x:v>
      </x:c>
      <x:c r="B306" s="13" t="n">
        <x:v>42</x:v>
      </x:c>
      <x:c r="C306" s="22" t="b">
        <x:v>1</x:v>
      </x:c>
      <x:c r="D306" s="11" t="n">
        <x:v>0.026402640466888668</x:v>
      </x:c>
      <x:c r="E306" s="11" t="n">
        <x:v>0.0003910463807793667</x:v>
      </x:c>
      <x:c r="F306" s="11" t="n">
        <x:v>0.4529702961444855</x:v>
      </x:c>
      <x:c r="G306" s="13" t="n">
        <x:v>5</x:v>
      </x:c>
      <x:c r="H306" s="11" t="n">
        <x:v>0.3733570873737335</x:v>
      </x:c>
      <x:c r="I306" s="11" t="n">
        <x:v>0.3838146924972534</x:v>
      </x:c>
      <x:c r="J306" s="24" t="n">
        <x:v>142.68110382556915</x:v>
      </x:c>
      <x:c r="K306" s="24" t="n">
        <x:v>156.69947791099548</x:v>
      </x:c>
      <x:c r="L306" s="11" t="n">
        <x:v>0.7029703259468079</x:v>
      </x:c>
      <x:c r="M306" s="11" t="n">
        <x:v>0.0999393239617347</x:v>
      </x:c>
    </x:row>
    <x:row r="307" ht="22" customHeight="1">
      <x:c r="A307" s="17" t="str">
        <x:f>"03076600"</x:f>
        <x:v>03076600</x:v>
      </x:c>
      <x:c r="B307" s="13" t="n">
        <x:v>42</x:v>
      </x:c>
      <x:c r="C307" s="22" t="b">
        <x:v>0</x:v>
      </x:c>
      <x:c r="D307" s="11" t="n">
        <x:v>0.0504549220204353</x:v>
      </x:c>
      <x:c r="E307" s="11" t="n">
        <x:v>0.00034407383645880003</x:v>
      </x:c>
      <x:c r="F307" s="11" t="n">
        <x:v>0.5707195997238159</x:v>
      </x:c>
      <x:c r="G307" s="13" t="n">
        <x:v>2</x:v>
      </x:c>
      <x:c r="H307" s="11" t="n">
        <x:v>0.6237350106239319</x:v>
      </x:c>
      <x:c r="I307" s="11" t="n">
        <x:v>0.7000699043273926</x:v>
      </x:c>
      <x:c r="J307" s="24" t="n">
        <x:v>146.93913136422634</x:v>
      </x:c>
      <x:c r="K307" s="24" t="n">
        <x:v>175.88002467155457</x:v>
      </x:c>
      <x:c r="L307" s="11" t="n">
        <x:v>0.9131513833999634</x:v>
      </x:c>
      <x:c r="M307" s="11" t="n">
        <x:v>0.0999332070350647</x:v>
      </x:c>
    </x:row>
    <x:row r="308" ht="22" customHeight="1">
      <x:c r="A308" s="17" t="str">
        <x:f>"03078000"</x:f>
        <x:v>03078000</x:v>
      </x:c>
      <x:c r="B308" s="13" t="n">
        <x:v>42</x:v>
      </x:c>
      <x:c r="C308" s="22" t="b">
        <x:v>1</x:v>
      </x:c>
      <x:c r="D308" s="11" t="n">
        <x:v>0.026402641087770396</x:v>
      </x:c>
      <x:c r="E308" s="11" t="n">
        <x:v>0.00029665587741566665</x:v>
      </x:c>
      <x:c r="F308" s="11" t="n">
        <x:v>0.4158415794372558</x:v>
      </x:c>
      <x:c r="G308" s="13" t="n">
        <x:v>4</x:v>
      </x:c>
      <x:c r="H308" s="11" t="n">
        <x:v>0.4015893638134002</x:v>
      </x:c>
      <x:c r="I308" s="11" t="n">
        <x:v>0.4130539000034332</x:v>
      </x:c>
      <x:c r="J308" s="24" t="n">
        <x:v>147.71268051862717</x:v>
      </x:c>
      <x:c r="K308" s="24" t="n">
        <x:v>161.0498549938202</x:v>
      </x:c>
      <x:c r="L308" s="11" t="n">
        <x:v>0.7574257254600525</x:v>
      </x:c>
      <x:c r="M308" s="11" t="n">
        <x:v>0.0999393239617347</x:v>
      </x:c>
    </x:row>
    <x:row r="309" ht="22" customHeight="1">
      <x:c r="A309" s="17" t="str">
        <x:f>"03078000"</x:f>
        <x:v>03078000</x:v>
      </x:c>
      <x:c r="B309" s="13" t="n">
        <x:v>42</x:v>
      </x:c>
      <x:c r="C309" s="22" t="b">
        <x:v>0</x:v>
      </x:c>
      <x:c r="D309" s="11" t="n">
        <x:v>0.0438378825783729</x:v>
      </x:c>
      <x:c r="E309" s="11" t="n">
        <x:v>0.00036431346476693333</x:v>
      </x:c>
      <x:c r="F309" s="11" t="n">
        <x:v>0.4888337552547455</x:v>
      </x:c>
      <x:c r="G309" s="13" t="n">
        <x:v>2</x:v>
      </x:c>
      <x:c r="H309" s="11" t="n">
        <x:v>0.6224060654640198</x:v>
      </x:c>
      <x:c r="I309" s="11" t="n">
        <x:v>0.6997988820075989</x:v>
      </x:c>
      <x:c r="J309" s="24" t="n">
        <x:v>143.15306324884295</x:v>
      </x:c>
      <x:c r="K309" s="24" t="n">
        <x:v>168.69174551963806</x:v>
      </x:c>
      <x:c r="L309" s="11" t="n">
        <x:v>0.9156327247619628</x:v>
      </x:c>
      <x:c r="M309" s="11" t="n">
        <x:v>0.0999332070350647</x:v>
      </x:c>
    </x:row>
    <x:row r="310" ht="22" customHeight="1">
      <x:c r="A310" s="17" t="str">
        <x:f>"03140000"</x:f>
        <x:v>03140000</x:v>
      </x:c>
      <x:c r="B310" s="13" t="n">
        <x:v>42</x:v>
      </x:c>
      <x:c r="C310" s="22" t="b">
        <x:v>1</x:v>
      </x:c>
      <x:c r="D310" s="11" t="n">
        <x:v>0.03382838393251097</x:v>
      </x:c>
      <x:c r="E310" s="11" t="n">
        <x:v>0.0004854368938443333</x:v>
      </x:c>
      <x:c r="F310" s="11" t="n">
        <x:v>0.4059405922889709</x:v>
      </x:c>
      <x:c r="G310" s="13" t="n">
        <x:v>1</x:v>
      </x:c>
      <x:c r="H310" s="11" t="n">
        <x:v>0.9007352590560912</x:v>
      </x:c>
      <x:c r="I310" s="11" t="n">
        <x:v>0.9248265624046326</x:v>
      </x:c>
      <x:c r="J310" s="24" t="n">
        <x:v>137.13498882204294</x:v>
      </x:c>
      <x:c r="K310" s="24" t="n">
        <x:v>157.1254527568817</x:v>
      </x:c>
      <x:c r="L310" s="11" t="n">
        <x:v>0.9777227640151978</x:v>
      </x:c>
      <x:c r="M310" s="11" t="n">
        <x:v>0.0999393239617347</x:v>
      </x:c>
    </x:row>
    <x:row r="311" ht="22" customHeight="1">
      <x:c r="A311" s="17" t="str">
        <x:f>"03140000"</x:f>
        <x:v>03140000</x:v>
      </x:c>
      <x:c r="B311" s="13" t="n">
        <x:v>42</x:v>
      </x:c>
      <x:c r="C311" s="22" t="b">
        <x:v>0</x:v>
      </x:c>
      <x:c r="D311" s="11" t="n">
        <x:v>0.03887510361770783</x:v>
      </x:c>
      <x:c r="E311" s="11" t="n">
        <x:v>0.00024962219564860004</x:v>
      </x:c>
      <x:c r="F311" s="11" t="n">
        <x:v>0.4937965273857116</x:v>
      </x:c>
      <x:c r="G311" s="13" t="n">
        <x:v>4</x:v>
      </x:c>
      <x:c r="H311" s="11" t="n">
        <x:v>1.0700867176055908</x:v>
      </x:c>
      <x:c r="I311" s="11" t="n">
        <x:v>1.0992649793624878</x:v>
      </x:c>
      <x:c r="J311" s="24" t="n">
        <x:v>144.13394967652857</x:v>
      </x:c>
      <x:c r="K311" s="24" t="n">
        <x:v>165.13267707824707</x:v>
      </x:c>
      <x:c r="L311" s="11" t="n">
        <x:v>0.729528546333313</x:v>
      </x:c>
      <x:c r="M311" s="11" t="n">
        <x:v>0.0999332070350647</x:v>
      </x:c>
    </x:row>
    <x:row r="312" ht="22" customHeight="1">
      <x:c r="A312" s="17" t="str">
        <x:f>"03144000"</x:f>
        <x:v>03144000</x:v>
      </x:c>
      <x:c r="B312" s="13" t="n">
        <x:v>42</x:v>
      </x:c>
      <x:c r="C312" s="22" t="b">
        <x:v>1</x:v>
      </x:c>
      <x:c r="D312" s="11" t="n">
        <x:v>0.01732673278699313</x:v>
      </x:c>
      <x:c r="E312" s="11" t="n">
        <x:v>0.0005326321406754999</x:v>
      </x:c>
      <x:c r="F312" s="11" t="n">
        <x:v>0.3094059526920318</x:v>
      </x:c>
      <x:c r="G312" s="13" t="n">
        <x:v>2</x:v>
      </x:c>
      <x:c r="H312" s="11" t="n">
        <x:v>0.7542282342910767</x:v>
      </x:c>
      <x:c r="I312" s="11" t="n">
        <x:v>0.8025304675102234</x:v>
      </x:c>
      <x:c r="J312" s="24" t="n">
        <x:v>139.1034510890022</x:v>
      </x:c>
      <x:c r="K312" s="24" t="n">
        <x:v>153.98891687393188</x:v>
      </x:c>
      <x:c r="L312" s="11" t="n">
        <x:v>0.7623762488365173</x:v>
      </x:c>
      <x:c r="M312" s="11" t="n">
        <x:v>0.0999393239617347</x:v>
      </x:c>
    </x:row>
    <x:row r="313" ht="22" customHeight="1">
      <x:c r="A313" s="17" t="str">
        <x:f>"03144000"</x:f>
        <x:v>03144000</x:v>
      </x:c>
      <x:c r="B313" s="13" t="n">
        <x:v>42</x:v>
      </x:c>
      <x:c r="C313" s="22" t="b">
        <x:v>0</x:v>
      </x:c>
      <x:c r="D313" s="11" t="n">
        <x:v>0.028949545075495964</x:v>
      </x:c>
      <x:c r="E313" s="11" t="n">
        <x:v>0.0003440738364587999</x:v>
      </x:c>
      <x:c r="F313" s="11" t="n">
        <x:v>0.5235732197761536</x:v>
      </x:c>
      <x:c r="G313" s="13" t="n">
        <x:v>2</x:v>
      </x:c>
      <x:c r="H313" s="11" t="n">
        <x:v>0.9219694137573242</x:v>
      </x:c>
      <x:c r="I313" s="11" t="n">
        <x:v>0.9952499270439148</x:v>
      </x:c>
      <x:c r="J313" s="24" t="n">
        <x:v>141.0387856438756</x:v>
      </x:c>
      <x:c r="K313" s="24" t="n">
        <x:v>169.38965106010437</x:v>
      </x:c>
      <x:c r="L313" s="11" t="n">
        <x:v>0.8560793995857239</x:v>
      </x:c>
      <x:c r="M313" s="11" t="n">
        <x:v>0.0999332070350647</x:v>
      </x:c>
    </x:row>
    <x:row r="314" ht="22" customHeight="1">
      <x:c r="A314" s="17" t="str">
        <x:f>"03159540"</x:f>
        <x:v>03159540</x:v>
      </x:c>
      <x:c r="B314" s="13" t="n">
        <x:v>42</x:v>
      </x:c>
      <x:c r="C314" s="22" t="b">
        <x:v>1</x:v>
      </x:c>
      <x:c r="D314" s="11" t="n">
        <x:v>0.03135313590367627</x:v>
      </x:c>
      <x:c r="E314" s="11" t="n">
        <x:v>0.0003168824090001</x:v>
      </x:c>
      <x:c r="F314" s="11" t="n">
        <x:v>0.5470296740531921</x:v>
      </x:c>
      <x:c r="G314" s="13" t="n">
        <x:v>10</x:v>
      </x:c>
      <x:c r="H314" s="11" t="n">
        <x:v>0.7599815130233765</x:v>
      </x:c>
      <x:c r="I314" s="11" t="n">
        <x:v>0.7599815130233765</x:v>
      </x:c>
      <x:c r="J314" s="24" t="n">
        <x:v>136.24784481711686</x:v>
      </x:c>
      <x:c r="K314" s="24" t="n">
        <x:v>155.91047954559326</x:v>
      </x:c>
      <x:c r="L314" s="11" t="n">
        <x:v>0.5470296740531921</x:v>
      </x:c>
      <x:c r="M314" s="11" t="n">
        <x:v>0.0999393239617347</x:v>
      </x:c>
    </x:row>
    <x:row r="315" ht="22" customHeight="1">
      <x:c r="A315" s="17" t="str">
        <x:f>"03159540"</x:f>
        <x:v>03159540</x:v>
      </x:c>
      <x:c r="B315" s="13" t="n">
        <x:v>42</x:v>
      </x:c>
      <x:c r="C315" s="22" t="b">
        <x:v>0</x:v>
      </x:c>
      <x:c r="D315" s="11" t="n">
        <x:v>0.03391232465704277</x:v>
      </x:c>
      <x:c r="E315" s="11" t="n">
        <x:v>0.00027660837319363335</x:v>
      </x:c>
      <x:c r="F315" s="11" t="n">
        <x:v>0.4540942907333374</x:v>
      </x:c>
      <x:c r="G315" s="13" t="n">
        <x:v>2</x:v>
      </x:c>
      <x:c r="H315" s="11" t="n">
        <x:v>0.9727288484573364</x:v>
      </x:c>
      <x:c r="I315" s="11" t="n">
        <x:v>1.029218077659607</x:v>
      </x:c>
      <x:c r="J315" s="24" t="n">
        <x:v>135.78247555252165</x:v>
      </x:c>
      <x:c r="K315" s="24" t="n">
        <x:v>157.03900051116943</x:v>
      </x:c>
      <x:c r="L315" s="11" t="n">
        <x:v>0.8734491467475891</x:v>
      </x:c>
      <x:c r="M315" s="11" t="n">
        <x:v>0.0999332070350647</x:v>
      </x:c>
    </x:row>
    <x:row r="316" ht="22" customHeight="1">
      <x:c r="A316" s="17" t="str">
        <x:f>"03161000"</x:f>
        <x:v>03161000</x:v>
      </x:c>
      <x:c r="B316" s="13" t="n">
        <x:v>42</x:v>
      </x:c>
      <x:c r="C316" s="22" t="b">
        <x:v>1</x:v>
      </x:c>
      <x:c r="D316" s="11" t="n">
        <x:v>0.0330033004283905</x:v>
      </x:c>
      <x:c r="E316" s="11" t="n">
        <x:v>0.0003303667738994333</x:v>
      </x:c>
      <x:c r="F316" s="11" t="n">
        <x:v>0.3811881244182586</x:v>
      </x:c>
      <x:c r="G316" s="13" t="n">
        <x:v>8</x:v>
      </x:c>
      <x:c r="H316" s="11" t="n">
        <x:v>0.5192486047744751</x:v>
      </x:c>
      <x:c r="I316" s="11" t="n">
        <x:v>0.535153329372406</x:v>
      </x:c>
      <x:c r="J316" s="24" t="n">
        <x:v>138.90634395089</x:v>
      </x:c>
      <x:c r="K316" s="24" t="n">
        <x:v>155.10242295265198</x:v>
      </x:c>
      <x:c r="L316" s="11" t="n">
        <x:v>0.4554455578327179</x:v>
      </x:c>
      <x:c r="M316" s="11" t="n">
        <x:v>0.0999393239617347</x:v>
      </x:c>
    </x:row>
    <x:row r="317" ht="22" customHeight="1">
      <x:c r="A317" s="17" t="str">
        <x:f>"03161000"</x:f>
        <x:v>03161000</x:v>
      </x:c>
      <x:c r="B317" s="13" t="n">
        <x:v>42</x:v>
      </x:c>
      <x:c r="C317" s="22" t="b">
        <x:v>0</x:v>
      </x:c>
      <x:c r="D317" s="11" t="n">
        <x:v>0.03887510361770783</x:v>
      </x:c>
      <x:c r="E317" s="11" t="n">
        <x:v>0.00039804619154886666</x:v>
      </x:c>
      <x:c r="F317" s="11" t="n">
        <x:v>0.4615384638309479</x:v>
      </x:c>
      <x:c r="G317" s="13" t="n">
        <x:v>7</x:v>
      </x:c>
      <x:c r="H317" s="11" t="n">
        <x:v>0.626792311668396</x:v>
      </x:c>
      <x:c r="I317" s="11" t="n">
        <x:v>0.6276074647903442</x:v>
      </x:c>
      <x:c r="J317" s="24" t="n">
        <x:v>138.94913553167135</x:v>
      </x:c>
      <x:c r="K317" s="24" t="n">
        <x:v>156.71912360191345</x:v>
      </x:c>
      <x:c r="L317" s="11" t="n">
        <x:v>0.578163743019104</x:v>
      </x:c>
      <x:c r="M317" s="11" t="n">
        <x:v>0.0999332070350647</x:v>
      </x:c>
    </x:row>
    <x:row r="318" ht="22" customHeight="1">
      <x:c r="A318" s="17" t="str">
        <x:f>"03164000"</x:f>
        <x:v>03164000</x:v>
      </x:c>
      <x:c r="B318" s="13" t="n">
        <x:v>42</x:v>
      </x:c>
      <x:c r="C318" s="22" t="b">
        <x:v>1</x:v>
      </x:c>
      <x:c r="D318" s="11" t="n">
        <x:v>0.020627062767744</x:v>
      </x:c>
      <x:c r="E318" s="11" t="n">
        <x:v>0.00047195254592219995</x:v>
      </x:c>
      <x:c r="F318" s="11" t="n">
        <x:v>0.3217821717262268</x:v>
      </x:c>
      <x:c r="G318" s="13" t="n">
        <x:v>7</x:v>
      </x:c>
      <x:c r="H318" s="11" t="n">
        <x:v>0.1632623225450515</x:v>
      </x:c>
      <x:c r="I318" s="11" t="n">
        <x:v>0.1668408215045929</x:v>
      </x:c>
      <x:c r="J318" s="24" t="n">
        <x:v>143.0174465207383</x:v>
      </x:c>
      <x:c r="K318" s="24" t="n">
        <x:v>154.69055771827698</x:v>
      </x:c>
      <x:c r="L318" s="11" t="n">
        <x:v>0.4232673346996307</x:v>
      </x:c>
      <x:c r="M318" s="11" t="n">
        <x:v>0.0999393239617347</x:v>
      </x:c>
    </x:row>
    <x:row r="319" ht="22" customHeight="1">
      <x:c r="A319" s="17" t="str">
        <x:f>"03164000"</x:f>
        <x:v>03164000</x:v>
      </x:c>
      <x:c r="B319" s="13" t="n">
        <x:v>42</x:v>
      </x:c>
      <x:c r="C319" s="22" t="b">
        <x:v>0</x:v>
      </x:c>
      <x:c r="D319" s="11" t="n">
        <x:v>0.0430107526481151</x:v>
      </x:c>
      <x:c r="E319" s="11" t="n">
        <x:v>0.00030359455558933335</x:v>
      </x:c>
      <x:c r="F319" s="11" t="n">
        <x:v>0.5583126544952393</x:v>
      </x:c>
      <x:c r="G319" s="13" t="n">
        <x:v>5</x:v>
      </x:c>
      <x:c r="H319" s="11" t="n">
        <x:v>0.2419123500585556</x:v>
      </x:c>
      <x:c r="I319" s="11" t="n">
        <x:v>0.2548117339611053</x:v>
      </x:c>
      <x:c r="J319" s="24" t="n">
        <x:v>140.38936441298574</x:v>
      </x:c>
      <x:c r="K319" s="24" t="n">
        <x:v>162.65772938728333</x:v>
      </x:c>
      <x:c r="L319" s="11" t="n">
        <x:v>0.7642679810523987</x:v>
      </x:c>
      <x:c r="M319" s="11" t="n">
        <x:v>0.0999332070350647</x:v>
      </x:c>
    </x:row>
    <x:row r="320" ht="22" customHeight="1">
      <x:c r="A320" s="17" t="str">
        <x:f>"03165000"</x:f>
        <x:v>03165000</x:v>
      </x:c>
      <x:c r="B320" s="13" t="n">
        <x:v>42</x:v>
      </x:c>
      <x:c r="C320" s="22" t="b">
        <x:v>1</x:v>
      </x:c>
      <x:c r="D320" s="11" t="n">
        <x:v>0.03382838331162923</x:v>
      </x:c>
      <x:c r="E320" s="11" t="n">
        <x:v>0.0006674757266106</x:v>
      </x:c>
      <x:c r="F320" s="11" t="n">
        <x:v>0.3564356565475464</x:v>
      </x:c>
      <x:c r="G320" s="13" t="n">
        <x:v>1</x:v>
      </x:c>
      <x:c r="H320" s="11" t="n">
        <x:v>0.869252622127533</x:v>
      </x:c>
      <x:c r="I320" s="11" t="n">
        <x:v>0.8698890805244446</x:v>
      </x:c>
      <x:c r="J320" s="24" t="n">
        <x:v>140.16707298904657</x:v>
      </x:c>
      <x:c r="K320" s="24" t="n">
        <x:v>156.14309000968933</x:v>
      </x:c>
      <x:c r="L320" s="11" t="n">
        <x:v>0.9603960514068604</x:v>
      </x:c>
      <x:c r="M320" s="11" t="n">
        <x:v>0.0999393239617347</x:v>
      </x:c>
    </x:row>
    <x:row r="321" ht="22" customHeight="1">
      <x:c r="A321" s="17" t="str">
        <x:f>"03165000"</x:f>
        <x:v>03165000</x:v>
      </x:c>
      <x:c r="B321" s="13" t="n">
        <x:v>42</x:v>
      </x:c>
      <x:c r="C321" s="22" t="b">
        <x:v>0</x:v>
      </x:c>
      <x:c r="D321" s="11" t="n">
        <x:v>0.0355665832757949</x:v>
      </x:c>
      <x:c r="E321" s="11" t="n">
        <x:v>0.0002563687448854667</x:v>
      </x:c>
      <x:c r="F321" s="11" t="n">
        <x:v>0.4689826369285583</x:v>
      </x:c>
      <x:c r="G321" s="13" t="n">
        <x:v>9</x:v>
      </x:c>
      <x:c r="H321" s="11" t="n">
        <x:v>0.9031897187232972</x:v>
      </x:c>
      <x:c r="I321" s="11" t="n">
        <x:v>0.9116795659065248</x:v>
      </x:c>
      <x:c r="J321" s="24" t="n">
        <x:v>144.54703402612358</x:v>
      </x:c>
      <x:c r="K321" s="24" t="n">
        <x:v>160.17869424819946</x:v>
      </x:c>
      <x:c r="L321" s="11" t="n">
        <x:v>0.5062034726142883</x:v>
      </x:c>
      <x:c r="M321" s="11" t="n">
        <x:v>0.0999332070350647</x:v>
      </x:c>
    </x:row>
    <x:row r="322" ht="22" customHeight="1">
      <x:c r="A322" s="17" t="str">
        <x:f>"03170000"</x:f>
        <x:v>03170000</x:v>
      </x:c>
      <x:c r="B322" s="13" t="n">
        <x:v>42</x:v>
      </x:c>
      <x:c r="C322" s="22" t="b">
        <x:v>1</x:v>
      </x:c>
      <x:c r="D322" s="11" t="n">
        <x:v>0.03300330042839044</x:v>
      </x:c>
      <x:c r="E322" s="11" t="n">
        <x:v>0.0007214131571041333</x:v>
      </x:c>
      <x:c r="F322" s="11" t="n">
        <x:v>0.4183168411254883</x:v>
      </x:c>
      <x:c r="G322" s="13" t="n">
        <x:v>4</x:v>
      </x:c>
      <x:c r="H322" s="11" t="n">
        <x:v>0.5674553513526917</x:v>
      </x:c>
      <x:c r="I322" s="11" t="n">
        <x:v>0.5762553215026855</x:v>
      </x:c>
      <x:c r="J322" s="24" t="n">
        <x:v>144.3701053513214</x:v>
      </x:c>
      <x:c r="K322" s="24" t="n">
        <x:v>159.95938515663147</x:v>
      </x:c>
      <x:c r="L322" s="11" t="n">
        <x:v>0.6831682920455933</x:v>
      </x:c>
      <x:c r="M322" s="11" t="n">
        <x:v>0.0999393239617347</x:v>
      </x:c>
    </x:row>
    <x:row r="323" ht="22" customHeight="1">
      <x:c r="A323" s="17" t="str">
        <x:f>"03170000"</x:f>
        <x:v>03170000</x:v>
      </x:c>
      <x:c r="B323" s="13" t="n">
        <x:v>42</x:v>
      </x:c>
      <x:c r="C323" s="22" t="b">
        <x:v>0</x:v>
      </x:c>
      <x:c r="D323" s="11" t="n">
        <x:v>0.0413564927875995</x:v>
      </x:c>
      <x:c r="E323" s="11" t="n">
        <x:v>0.0004857512928234667</x:v>
      </x:c>
      <x:c r="F323" s="11" t="n">
        <x:v>0.5459057092666626</x:v>
      </x:c>
      <x:c r="G323" s="13" t="n">
        <x:v>9</x:v>
      </x:c>
      <x:c r="H323" s="11" t="n">
        <x:v>0.7070820331573486</x:v>
      </x:c>
      <x:c r="I323" s="11" t="n">
        <x:v>0.7525515556335449</x:v>
      </x:c>
      <x:c r="J323" s="24" t="n">
        <x:v>139.761749538593</x:v>
      </x:c>
      <x:c r="K323" s="24" t="n">
        <x:v>155.15975975990295</x:v>
      </x:c>
      <x:c r="L323" s="11" t="n">
        <x:v>0.5831265449523926</x:v>
      </x:c>
      <x:c r="M323" s="11" t="n">
        <x:v>0.0999332070350647</x:v>
      </x:c>
    </x:row>
    <x:row r="324" ht="22" customHeight="1">
      <x:c r="A324" s="17" t="str">
        <x:f>"03173000"</x:f>
        <x:v>03173000</x:v>
      </x:c>
      <x:c r="B324" s="13" t="n">
        <x:v>42</x:v>
      </x:c>
      <x:c r="C324" s="22" t="b">
        <x:v>1</x:v>
      </x:c>
      <x:c r="D324" s="11" t="n">
        <x:v>0.020627063078184866</x:v>
      </x:c>
      <x:c r="E324" s="11" t="n">
        <x:v>0.0004921790678053333</x:v>
      </x:c>
      <x:c r="F324" s="11" t="n">
        <x:v>0.3490099012851715</x:v>
      </x:c>
      <x:c r="G324" s="13" t="n">
        <x:v>3</x:v>
      </x:c>
      <x:c r="H324" s="11" t="n">
        <x:v>0.149088054895401</x:v>
      </x:c>
      <x:c r="I324" s="11" t="n">
        <x:v>0.1551248878240585</x:v>
      </x:c>
      <x:c r="J324" s="24" t="n">
        <x:v>136.85308848693967</x:v>
      </x:c>
      <x:c r="K324" s="24" t="n">
        <x:v>151.10985827445984</x:v>
      </x:c>
      <x:c r="L324" s="11" t="n">
        <x:v>0.7301980257034302</x:v>
      </x:c>
      <x:c r="M324" s="11" t="n">
        <x:v>0.0999393239617347</x:v>
      </x:c>
    </x:row>
    <x:row r="325" ht="22" customHeight="1">
      <x:c r="A325" s="17" t="str">
        <x:f>"03173000"</x:f>
        <x:v>03173000</x:v>
      </x:c>
      <x:c r="B325" s="13" t="n">
        <x:v>42</x:v>
      </x:c>
      <x:c r="C325" s="22" t="b">
        <x:v>0</x:v>
      </x:c>
      <x:c r="D325" s="11" t="n">
        <x:v>0.03804797368745003</x:v>
      </x:c>
      <x:c r="E325" s="11" t="n">
        <x:v>0.0005397236673160666</x:v>
      </x:c>
      <x:c r="F325" s="11" t="n">
        <x:v>0.5682381987571716</x:v>
      </x:c>
      <x:c r="G325" s="13" t="n">
        <x:v>10</x:v>
      </x:c>
      <x:c r="H325" s="11" t="n">
        <x:v>0.2433206140995025</x:v>
      </x:c>
      <x:c r="I325" s="11" t="n">
        <x:v>0.2433206140995025</x:v>
      </x:c>
      <x:c r="J325" s="24" t="n">
        <x:v>137.81645121984184</x:v>
      </x:c>
      <x:c r="K325" s="24" t="n">
        <x:v>156.12128520011902</x:v>
      </x:c>
      <x:c r="L325" s="11" t="n">
        <x:v>0.5682381987571716</x:v>
      </x:c>
      <x:c r="M325" s="11" t="n">
        <x:v>0.0999332070350647</x:v>
      </x:c>
    </x:row>
    <x:row r="326" ht="22" customHeight="1">
      <x:c r="A326" s="17" t="str">
        <x:f>"03237280"</x:f>
        <x:v>03237280</x:v>
      </x:c>
      <x:c r="B326" s="13" t="n">
        <x:v>42</x:v>
      </x:c>
      <x:c r="C326" s="22" t="b">
        <x:v>1</x:v>
      </x:c>
      <x:c r="D326" s="11" t="n">
        <x:v>0.030528053020437537</x:v>
      </x:c>
      <x:c r="E326" s="11" t="n">
        <x:v>0.00037756203285723333</x:v>
      </x:c>
      <x:c r="F326" s="11" t="n">
        <x:v>0.4059405922889709</x:v>
      </x:c>
      <x:c r="G326" s="13" t="n">
        <x:v>3</x:v>
      </x:c>
      <x:c r="H326" s="11" t="n">
        <x:v>0.62074875831604</x:v>
      </x:c>
      <x:c r="I326" s="11" t="n">
        <x:v>0.6400009989738464</x:v>
      </x:c>
      <x:c r="J326" s="24" t="n">
        <x:v>141.6148721622303</x:v>
      </x:c>
      <x:c r="K326" s="24" t="n">
        <x:v>159.91378664970398</x:v>
      </x:c>
      <x:c r="L326" s="11" t="n">
        <x:v>0.7351484894752502</x:v>
      </x:c>
      <x:c r="M326" s="11" t="n">
        <x:v>0.0999393239617347</x:v>
      </x:c>
    </x:row>
    <x:row r="327" ht="22" customHeight="1">
      <x:c r="A327" s="17" t="str">
        <x:f>"03237280"</x:f>
        <x:v>03237280</x:v>
      </x:c>
      <x:c r="B327" s="13" t="n">
        <x:v>42</x:v>
      </x:c>
      <x:c r="C327" s="22" t="b">
        <x:v>0</x:v>
      </x:c>
      <x:c r="D327" s="11" t="n">
        <x:v>0.0206782463937997</x:v>
      </x:c>
      <x:c r="E327" s="11" t="n">
        <x:v>0.00040479275048703337</x:v>
      </x:c>
      <x:c r="F327" s="11" t="n">
        <x:v>0.3746898174285888</x:v>
      </x:c>
      <x:c r="G327" s="13" t="n">
        <x:v>1</x:v>
      </x:c>
      <x:c r="H327" s="11" t="n">
        <x:v>0.8249977231025696</x:v>
      </x:c>
      <x:c r="I327" s="11" t="n">
        <x:v>0.8515429496765137</x:v>
      </x:c>
      <x:c r="J327" s="24" t="n">
        <x:v>137.12022410612553</x:v>
      </x:c>
      <x:c r="K327" s="24" t="n">
        <x:v>159.1670436859131</x:v>
      </x:c>
      <x:c r="L327" s="11" t="n">
        <x:v>0.9354838728904724</x:v>
      </x:c>
      <x:c r="M327" s="11" t="n">
        <x:v>0.0999332070350647</x:v>
      </x:c>
    </x:row>
    <x:row r="328" ht="22" customHeight="1">
      <x:c r="A328" s="17" t="str">
        <x:f>"03237500"</x:f>
        <x:v>03237500</x:v>
      </x:c>
      <x:c r="B328" s="13" t="n">
        <x:v>42</x:v>
      </x:c>
      <x:c r="C328" s="22" t="b">
        <x:v>1</x:v>
      </x:c>
      <x:c r="D328" s="11" t="n">
        <x:v>0.042079208418726866</x:v>
      </x:c>
      <x:c r="E328" s="11" t="n">
        <x:v>0.0003236246023637</x:v>
      </x:c>
      <x:c r="F328" s="11" t="n">
        <x:v>0.4183168411254883</x:v>
      </x:c>
      <x:c r="G328" s="13" t="n">
        <x:v>9</x:v>
      </x:c>
      <x:c r="H328" s="11" t="n">
        <x:v>0.4814626276493072</x:v>
      </x:c>
      <x:c r="I328" s="11" t="n">
        <x:v>0.4835896492004394</x:v>
      </x:c>
      <x:c r="J328" s="24" t="n">
        <x:v>141.61544033046812</x:v>
      </x:c>
      <x:c r="K328" s="24" t="n">
        <x:v>154.78380846977234</x:v>
      </x:c>
      <x:c r="L328" s="11" t="n">
        <x:v>0.4430693089962005</x:v>
      </x:c>
      <x:c r="M328" s="11" t="n">
        <x:v>0.0999393239617347</x:v>
      </x:c>
    </x:row>
    <x:row r="329" ht="22" customHeight="1">
      <x:c r="A329" s="17" t="str">
        <x:f>"03237500"</x:f>
        <x:v>03237500</x:v>
      </x:c>
      <x:c r="B329" s="13" t="n">
        <x:v>42</x:v>
      </x:c>
      <x:c r="C329" s="22" t="b">
        <x:v>0</x:v>
      </x:c>
      <x:c r="D329" s="11" t="n">
        <x:v>0.025641025354464764</x:v>
      </x:c>
      <x:c r="E329" s="11" t="n">
        <x:v>0.0003238341935987667</x:v>
      </x:c>
      <x:c r="F329" s="11" t="n">
        <x:v>0.4168734550476074</x:v>
      </x:c>
      <x:c r="G329" s="13" t="n">
        <x:v>6</x:v>
      </x:c>
      <x:c r="H329" s="11" t="n">
        <x:v>0.567462682723999</x:v>
      </x:c>
      <x:c r="I329" s="11" t="n">
        <x:v>0.5726496577262878</x:v>
      </x:c>
      <x:c r="J329" s="24" t="n">
        <x:v>132.98005737084895</x:v>
      </x:c>
      <x:c r="K329" s="24" t="n">
        <x:v>149.63719153404236</x:v>
      </x:c>
      <x:c r="L329" s="11" t="n">
        <x:v>0.5607940554618835</x:v>
      </x:c>
      <x:c r="M329" s="11" t="n">
        <x:v>0.0999332070350647</x:v>
      </x:c>
    </x:row>
    <x:row r="330" ht="22" customHeight="1">
      <x:c r="A330" s="17" t="str">
        <x:f>"03241500"</x:f>
        <x:v>03241500</x:v>
      </x:c>
      <x:c r="B330" s="13" t="n">
        <x:v>42</x:v>
      </x:c>
      <x:c r="C330" s="22" t="b">
        <x:v>1</x:v>
      </x:c>
      <x:c r="D330" s="11" t="n">
        <x:v>0.018976898243029866</x:v>
      </x:c>
      <x:c r="E330" s="11" t="n">
        <x:v>0.0008562567527405333</x:v>
      </x:c>
      <x:c r="F330" s="11" t="n">
        <x:v>0.3589108884334564</x:v>
      </x:c>
      <x:c r="G330" s="13" t="n">
        <x:v>3</x:v>
      </x:c>
      <x:c r="H330" s="11" t="n">
        <x:v>0.5558095574378967</x:v>
      </x:c>
      <x:c r="I330" s="11" t="n">
        <x:v>0.5721950531005859</x:v>
      </x:c>
      <x:c r="J330" s="24" t="n">
        <x:v>135.7627473194152</x:v>
      </x:c>
      <x:c r="K330" s="24" t="n">
        <x:v>153.78695702552795</x:v>
      </x:c>
      <x:c r="L330" s="11" t="n">
        <x:v>0.7227723002433777</x:v>
      </x:c>
      <x:c r="M330" s="11" t="n">
        <x:v>0.0999393239617347</x:v>
      </x:c>
    </x:row>
    <x:row r="331" ht="22" customHeight="1">
      <x:c r="A331" s="17" t="str">
        <x:f>"03241500"</x:f>
        <x:v>03241500</x:v>
      </x:c>
      <x:c r="B331" s="13" t="n">
        <x:v>42</x:v>
      </x:c>
      <x:c r="C331" s="22" t="b">
        <x:v>0</x:v>
      </x:c>
      <x:c r="D331" s="11" t="n">
        <x:v>0.02646815559516343</x:v>
      </x:c>
      <x:c r="E331" s="11" t="n">
        <x:v>0.0002968480160537</x:v>
      </x:c>
      <x:c r="F331" s="11" t="n">
        <x:v>0.4913151264190674</x:v>
      </x:c>
      <x:c r="G331" s="13" t="n">
        <x:v>4</x:v>
      </x:c>
      <x:c r="H331" s="11" t="n">
        <x:v>0.7258079648017883</x:v>
      </x:c>
      <x:c r="I331" s="11" t="n">
        <x:v>0.7528847455978394</x:v>
      </x:c>
      <x:c r="J331" s="24" t="n">
        <x:v>139.31340027600527</x:v>
      </x:c>
      <x:c r="K331" s="24" t="n">
        <x:v>163.49840807914734</x:v>
      </x:c>
      <x:c r="L331" s="11" t="n">
        <x:v>0.7444168925285339</x:v>
      </x:c>
      <x:c r="M331" s="11" t="n">
        <x:v>0.0999332070350647</x:v>
      </x:c>
    </x:row>
    <x:row r="332" ht="22" customHeight="1">
      <x:c r="A332" s="17" t="str">
        <x:f>"03291780"</x:f>
        <x:v>03291780</x:v>
      </x:c>
      <x:c r="B332" s="13" t="n">
        <x:v>42</x:v>
      </x:c>
      <x:c r="C332" s="22" t="b">
        <x:v>1</x:v>
      </x:c>
      <x:c r="D332" s="11" t="n">
        <x:v>0.03547854783634336</x:v>
      </x:c>
      <x:c r="E332" s="11" t="n">
        <x:v>0.0008495145593769333</x:v>
      </x:c>
      <x:c r="F332" s="11" t="n">
        <x:v>0.3638613820075989</x:v>
      </x:c>
      <x:c r="G332" s="13" t="n">
        <x:v>6</x:v>
      </x:c>
      <x:c r="H332" s="11" t="n">
        <x:v>0.7114829421043396</x:v>
      </x:c>
      <x:c r="I332" s="11" t="n">
        <x:v>0.7525089383125305</x:v>
      </x:c>
      <x:c r="J332" s="24" t="n">
        <x:v>141.56422424968332</x:v>
      </x:c>
      <x:c r="K332" s="24" t="n">
        <x:v>156.82152700424194</x:v>
      </x:c>
      <x:c r="L332" s="11" t="n">
        <x:v>0.5297029614448547</x:v>
      </x:c>
      <x:c r="M332" s="11" t="n">
        <x:v>0.0999393239617347</x:v>
      </x:c>
    </x:row>
    <x:row r="333" ht="22" customHeight="1">
      <x:c r="A333" s="17" t="str">
        <x:f>"03291780"</x:f>
        <x:v>03291780</x:v>
      </x:c>
      <x:c r="B333" s="13" t="n">
        <x:v>42</x:v>
      </x:c>
      <x:c r="C333" s="22" t="b">
        <x:v>0</x:v>
      </x:c>
      <x:c r="D333" s="11" t="n">
        <x:v>0.03473945396641884</x:v>
      </x:c>
      <x:c r="E333" s="11" t="n">
        <x:v>0.0008365716591166333</x:v>
      </x:c>
      <x:c r="F333" s="11" t="n">
        <x:v>0.3995037078857422</x:v>
      </x:c>
      <x:c r="G333" s="13" t="n">
        <x:v>6</x:v>
      </x:c>
      <x:c r="H333" s="11" t="n">
        <x:v>0.7904931902885437</x:v>
      </x:c>
      <x:c r="I333" s="11" t="n">
        <x:v>0.8197386264801025</x:v>
      </x:c>
      <x:c r="J333" s="24" t="n">
        <x:v>137.37531750742346</x:v>
      </x:c>
      <x:c r="K333" s="24" t="n">
        <x:v>152.34328937530518</x:v>
      </x:c>
      <x:c r="L333" s="11" t="n">
        <x:v>0.5334987640380859</x:v>
      </x:c>
      <x:c r="M333" s="11" t="n">
        <x:v>0.0999332070350647</x:v>
      </x:c>
    </x:row>
    <x:row r="334" ht="22" customHeight="1">
      <x:c r="A334" s="17" t="str">
        <x:f>"03346000"</x:f>
        <x:v>03346000</x:v>
      </x:c>
      <x:c r="B334" s="13" t="n">
        <x:v>42</x:v>
      </x:c>
      <x:c r="C334" s="22" t="b">
        <x:v>1</x:v>
      </x:c>
      <x:c r="D334" s="11" t="n">
        <x:v>0.024752475321292797</x:v>
      </x:c>
      <x:c r="E334" s="11" t="n">
        <x:v>0.0005393743146365667</x:v>
      </x:c>
      <x:c r="F334" s="11" t="n">
        <x:v>0.396039605140686</x:v>
      </x:c>
      <x:c r="G334" s="13" t="n">
        <x:v>9</x:v>
      </x:c>
      <x:c r="H334" s="11" t="n">
        <x:v>0.6556915044784546</x:v>
      </x:c>
      <x:c r="I334" s="11" t="n">
        <x:v>0.664878249168396</x:v>
      </x:c>
      <x:c r="J334" s="24" t="n">
        <x:v>140.64486677199602</x:v>
      </x:c>
      <x:c r="K334" s="24" t="n">
        <x:v>154.14694809913635</x:v>
      </x:c>
      <x:c r="L334" s="11" t="n">
        <x:v>0.4232673346996307</x:v>
      </x:c>
      <x:c r="M334" s="11" t="n">
        <x:v>0.0999393239617347</x:v>
      </x:c>
    </x:row>
    <x:row r="335" ht="22" customHeight="1">
      <x:c r="A335" s="17" t="str">
        <x:f>"03346000"</x:f>
        <x:v>03346000</x:v>
      </x:c>
      <x:c r="B335" s="13" t="n">
        <x:v>42</x:v>
      </x:c>
      <x:c r="C335" s="22" t="b">
        <x:v>0</x:v>
      </x:c>
      <x:c r="D335" s="11" t="n">
        <x:v>0.03143093424538763</x:v>
      </x:c>
      <x:c r="E335" s="11" t="n">
        <x:v>0.0003643134744682</x:v>
      </x:c>
      <x:c r="F335" s="11" t="n">
        <x:v>0.4317618012428283</x:v>
      </x:c>
      <x:c r="G335" s="13" t="n">
        <x:v>10</x:v>
      </x:c>
      <x:c r="H335" s="11" t="n">
        <x:v>0.7792347073554993</x:v>
      </x:c>
      <x:c r="I335" s="11" t="n">
        <x:v>0.7792347073554993</x:v>
      </x:c>
      <x:c r="J335" s="24" t="n">
        <x:v>140.7167297769338</x:v>
      </x:c>
      <x:c r="K335" s="24" t="n">
        <x:v>158.4148132801056</x:v>
      </x:c>
      <x:c r="L335" s="11" t="n">
        <x:v>0.4317618012428283</x:v>
      </x:c>
      <x:c r="M335" s="11" t="n">
        <x:v>0.0999332070350647</x:v>
      </x:c>
    </x:row>
    <x:row r="336" ht="22" customHeight="1">
      <x:c r="A336" s="17" t="str">
        <x:f>"03384450"</x:f>
        <x:v>03384450</x:v>
      </x:c>
      <x:c r="B336" s="13" t="n">
        <x:v>42</x:v>
      </x:c>
      <x:c r="C336" s="22" t="b">
        <x:v>1</x:v>
      </x:c>
      <x:c r="D336" s="11" t="n">
        <x:v>0.03960396101077393</x:v>
      </x:c>
      <x:c r="E336" s="11" t="n">
        <x:v>0.00020900754316243334</x:v>
      </x:c>
      <x:c r="F336" s="11" t="n">
        <x:v>0.3589108884334564</x:v>
      </x:c>
      <x:c r="G336" s="13" t="n">
        <x:v>6</x:v>
      </x:c>
      <x:c r="H336" s="11" t="n">
        <x:v>1.0854406356811523</x:v>
      </x:c>
      <x:c r="I336" s="11" t="n">
        <x:v>1.0927671194076538</x:v>
      </x:c>
      <x:c r="J336" s="24" t="n">
        <x:v>142.69649835769087</x:v>
      </x:c>
      <x:c r="K336" s="24" t="n">
        <x:v>156.06445479393005</x:v>
      </x:c>
      <x:c r="L336" s="11" t="n">
        <x:v>0.5049505233764648</x:v>
      </x:c>
      <x:c r="M336" s="11" t="n">
        <x:v>0.0999393239617347</x:v>
      </x:c>
    </x:row>
    <x:row r="337" ht="22" customHeight="1">
      <x:c r="A337" s="17" t="str">
        <x:f>"03384450"</x:f>
        <x:v>03384450</x:v>
      </x:c>
      <x:c r="B337" s="13" t="n">
        <x:v>42</x:v>
      </x:c>
      <x:c r="C337" s="22" t="b">
        <x:v>0</x:v>
      </x:c>
      <x:c r="D337" s="11" t="n">
        <x:v>0.016542597052951566</x:v>
      </x:c>
      <x:c r="E337" s="11" t="n">
        <x:v>0.0003440738316081667</x:v>
      </x:c>
      <x:c r="F337" s="11" t="n">
        <x:v>0.4292804002761841</x:v>
      </x:c>
      <x:c r="G337" s="13" t="n">
        <x:v>3</x:v>
      </x:c>
      <x:c r="H337" s="11" t="n">
        <x:v>1.1068025827407837</x:v>
      </x:c>
      <x:c r="I337" s="11" t="n">
        <x:v>1.1480765342712402</x:v>
      </x:c>
      <x:c r="J337" s="24" t="n">
        <x:v>137.77212999667972</x:v>
      </x:c>
      <x:c r="K337" s="24" t="n">
        <x:v>152.16628456115723</x:v>
      </x:c>
      <x:c r="L337" s="11" t="n">
        <x:v>0.751861035823822</x:v>
      </x:c>
      <x:c r="M337" s="11" t="n">
        <x:v>0.0999332070350647</x:v>
      </x:c>
    </x:row>
    <x:row r="338" ht="22" customHeight="1">
      <x:c r="A338" s="17" t="str">
        <x:f>"03439000"</x:f>
        <x:v>03439000</x:v>
      </x:c>
      <x:c r="B338" s="13" t="n">
        <x:v>42</x:v>
      </x:c>
      <x:c r="C338" s="22" t="b">
        <x:v>1</x:v>
      </x:c>
      <x:c r="D338" s="11" t="n">
        <x:v>0.044554455826679835</x:v>
      </x:c>
      <x:c r="E338" s="11" t="n">
        <x:v>0.0004719525362209</x:v>
      </x:c>
      <x:c r="F338" s="11" t="n">
        <x:v>0.4455445408821106</x:v>
      </x:c>
      <x:c r="G338" s="13" t="n">
        <x:v>7</x:v>
      </x:c>
      <x:c r="H338" s="11" t="n">
        <x:v>0.7612044215202332</x:v>
      </x:c>
      <x:c r="I338" s="11" t="n">
        <x:v>0.7705905437469482</x:v>
      </x:c>
      <x:c r="J338" s="24" t="n">
        <x:v>135.37237228266895</x:v>
      </x:c>
      <x:c r="K338" s="24" t="n">
        <x:v>151.8388488292694</x:v>
      </x:c>
      <x:c r="L338" s="11" t="n">
        <x:v>0.5618811845779419</x:v>
      </x:c>
      <x:c r="M338" s="11" t="n">
        <x:v>0.0999393239617347</x:v>
      </x:c>
    </x:row>
    <x:row r="339" ht="22" customHeight="1">
      <x:c r="A339" s="17" t="str">
        <x:f>"03439000"</x:f>
        <x:v>03439000</x:v>
      </x:c>
      <x:c r="B339" s="13" t="n">
        <x:v>42</x:v>
      </x:c>
      <x:c r="C339" s="22" t="b">
        <x:v>0</x:v>
      </x:c>
      <x:c r="D339" s="11" t="n">
        <x:v>0.02233250656475617</x:v>
      </x:c>
      <x:c r="E339" s="11" t="n">
        <x:v>0.0004250323690939</x:v>
      </x:c>
      <x:c r="F339" s="11" t="n">
        <x:v>0.4094292819499969</x:v>
      </x:c>
      <x:c r="G339" s="13" t="n">
        <x:v>9</x:v>
      </x:c>
      <x:c r="H339" s="11" t="n">
        <x:v>1.0936925411224363</x:v>
      </x:c>
      <x:c r="I339" s="11" t="n">
        <x:v>1.1170785427093506</x:v>
      </x:c>
      <x:c r="J339" s="24" t="n">
        <x:v>135.6085518449545</x:v>
      </x:c>
      <x:c r="K339" s="24" t="n">
        <x:v>150.55096244812012</x:v>
      </x:c>
      <x:c r="L339" s="11" t="n">
        <x:v>0.4466501176357269</x:v>
      </x:c>
      <x:c r="M339" s="11" t="n">
        <x:v>0.0999332070350647</x:v>
      </x:c>
    </x:row>
    <x:row r="340" ht="22" customHeight="1">
      <x:c r="A340" s="17" t="str">
        <x:f>"03455500"</x:f>
        <x:v>03455500</x:v>
      </x:c>
      <x:c r="B340" s="13" t="n">
        <x:v>42</x:v>
      </x:c>
      <x:c r="C340" s="22" t="b">
        <x:v>1</x:v>
      </x:c>
      <x:c r="D340" s="11" t="n">
        <x:v>0.02310231017569696</x:v>
      </x:c>
      <x:c r="E340" s="11" t="n">
        <x:v>0.0004314994633507667</x:v>
      </x:c>
      <x:c r="F340" s="11" t="n">
        <x:v>0.3589108884334564</x:v>
      </x:c>
      <x:c r="G340" s="13" t="n">
        <x:v>10</x:v>
      </x:c>
      <x:c r="H340" s="11" t="n">
        <x:v>0.9026125073432922</x:v>
      </x:c>
      <x:c r="I340" s="11" t="n">
        <x:v>0.9026125073432922</x:v>
      </x:c>
      <x:c r="J340" s="24" t="n">
        <x:v>139.97144134249538</x:v>
      </x:c>
      <x:c r="K340" s="24" t="n">
        <x:v>151.71151328086853</x:v>
      </x:c>
      <x:c r="L340" s="11" t="n">
        <x:v>0.3589108884334564</x:v>
      </x:c>
      <x:c r="M340" s="11" t="n">
        <x:v>0.0999393239617347</x:v>
      </x:c>
    </x:row>
    <x:row r="341" ht="22" customHeight="1">
      <x:c r="A341" s="17" t="str">
        <x:f>"03455500"</x:f>
        <x:v>03455500</x:v>
      </x:c>
      <x:c r="B341" s="13" t="n">
        <x:v>42</x:v>
      </x:c>
      <x:c r="C341" s="22" t="b">
        <x:v>0</x:v>
      </x:c>
      <x:c r="D341" s="11" t="n">
        <x:v>0.035566583896676635</x:v>
      </x:c>
      <x:c r="E341" s="11" t="n">
        <x:v>0.0007758527644909333</x:v>
      </x:c>
      <x:c r="F341" s="11" t="n">
        <x:v>0.4094292819499969</x:v>
      </x:c>
      <x:c r="G341" s="13" t="n">
        <x:v>9</x:v>
      </x:c>
      <x:c r="H341" s="11" t="n">
        <x:v>1.215639591217041</x:v>
      </x:c>
      <x:c r="I341" s="11" t="n">
        <x:v>1.226775288581848</x:v>
      </x:c>
      <x:c r="J341" s="24" t="n">
        <x:v>132.46838776115328</x:v>
      </x:c>
      <x:c r="K341" s="24" t="n">
        <x:v>146.10086274147034</x:v>
      </x:c>
      <x:c r="L341" s="11" t="n">
        <x:v>0.444168746471405</x:v>
      </x:c>
      <x:c r="M341" s="11" t="n">
        <x:v>0.0999332070350647</x:v>
      </x:c>
    </x:row>
    <x:row r="342" ht="22" customHeight="1">
      <x:c r="A342" s="17" t="str">
        <x:f>"03456500"</x:f>
        <x:v>03456500</x:v>
      </x:c>
      <x:c r="B342" s="13" t="n">
        <x:v>42</x:v>
      </x:c>
      <x:c r="C342" s="22" t="b">
        <x:v>1</x:v>
      </x:c>
      <x:c r="D342" s="11" t="n">
        <x:v>0.02310231017569697</x:v>
      </x:c>
      <x:c r="E342" s="11" t="n">
        <x:v>0.0005865695905716001</x:v>
      </x:c>
      <x:c r="F342" s="11" t="n">
        <x:v>0.3861386179924011</x:v>
      </x:c>
      <x:c r="G342" s="13" t="n">
        <x:v>8</x:v>
      </x:c>
      <x:c r="H342" s="11" t="n">
        <x:v>1.4657975435256958</x:v>
      </x:c>
      <x:c r="I342" s="11" t="n">
        <x:v>1.4897522926330566</x:v>
      </x:c>
      <x:c r="J342" s="24" t="n">
        <x:v>134.03228156641126</x:v>
      </x:c>
      <x:c r="K342" s="24" t="n">
        <x:v>145.91937732696533</x:v>
      </x:c>
      <x:c r="L342" s="11" t="n">
        <x:v>0.4504950642585754</x:v>
      </x:c>
      <x:c r="M342" s="11" t="n">
        <x:v>0.0999393239617347</x:v>
      </x:c>
    </x:row>
    <x:row r="343" ht="22" customHeight="1">
      <x:c r="A343" s="17" t="str">
        <x:f>"03456500"</x:f>
        <x:v>03456500</x:v>
      </x:c>
      <x:c r="B343" s="13" t="n">
        <x:v>42</x:v>
      </x:c>
      <x:c r="C343" s="22" t="b">
        <x:v>0</x:v>
      </x:c>
      <x:c r="D343" s="11" t="n">
        <x:v>0.035566583896676635</x:v>
      </x:c>
      <x:c r="E343" s="11" t="n">
        <x:v>0.00018215673480873333</x:v>
      </x:c>
      <x:c r="F343" s="11" t="n">
        <x:v>0.4168734550476074</x:v>
      </x:c>
      <x:c r="G343" s="13" t="n">
        <x:v>7</x:v>
      </x:c>
      <x:c r="H343" s="11" t="n">
        <x:v>1.8976950645446775</x:v>
      </x:c>
      <x:c r="I343" s="11" t="n">
        <x:v>1.8983187675476076</x:v>
      </x:c>
      <x:c r="J343" s="24" t="n">
        <x:v>139.70866848248988</x:v>
      </x:c>
      <x:c r="K343" s="24" t="n">
        <x:v>153.91120195388794</x:v>
      </x:c>
      <x:c r="L343" s="11" t="n">
        <x:v>0.5359801650047302</x:v>
      </x:c>
      <x:c r="M343" s="11" t="n">
        <x:v>0.0999332070350647</x:v>
      </x:c>
    </x:row>
    <x:row r="344" ht="22" customHeight="1">
      <x:c r="A344" s="17" t="str">
        <x:f>"03460000"</x:f>
        <x:v>03460000</x:v>
      </x:c>
      <x:c r="B344" s="13" t="n">
        <x:v>42</x:v>
      </x:c>
      <x:c r="C344" s="22" t="b">
        <x:v>1</x:v>
      </x:c>
      <x:c r="D344" s="11" t="n">
        <x:v>0.027227723350127464</x:v>
      </x:c>
      <x:c r="E344" s="11" t="n">
        <x:v>0.00031688241385073335</x:v>
      </x:c>
      <x:c r="F344" s="11" t="n">
        <x:v>0.3391089141368866</x:v>
      </x:c>
      <x:c r="G344" s="13" t="n">
        <x:v>10</x:v>
      </x:c>
      <x:c r="H344" s="11" t="n">
        <x:v>0.3046700954437256</x:v>
      </x:c>
      <x:c r="I344" s="11" t="n">
        <x:v>0.3046700954437256</x:v>
      </x:c>
      <x:c r="J344" s="24" t="n">
        <x:v>132.9846157822758</x:v>
      </x:c>
      <x:c r="K344" s="24" t="n">
        <x:v>146.93864941596985</x:v>
      </x:c>
      <x:c r="L344" s="11" t="n">
        <x:v>0.3391089141368866</x:v>
      </x:c>
      <x:c r="M344" s="11" t="n">
        <x:v>0.0999393239617347</x:v>
      </x:c>
    </x:row>
    <x:row r="345" ht="22" customHeight="1">
      <x:c r="A345" s="17" t="str">
        <x:f>"03460000"</x:f>
        <x:v>03460000</x:v>
      </x:c>
      <x:c r="B345" s="13" t="n">
        <x:v>42</x:v>
      </x:c>
      <x:c r="C345" s="22" t="b">
        <x:v>0</x:v>
      </x:c>
      <x:c r="D345" s="11" t="n">
        <x:v>0.0430107526481151</x:v>
      </x:c>
      <x:c r="E345" s="11" t="n">
        <x:v>0.00032383418874809994</x:v>
      </x:c>
      <x:c r="F345" s="11" t="n">
        <x:v>0.4689826369285583</x:v>
      </x:c>
      <x:c r="G345" s="13" t="n">
        <x:v>9</x:v>
      </x:c>
      <x:c r="H345" s="11" t="n">
        <x:v>0.4586501121520996</x:v>
      </x:c>
      <x:c r="I345" s="11" t="n">
        <x:v>0.4614383578300476</x:v>
      </x:c>
      <x:c r="J345" s="24" t="n">
        <x:v>136.9132706457749</x:v>
      </x:c>
      <x:c r="K345" s="24" t="n">
        <x:v>153.7197823524475</x:v>
      </x:c>
      <x:c r="L345" s="11" t="n">
        <x:v>0.5210918188095093</x:v>
      </x:c>
      <x:c r="M345" s="11" t="n">
        <x:v>0.0999332070350647</x:v>
      </x:c>
    </x:row>
    <x:row r="346" ht="22" customHeight="1">
      <x:c r="A346" s="17" t="str">
        <x:f>"03463300"</x:f>
        <x:v>03463300</x:v>
      </x:c>
      <x:c r="B346" s="13" t="n">
        <x:v>42</x:v>
      </x:c>
      <x:c r="C346" s="22" t="b">
        <x:v>1</x:v>
      </x:c>
      <x:c r="D346" s="11" t="n">
        <x:v>0.041254124914606366</x:v>
      </x:c>
      <x:c r="E346" s="11" t="n">
        <x:v>0.0004314994585001334</x:v>
      </x:c>
      <x:c r="F346" s="11" t="n">
        <x:v>0.4034653604030609</x:v>
      </x:c>
      <x:c r="G346" s="13" t="n">
        <x:v>10</x:v>
      </x:c>
      <x:c r="H346" s="11" t="n">
        <x:v>2.963104009628296</x:v>
      </x:c>
      <x:c r="I346" s="11" t="n">
        <x:v>2.963104009628296</x:v>
      </x:c>
      <x:c r="J346" s="24" t="n">
        <x:v>139.34532860200852</x:v>
      </x:c>
      <x:c r="K346" s="24" t="n">
        <x:v>151.7775182723999</x:v>
      </x:c>
      <x:c r="L346" s="11" t="n">
        <x:v>0.4034653604030609</x:v>
      </x:c>
      <x:c r="M346" s="11" t="n">
        <x:v>0.0999393239617347</x:v>
      </x:c>
    </x:row>
    <x:row r="347" ht="22" customHeight="1">
      <x:c r="A347" s="17" t="str">
        <x:f>"03463300"</x:f>
        <x:v>03463300</x:v>
      </x:c>
      <x:c r="B347" s="13" t="n">
        <x:v>42</x:v>
      </x:c>
      <x:c r="C347" s="22" t="b">
        <x:v>0</x:v>
      </x:c>
      <x:c r="D347" s="11" t="n">
        <x:v>0.03391232403616103</x:v>
      </x:c>
      <x:c r="E347" s="11" t="n">
        <x:v>0.00039804619154886666</x:v>
      </x:c>
      <x:c r="F347" s="11" t="n">
        <x:v>0.4466501176357269</x:v>
      </x:c>
      <x:c r="G347" s="13" t="n">
        <x:v>10</x:v>
      </x:c>
      <x:c r="H347" s="11" t="n">
        <x:v>3.210409641265869</x:v>
      </x:c>
      <x:c r="I347" s="11" t="n">
        <x:v>3.210409641265869</x:v>
      </x:c>
      <x:c r="J347" s="24" t="n">
        <x:v>138.02327932603657</x:v>
      </x:c>
      <x:c r="K347" s="24" t="n">
        <x:v>150.13965940475464</x:v>
      </x:c>
      <x:c r="L347" s="11" t="n">
        <x:v>0.4466501176357269</x:v>
      </x:c>
      <x:c r="M347" s="11" t="n">
        <x:v>0.0999332070350647</x:v>
      </x:c>
    </x:row>
    <x:row r="348" ht="22" customHeight="1">
      <x:c r="A348" s="17" t="str">
        <x:f>"03471500"</x:f>
        <x:v>03471500</x:v>
      </x:c>
      <x:c r="B348" s="13" t="n">
        <x:v>42</x:v>
      </x:c>
      <x:c r="C348" s="22" t="b">
        <x:v>1</x:v>
      </x:c>
      <x:c r="D348" s="11" t="n">
        <x:v>0.0363036307195822</x:v>
      </x:c>
      <x:c r="E348" s="11" t="n">
        <x:v>0.00035733549157153334</x:v>
      </x:c>
      <x:c r="F348" s="11" t="n">
        <x:v>0.3935643434524536</x:v>
      </x:c>
      <x:c r="G348" s="13" t="n">
        <x:v>7</x:v>
      </x:c>
      <x:c r="H348" s="11" t="n">
        <x:v>0.1035472750663757</x:v>
      </x:c>
      <x:c r="I348" s="11" t="n">
        <x:v>0.1326859295368194</x:v>
      </x:c>
      <x:c r="J348" s="24" t="n">
        <x:v>135.44832825195044</x:v>
      </x:c>
      <x:c r="K348" s="24" t="n">
        <x:v>149.1804440021515</x:v>
      </x:c>
      <x:c r="L348" s="11" t="n">
        <x:v>0.5024752616882324</x:v>
      </x:c>
      <x:c r="M348" s="11" t="n">
        <x:v>0.0999393239617347</x:v>
      </x:c>
    </x:row>
    <x:row r="349" ht="22" customHeight="1">
      <x:c r="A349" s="17" t="str">
        <x:f>"03471500"</x:f>
        <x:v>03471500</x:v>
      </x:c>
      <x:c r="B349" s="13" t="n">
        <x:v>42</x:v>
      </x:c>
      <x:c r="C349" s="22" t="b">
        <x:v>0</x:v>
      </x:c>
      <x:c r="D349" s="11" t="n">
        <x:v>0.04714640229940411</x:v>
      </x:c>
      <x:c r="E349" s="11" t="n">
        <x:v>0.0006881476632163668</x:v>
      </x:c>
      <x:c r="F349" s="11" t="n">
        <x:v>0.5012406706809998</x:v>
      </x:c>
      <x:c r="G349" s="13" t="n">
        <x:v>7</x:v>
      </x:c>
      <x:c r="H349" s="11" t="n">
        <x:v>0.2245183736085891</x:v>
      </x:c>
      <x:c r="I349" s="11" t="n">
        <x:v>0.2809036672115326</x:v>
      </x:c>
      <x:c r="J349" s="24" t="n">
        <x:v>137.06950415112078</x:v>
      </x:c>
      <x:c r="K349" s="24" t="n">
        <x:v>154.71668362617493</x:v>
      </x:c>
      <x:c r="L349" s="11" t="n">
        <x:v>0.6054590344429016</x:v>
      </x:c>
      <x:c r="M349" s="11" t="n">
        <x:v>0.0999332070350647</x:v>
      </x:c>
    </x:row>
    <x:row r="350" ht="22" customHeight="1">
      <x:c r="A350" s="17" t="str">
        <x:f>"03473000"</x:f>
        <x:v>03473000</x:v>
      </x:c>
      <x:c r="B350" s="13" t="n">
        <x:v>42</x:v>
      </x:c>
      <x:c r="C350" s="22" t="b">
        <x:v>1</x:v>
      </x:c>
      <x:c r="D350" s="11" t="n">
        <x:v>0.04042904203136757</x:v>
      </x:c>
      <x:c r="E350" s="11" t="n">
        <x:v>0.0004854368938442667</x:v>
      </x:c>
      <x:c r="F350" s="11" t="n">
        <x:v>0.4752475321292877</x:v>
      </x:c>
      <x:c r="G350" s="13" t="n">
        <x:v>7</x:v>
      </x:c>
      <x:c r="H350" s="11" t="n">
        <x:v>0.1405570656061172</x:v>
      </x:c>
      <x:c r="I350" s="11" t="n">
        <x:v>0.1407306641340255</x:v>
      </x:c>
      <x:c r="J350" s="24" t="n">
        <x:v>139.12787350080907</x:v>
      </x:c>
      <x:c r="K350" s="24" t="n">
        <x:v>153.30883741378784</x:v>
      </x:c>
      <x:c r="L350" s="11" t="n">
        <x:v>0.6014851331710815</x:v>
      </x:c>
      <x:c r="M350" s="11" t="n">
        <x:v>0.0999393239617347</x:v>
      </x:c>
    </x:row>
    <x:row r="351" ht="22" customHeight="1">
      <x:c r="A351" s="17" t="str">
        <x:f>"03473000"</x:f>
        <x:v>03473000</x:v>
      </x:c>
      <x:c r="B351" s="13" t="n">
        <x:v>42</x:v>
      </x:c>
      <x:c r="C351" s="22" t="b">
        <x:v>0</x:v>
      </x:c>
      <x:c r="D351" s="11" t="n">
        <x:v>0.03060380493601157</x:v>
      </x:c>
      <x:c r="E351" s="11" t="n">
        <x:v>0.00037780656324073336</x:v>
      </x:c>
      <x:c r="F351" s="11" t="n">
        <x:v>0.4913151264190674</x:v>
      </x:c>
      <x:c r="G351" s="13" t="n">
        <x:v>7</x:v>
      </x:c>
      <x:c r="H351" s="11" t="n">
        <x:v>0.2530945837497711</x:v>
      </x:c>
      <x:c r="I351" s="11" t="n">
        <x:v>0.3905208110809326</x:v>
      </x:c>
      <x:c r="J351" s="24" t="n">
        <x:v>134.60005442984402</x:v>
      </x:c>
      <x:c r="K351" s="24" t="n">
        <x:v>152.37296223640442</x:v>
      </x:c>
      <x:c r="L351" s="11" t="n">
        <x:v>0.6104218363761902</x:v>
      </x:c>
      <x:c r="M351" s="11" t="n">
        <x:v>0.0999332070350647</x:v>
      </x:c>
    </x:row>
    <x:row r="352" ht="22" customHeight="1">
      <x:c r="A352" s="17" t="str">
        <x:f>"03479000"</x:f>
        <x:v>03479000</x:v>
      </x:c>
      <x:c r="B352" s="13" t="n">
        <x:v>42</x:v>
      </x:c>
      <x:c r="C352" s="22" t="b">
        <x:v>1</x:v>
      </x:c>
      <x:c r="D352" s="11" t="n">
        <x:v>0.025577557583649935</x:v>
      </x:c>
      <x:c r="E352" s="11" t="n">
        <x:v>0.0003505933127598666</x:v>
      </x:c>
      <x:c r="F352" s="11" t="n">
        <x:v>0.398514837026596</x:v>
      </x:c>
      <x:c r="G352" s="13" t="n">
        <x:v>10</x:v>
      </x:c>
      <x:c r="H352" s="11" t="n">
        <x:v>0.9904272556304932</x:v>
      </x:c>
      <x:c r="I352" s="11" t="n">
        <x:v>0.9904272556304932</x:v>
      </x:c>
      <x:c r="J352" s="24" t="n">
        <x:v>134.27180647291243</x:v>
      </x:c>
      <x:c r="K352" s="24" t="n">
        <x:v>145.89329624176025</x:v>
      </x:c>
      <x:c r="L352" s="11" t="n">
        <x:v>0.398514837026596</x:v>
      </x:c>
      <x:c r="M352" s="11" t="n">
        <x:v>0.0999393239617347</x:v>
      </x:c>
    </x:row>
    <x:row r="353" ht="22" customHeight="1">
      <x:c r="A353" s="17" t="str">
        <x:f>"03479000"</x:f>
        <x:v>03479000</x:v>
      </x:c>
      <x:c r="B353" s="13" t="n">
        <x:v>42</x:v>
      </x:c>
      <x:c r="C353" s="22" t="b">
        <x:v>0</x:v>
      </x:c>
      <x:c r="D353" s="11" t="n">
        <x:v>0.05376344112058473</x:v>
      </x:c>
      <x:c r="E353" s="11" t="n">
        <x:v>0.0004520185660415333</x:v>
      </x:c>
      <x:c r="F353" s="11" t="n">
        <x:v>0.4689826369285583</x:v>
      </x:c>
      <x:c r="G353" s="13" t="n">
        <x:v>10</x:v>
      </x:c>
      <x:c r="H353" s="11" t="n">
        <x:v>1.1024514436721802</x:v>
      </x:c>
      <x:c r="I353" s="11" t="n">
        <x:v>1.1024514436721802</x:v>
      </x:c>
      <x:c r="J353" s="24" t="n">
        <x:v>136.9483917010948</x:v>
      </x:c>
      <x:c r="K353" s="24" t="n">
        <x:v>150.85111355781555</x:v>
      </x:c>
      <x:c r="L353" s="11" t="n">
        <x:v>0.4689826369285583</x:v>
      </x:c>
      <x:c r="M353" s="11" t="n">
        <x:v>0.0999332070350647</x:v>
      </x:c>
    </x:row>
    <x:row r="354" ht="22" customHeight="1">
      <x:c r="A354" s="17" t="str">
        <x:f>"03488000"</x:f>
        <x:v>03488000</x:v>
      </x:c>
      <x:c r="B354" s="13" t="n">
        <x:v>42</x:v>
      </x:c>
      <x:c r="C354" s="22" t="b">
        <x:v>1</x:v>
      </x:c>
      <x:c r="D354" s="11" t="n">
        <x:v>0.04455445458491639</x:v>
      </x:c>
      <x:c r="E354" s="11" t="n">
        <x:v>0.0005730852038443999</x:v>
      </x:c>
      <x:c r="F354" s="11" t="n">
        <x:v>0.4504950642585754</x:v>
      </x:c>
      <x:c r="G354" s="13" t="n">
        <x:v>10</x:v>
      </x:c>
      <x:c r="H354" s="11" t="n">
        <x:v>0.1602328419685363</x:v>
      </x:c>
      <x:c r="I354" s="11" t="n">
        <x:v>0.1602328419685363</x:v>
      </x:c>
      <x:c r="J354" s="24" t="n">
        <x:v>138.8823514757678</x:v>
      </x:c>
      <x:c r="K354" s="24" t="n">
        <x:v>155.4832956790924</x:v>
      </x:c>
      <x:c r="L354" s="11" t="n">
        <x:v>0.4504950642585754</x:v>
      </x:c>
      <x:c r="M354" s="11" t="n">
        <x:v>0.0999393239617347</x:v>
      </x:c>
    </x:row>
    <x:row r="355" ht="22" customHeight="1">
      <x:c r="A355" s="17" t="str">
        <x:f>"03488000"</x:f>
        <x:v>03488000</x:v>
      </x:c>
      <x:c r="B355" s="13" t="n">
        <x:v>42</x:v>
      </x:c>
      <x:c r="C355" s="22" t="b">
        <x:v>0</x:v>
      </x:c>
      <x:c r="D355" s="11" t="n">
        <x:v>0.0496277920901775</x:v>
      </x:c>
      <x:c r="E355" s="11" t="n">
        <x:v>0.0002563687473108</x:v>
      </x:c>
      <x:c r="F355" s="11" t="n">
        <x:v>0.4540942907333374</x:v>
      </x:c>
      <x:c r="G355" s="13" t="n">
        <x:v>8</x:v>
      </x:c>
      <x:c r="H355" s="11" t="n">
        <x:v>0.2533923387527466</x:v>
      </x:c>
      <x:c r="I355" s="11" t="n">
        <x:v>0.2767631709575653</x:v>
      </x:c>
      <x:c r="J355" s="24" t="n">
        <x:v>135.65367628075182</x:v>
      </x:c>
      <x:c r="K355" s="24" t="n">
        <x:v>154.02695274353027</x:v>
      </x:c>
      <x:c r="L355" s="11" t="n">
        <x:v>0.5260545611381531</x:v>
      </x:c>
      <x:c r="M355" s="11" t="n">
        <x:v>0.0999332070350647</x:v>
      </x:c>
    </x:row>
    <x:row r="356" ht="22" customHeight="1">
      <x:c r="A356" s="17" t="str">
        <x:f>"03498500"</x:f>
        <x:v>03498500</x:v>
      </x:c>
      <x:c r="B356" s="13" t="n">
        <x:v>42</x:v>
      </x:c>
      <x:c r="C356" s="22" t="b">
        <x:v>1</x:v>
      </x:c>
      <x:c r="D356" s="11" t="n">
        <x:v>0.010726072670270967</x:v>
      </x:c>
      <x:c r="E356" s="11" t="n">
        <x:v>0.0006809600939353</x:v>
      </x:c>
      <x:c r="F356" s="11" t="n">
        <x:v>0.2227722704410553</x:v>
      </x:c>
      <x:c r="G356" s="13" t="n">
        <x:v>2</x:v>
      </x:c>
      <x:c r="H356" s="11" t="n">
        <x:v>0.2551587224006653</x:v>
      </x:c>
      <x:c r="I356" s="11" t="n">
        <x:v>0.2681337594985962</x:v>
      </x:c>
      <x:c r="J356" s="24" t="n">
        <x:v>133.33191429264843</x:v>
      </x:c>
      <x:c r="K356" s="24" t="n">
        <x:v>144.5215983390808</x:v>
      </x:c>
      <x:c r="L356" s="11" t="n">
        <x:v>0.6955445408821106</x:v>
      </x:c>
      <x:c r="M356" s="11" t="n">
        <x:v>0.0999393239617347</x:v>
      </x:c>
    </x:row>
    <x:row r="357" ht="22" customHeight="1">
      <x:c r="A357" s="17" t="str">
        <x:f>"03498500"</x:f>
        <x:v>03498500</x:v>
      </x:c>
      <x:c r="B357" s="13" t="n">
        <x:v>42</x:v>
      </x:c>
      <x:c r="C357" s="22" t="b">
        <x:v>0</x:v>
      </x:c>
      <x:c r="D357" s="11" t="n">
        <x:v>0.01654259705295157</x:v>
      </x:c>
      <x:c r="E357" s="11" t="n">
        <x:v>0.00036431346961759997</x:v>
      </x:c>
      <x:c r="F357" s="11" t="n">
        <x:v>0.3821339905261993</x:v>
      </x:c>
      <x:c r="G357" s="13" t="n">
        <x:v>7</x:v>
      </x:c>
      <x:c r="H357" s="11" t="n">
        <x:v>0.3201031684875488</x:v>
      </x:c>
      <x:c r="I357" s="11" t="n">
        <x:v>0.3226495385169983</x:v>
      </x:c>
      <x:c r="J357" s="24" t="n">
        <x:v>140.98560154251754</x:v>
      </x:c>
      <x:c r="K357" s="24" t="n">
        <x:v>155.14101123809814</x:v>
      </x:c>
      <x:c r="L357" s="11" t="n">
        <x:v>0.4764268100261688</x:v>
      </x:c>
      <x:c r="M357" s="11" t="n">
        <x:v>0.0999332070350647</x:v>
      </x:c>
    </x:row>
    <x:row r="358" ht="22" customHeight="1">
      <x:c r="A358" s="17" t="str">
        <x:f>"03500000"</x:f>
        <x:v>03500000</x:v>
      </x:c>
      <x:c r="B358" s="13" t="n">
        <x:v>42</x:v>
      </x:c>
      <x:c r="C358" s="22" t="b">
        <x:v>1</x:v>
      </x:c>
      <x:c r="D358" s="11" t="n">
        <x:v>0.0189768973117073</x:v>
      </x:c>
      <x:c r="E358" s="11" t="n">
        <x:v>0.0004989212611689666</x:v>
      </x:c>
      <x:c r="F358" s="11" t="n">
        <x:v>0.3688118755817413</x:v>
      </x:c>
      <x:c r="G358" s="13" t="n">
        <x:v>10</x:v>
      </x:c>
      <x:c r="H358" s="11" t="n">
        <x:v>0.5698006749153137</x:v>
      </x:c>
      <x:c r="I358" s="11" t="n">
        <x:v>0.5698006749153137</x:v>
      </x:c>
      <x:c r="J358" s="24" t="n">
        <x:v>134.33206957392395</x:v>
      </x:c>
      <x:c r="K358" s="24" t="n">
        <x:v>143.7748064994812</x:v>
      </x:c>
      <x:c r="L358" s="11" t="n">
        <x:v>0.3688118755817413</x:v>
      </x:c>
      <x:c r="M358" s="11" t="n">
        <x:v>0.0999393239617347</x:v>
      </x:c>
    </x:row>
    <x:row r="359" ht="22" customHeight="1">
      <x:c r="A359" s="17" t="str">
        <x:f>"03500000"</x:f>
        <x:v>03500000</x:v>
      </x:c>
      <x:c r="B359" s="13" t="n">
        <x:v>42</x:v>
      </x:c>
      <x:c r="C359" s="22" t="b">
        <x:v>0</x:v>
      </x:c>
      <x:c r="D359" s="11" t="n">
        <x:v>0.02646815528472257</x:v>
      </x:c>
      <x:c r="E359" s="11" t="n">
        <x:v>0.00029010145954083336</x:v>
      </x:c>
      <x:c r="F359" s="11" t="n">
        <x:v>0.4119106829166412</x:v>
      </x:c>
      <x:c r="G359" s="13" t="n">
        <x:v>9</x:v>
      </x:c>
      <x:c r="H359" s="11" t="n">
        <x:v>0.7529605031013489</x:v>
      </x:c>
      <x:c r="I359" s="11" t="n">
        <x:v>0.8036264181137085</x:v>
      </x:c>
      <x:c r="J359" s="24" t="n">
        <x:v>138.16243585105985</x:v>
      </x:c>
      <x:c r="K359" s="24" t="n">
        <x:v>153.64877343177795</x:v>
      </x:c>
      <x:c r="L359" s="11" t="n">
        <x:v>0.4491315186023712</x:v>
      </x:c>
      <x:c r="M359" s="11" t="n">
        <x:v>0.0999332070350647</x:v>
      </x:c>
    </x:row>
    <x:row r="360" ht="22" customHeight="1">
      <x:c r="A360" s="17" t="str">
        <x:f>"03500240"</x:f>
        <x:v>03500240</x:v>
      </x:c>
      <x:c r="B360" s="13" t="n">
        <x:v>42</x:v>
      </x:c>
      <x:c r="C360" s="22" t="b">
        <x:v>1</x:v>
      </x:c>
      <x:c r="D360" s="11" t="n">
        <x:v>0.0272277239710092</x:v>
      </x:c>
      <x:c r="E360" s="11" t="n">
        <x:v>0.0005258899473119333</x:v>
      </x:c>
      <x:c r="F360" s="11" t="n">
        <x:v>0.3836633563041687</x:v>
      </x:c>
      <x:c r="G360" s="13" t="n">
        <x:v>9</x:v>
      </x:c>
      <x:c r="H360" s="11" t="n">
        <x:v>0.5006085634231567</x:v>
      </x:c>
      <x:c r="I360" s="11" t="n">
        <x:v>0.5090256333351135</x:v>
      </x:c>
      <x:c r="J360" s="24" t="n">
        <x:v>136.49717366043478</x:v>
      </x:c>
      <x:c r="K360" s="24" t="n">
        <x:v>147.49013948440552</x:v>
      </x:c>
      <x:c r="L360" s="11" t="n">
        <x:v>0.4282178282737732</x:v>
      </x:c>
      <x:c r="M360" s="11" t="n">
        <x:v>0.0999393239617347</x:v>
      </x:c>
    </x:row>
    <x:row r="361" ht="22" customHeight="1">
      <x:c r="A361" s="17" t="str">
        <x:f>"03500240"</x:f>
        <x:v>03500240</x:v>
      </x:c>
      <x:c r="B361" s="13" t="n">
        <x:v>42</x:v>
      </x:c>
      <x:c r="C361" s="22" t="b">
        <x:v>0</x:v>
      </x:c>
      <x:c r="D361" s="11" t="n">
        <x:v>0.037220843757192236</x:v>
      </x:c>
      <x:c r="E361" s="11" t="n">
        <x:v>0.00035756692523129997</x:v>
      </x:c>
      <x:c r="F361" s="11" t="n">
        <x:v>0.3771712183952331</x:v>
      </x:c>
      <x:c r="G361" s="13" t="n">
        <x:v>7</x:v>
      </x:c>
      <x:c r="H361" s="11" t="n">
        <x:v>0.7113785743713379</x:v>
      </x:c>
      <x:c r="I361" s="11" t="n">
        <x:v>0.7762275338172913</x:v>
      </x:c>
      <x:c r="J361" s="24" t="n">
        <x:v>135.76396039314568</x:v>
      </x:c>
      <x:c r="K361" s="24" t="n">
        <x:v>148.8428168296814</x:v>
      </x:c>
      <x:c r="L361" s="11" t="n">
        <x:v>0.4987592995166778</x:v>
      </x:c>
      <x:c r="M361" s="11" t="n">
        <x:v>0.0999332070350647</x:v>
      </x:c>
    </x:row>
    <x:row r="362" ht="22" customHeight="1">
      <x:c r="A362" s="17" t="str">
        <x:f>"03504000"</x:f>
        <x:v>03504000</x:v>
      </x:c>
      <x:c r="B362" s="13" t="n">
        <x:v>42</x:v>
      </x:c>
      <x:c r="C362" s="22" t="b">
        <x:v>1</x:v>
      </x:c>
      <x:c r="D362" s="11" t="n">
        <x:v>0.028052806233366267</x:v>
      </x:c>
      <x:c r="E362" s="11" t="n">
        <x:v>0.0008629989072990667</x:v>
      </x:c>
      <x:c r="F362" s="11" t="n">
        <x:v>0.4232673346996307</x:v>
      </x:c>
      <x:c r="G362" s="13" t="n">
        <x:v>2</x:v>
      </x:c>
      <x:c r="H362" s="11" t="n">
        <x:v>0.460327535867691</x:v>
      </x:c>
      <x:c r="I362" s="11" t="n">
        <x:v>0.4645474553108215</x:v>
      </x:c>
      <x:c r="J362" s="24" t="n">
        <x:v>136.75046512950212</x:v>
      </x:c>
      <x:c r="K362" s="24" t="n">
        <x:v>160.0390408039093</x:v>
      </x:c>
      <x:c r="L362" s="11" t="n">
        <x:v>0.8910890817642212</x:v>
      </x:c>
      <x:c r="M362" s="11" t="n">
        <x:v>0.0999393239617347</x:v>
      </x:c>
    </x:row>
    <x:row r="363" ht="22" customHeight="1">
      <x:c r="A363" s="17" t="str">
        <x:f>"03504000"</x:f>
        <x:v>03504000</x:v>
      </x:c>
      <x:c r="B363" s="13" t="n">
        <x:v>42</x:v>
      </x:c>
      <x:c r="C363" s="22" t="b">
        <x:v>0</x:v>
      </x:c>
      <x:c r="D363" s="11" t="n">
        <x:v>0.03308519410590323</x:v>
      </x:c>
      <x:c r="E363" s="11" t="n">
        <x:v>0.0002833549175799</x:v>
      </x:c>
      <x:c r="F363" s="11" t="n">
        <x:v>0.4714640080928802</x:v>
      </x:c>
      <x:c r="G363" s="13" t="n">
        <x:v>7</x:v>
      </x:c>
      <x:c r="H363" s="11" t="n">
        <x:v>0.7226076722145081</x:v>
      </x:c>
      <x:c r="I363" s="11" t="n">
        <x:v>0.7329699397087097</x:v>
      </x:c>
      <x:c r="J363" s="24" t="n">
        <x:v>138.45387446507812</x:v>
      </x:c>
      <x:c r="K363" s="24" t="n">
        <x:v>155.60316610336304</x:v>
      </x:c>
      <x:c r="L363" s="11" t="n">
        <x:v>0.5806451439857483</x:v>
      </x:c>
      <x:c r="M363" s="11" t="n">
        <x:v>0.0999332070350647</x:v>
      </x:c>
    </x:row>
    <x:row r="364" ht="22" customHeight="1">
      <x:c r="A364" s="17" t="str">
        <x:f>"03574500"</x:f>
        <x:v>03574500</x:v>
      </x:c>
      <x:c r="B364" s="13" t="n">
        <x:v>42</x:v>
      </x:c>
      <x:c r="C364" s="22" t="b">
        <x:v>1</x:v>
      </x:c>
      <x:c r="D364" s="11" t="n">
        <x:v>0.017326732631772732</x:v>
      </x:c>
      <x:c r="E364" s="11" t="n">
        <x:v>0.0007011866158184334</x:v>
      </x:c>
      <x:c r="F364" s="11" t="n">
        <x:v>0.3737623691558838</x:v>
      </x:c>
      <x:c r="G364" s="13" t="n">
        <x:v>4</x:v>
      </x:c>
      <x:c r="H364" s="11" t="n">
        <x:v>0.1291314363479614</x:v>
      </x:c>
      <x:c r="I364" s="11" t="n">
        <x:v>0.132881760597229</x:v>
      </x:c>
      <x:c r="J364" s="24" t="n">
        <x:v>138.32348648272455</x:v>
      </x:c>
      <x:c r="K364" s="24" t="n">
        <x:v>158.42847728729248</x:v>
      </x:c>
      <x:c r="L364" s="11" t="n">
        <x:v>0.6336633563041687</x:v>
      </x:c>
      <x:c r="M364" s="11" t="n">
        <x:v>0.0999393239617347</x:v>
      </x:c>
    </x:row>
    <x:row r="365" ht="22" customHeight="1">
      <x:c r="A365" s="17" t="str">
        <x:f>"03574500"</x:f>
        <x:v>03574500</x:v>
      </x:c>
      <x:c r="B365" s="13" t="n">
        <x:v>42</x:v>
      </x:c>
      <x:c r="C365" s="22" t="b">
        <x:v>0</x:v>
      </x:c>
      <x:c r="D365" s="11" t="n">
        <x:v>0.03473945396641883</x:v>
      </x:c>
      <x:c r="E365" s="11" t="n">
        <x:v>0.00041153929002266657</x:v>
      </x:c>
      <x:c r="F365" s="11" t="n">
        <x:v>0.4640198647975921</x:v>
      </x:c>
      <x:c r="G365" s="13" t="n">
        <x:v>4</x:v>
      </x:c>
      <x:c r="H365" s="11" t="n">
        <x:v>0.2074518203735351</x:v>
      </x:c>
      <x:c r="I365" s="11" t="n">
        <x:v>0.235395073890686</x:v>
      </x:c>
      <x:c r="J365" s="24" t="n">
        <x:v>135.01354325935245</x:v>
      </x:c>
      <x:c r="K365" s="24" t="n">
        <x:v>155.2555856704712</x:v>
      </x:c>
      <x:c r="L365" s="11" t="n">
        <x:v>0.7493796348571777</x:v>
      </x:c>
      <x:c r="M365" s="11" t="n">
        <x:v>0.0999332070350647</x:v>
      </x:c>
    </x:row>
    <x:row r="366" ht="22" customHeight="1">
      <x:c r="A366" s="17" t="str">
        <x:f>"03604000"</x:f>
        <x:v>03604000</x:v>
      </x:c>
      <x:c r="B366" s="13" t="n">
        <x:v>42</x:v>
      </x:c>
      <x:c r="C366" s="22" t="b">
        <x:v>1</x:v>
      </x:c>
      <x:c r="D366" s="11" t="n">
        <x:v>0.01732673278699313</x:v>
      </x:c>
      <x:c r="E366" s="11" t="n">
        <x:v>0.0008360301920522668</x:v>
      </x:c>
      <x:c r="F366" s="11" t="n">
        <x:v>0.3836633563041687</x:v>
      </x:c>
      <x:c r="G366" s="13" t="n">
        <x:v>2</x:v>
      </x:c>
      <x:c r="H366" s="11" t="n">
        <x:v>0.1370698809623718</x:v>
      </x:c>
      <x:c r="I366" s="11" t="n">
        <x:v>0.1641031354665756</x:v>
      </x:c>
      <x:c r="J366" s="24" t="n">
        <x:v>129.48722911812365</x:v>
      </x:c>
      <x:c r="K366" s="24" t="n">
        <x:v>157.91517162322998</x:v>
      </x:c>
      <x:c r="L366" s="11" t="n">
        <x:v>0.853960394859314</x:v>
      </x:c>
      <x:c r="M366" s="11" t="n">
        <x:v>0.0999393239617347</x:v>
      </x:c>
    </x:row>
    <x:row r="367" ht="22" customHeight="1">
      <x:c r="A367" s="17" t="str">
        <x:f>"03604000"</x:f>
        <x:v>03604000</x:v>
      </x:c>
      <x:c r="B367" s="13" t="n">
        <x:v>42</x:v>
      </x:c>
      <x:c r="C367" s="22" t="b">
        <x:v>0</x:v>
      </x:c>
      <x:c r="D367" s="11" t="n">
        <x:v>0.030603804315129834</x:v>
      </x:c>
      <x:c r="E367" s="11" t="n">
        <x:v>0.0004385254675677</x:v>
      </x:c>
      <x:c r="F367" s="11" t="n">
        <x:v>0.4416873455047607</x:v>
      </x:c>
      <x:c r="G367" s="13" t="n">
        <x:v>1</x:v>
      </x:c>
      <x:c r="H367" s="11" t="n">
        <x:v>0.1723066419363021</x:v>
      </x:c>
      <x:c r="I367" s="11" t="n">
        <x:v>0.1781477481126785</x:v>
      </x:c>
      <x:c r="J367" s="24" t="n">
        <x:v>135.1333292471245</x:v>
      </x:c>
      <x:c r="K367" s="24" t="n">
        <x:v>162.2641532421112</x:v>
      </x:c>
      <x:c r="L367" s="11" t="n">
        <x:v>0.933002471923828</x:v>
      </x:c>
      <x:c r="M367" s="11" t="n">
        <x:v>0.0999332070350647</x:v>
      </x:c>
    </x:row>
    <x:row r="368" ht="22" customHeight="1">
      <x:c r="A368" s="17" t="str">
        <x:f>"04015330"</x:f>
        <x:v>04015330</x:v>
      </x:c>
      <x:c r="B368" s="13" t="n">
        <x:v>42</x:v>
      </x:c>
      <x:c r="C368" s="22" t="b">
        <x:v>1</x:v>
      </x:c>
      <x:c r="D368" s="11" t="n">
        <x:v>0.019801980194946098</x:v>
      </x:c>
      <x:c r="E368" s="11" t="n">
        <x:v>0.0005191478024546667</x:v>
      </x:c>
      <x:c r="F368" s="11" t="n">
        <x:v>0.3737623691558838</x:v>
      </x:c>
      <x:c r="G368" s="13" t="n">
        <x:v>3</x:v>
      </x:c>
      <x:c r="H368" s="11" t="n">
        <x:v>0.2060350775718689</x:v>
      </x:c>
      <x:c r="I368" s="11" t="n">
        <x:v>0.2278567850589752</x:v>
      </x:c>
      <x:c r="J368" s="24" t="n">
        <x:v>141.9859425276518</x:v>
      </x:c>
      <x:c r="K368" s="24" t="n">
        <x:v>165.6202642917633</x:v>
      </x:c>
      <x:c r="L368" s="11" t="n">
        <x:v>0.7970296740531921</x:v>
      </x:c>
      <x:c r="M368" s="11" t="n">
        <x:v>0.0999393239617347</x:v>
      </x:c>
    </x:row>
    <x:row r="369" ht="22" customHeight="1">
      <x:c r="A369" s="17" t="str">
        <x:f>"04015330"</x:f>
        <x:v>04015330</x:v>
      </x:c>
      <x:c r="B369" s="13" t="n">
        <x:v>42</x:v>
      </x:c>
      <x:c r="C369" s="22" t="b">
        <x:v>0</x:v>
      </x:c>
      <x:c r="D369" s="11" t="n">
        <x:v>0.03887510361770783</x:v>
      </x:c>
      <x:c r="E369" s="11" t="n">
        <x:v>0.0006004425813443333</x:v>
      </x:c>
      <x:c r="F369" s="11" t="n">
        <x:v>0.4913151264190674</x:v>
      </x:c>
      <x:c r="G369" s="13" t="n">
        <x:v>6</x:v>
      </x:c>
      <x:c r="H369" s="11" t="n">
        <x:v>0.3977218270301819</x:v>
      </x:c>
      <x:c r="I369" s="11" t="n">
        <x:v>0.4146654903888702</x:v>
      </x:c>
      <x:c r="J369" s="24" t="n">
        <x:v>136.00750779733062</x:v>
      </x:c>
      <x:c r="K369" s="24" t="n">
        <x:v>158.80008697509766</x:v>
      </x:c>
      <x:c r="L369" s="11" t="n">
        <x:v>0.6575682163238525</x:v>
      </x:c>
      <x:c r="M369" s="11" t="n">
        <x:v>0.0999332070350647</x:v>
      </x:c>
    </x:row>
    <x:row r="370" ht="22" customHeight="1">
      <x:c r="A370" s="17" t="str">
        <x:f>"04024430"</x:f>
        <x:v>04024430</x:v>
      </x:c>
      <x:c r="B370" s="13" t="n">
        <x:v>42</x:v>
      </x:c>
      <x:c r="C370" s="22" t="b">
        <x:v>1</x:v>
      </x:c>
      <x:c r="D370" s="11" t="n">
        <x:v>0.021452145030101104</x:v>
      </x:c>
      <x:c r="E370" s="11" t="n">
        <x:v>0.0001752966539546</x:v>
      </x:c>
      <x:c r="F370" s="11" t="n">
        <x:v>0.3836633563041687</x:v>
      </x:c>
      <x:c r="G370" s="13" t="n">
        <x:v>7</x:v>
      </x:c>
      <x:c r="H370" s="11" t="n">
        <x:v>0.0891992002725601</x:v>
      </x:c>
      <x:c r="I370" s="11" t="n">
        <x:v>0.0996686294674873</x:v>
      </x:c>
      <x:c r="J370" s="24" t="n">
        <x:v>137.1499004503712</x:v>
      </x:c>
      <x:c r="K370" s="24" t="n">
        <x:v>153.7111532688141</x:v>
      </x:c>
      <x:c r="L370" s="11" t="n">
        <x:v>0.4727722704410553</x:v>
      </x:c>
      <x:c r="M370" s="11" t="n">
        <x:v>0.0999393239617347</x:v>
      </x:c>
    </x:row>
    <x:row r="371" ht="22" customHeight="1">
      <x:c r="A371" s="17" t="str">
        <x:f>"04024430"</x:f>
        <x:v>04024430</x:v>
      </x:c>
      <x:c r="B371" s="13" t="n">
        <x:v>42</x:v>
      </x:c>
      <x:c r="C371" s="22" t="b">
        <x:v>0</x:v>
      </x:c>
      <x:c r="D371" s="11" t="n">
        <x:v>0.03887510361770783</x:v>
      </x:c>
      <x:c r="E371" s="11" t="n">
        <x:v>0.00027660837319363335</x:v>
      </x:c>
      <x:c r="F371" s="11" t="n">
        <x:v>0.5856079459190369</x:v>
      </x:c>
      <x:c r="G371" s="13" t="n">
        <x:v>10</x:v>
      </x:c>
      <x:c r="H371" s="11" t="n">
        <x:v>0.2269776463508606</x:v>
      </x:c>
      <x:c r="I371" s="11" t="n">
        <x:v>0.2269776463508606</x:v>
      </x:c>
      <x:c r="J371" s="24" t="n">
        <x:v>136.07614018861204</x:v>
      </x:c>
      <x:c r="K371" s="24" t="n">
        <x:v>158.16164231300354</x:v>
      </x:c>
      <x:c r="L371" s="11" t="n">
        <x:v>0.5856079459190369</x:v>
      </x:c>
      <x:c r="M371" s="11" t="n">
        <x:v>0.0999332070350647</x:v>
      </x:c>
    </x:row>
    <x:row r="372" ht="22" customHeight="1">
      <x:c r="A372" s="17" t="str">
        <x:f>"04027000"</x:f>
        <x:v>04027000</x:v>
      </x:c>
      <x:c r="B372" s="13" t="n">
        <x:v>42</x:v>
      </x:c>
      <x:c r="C372" s="22" t="b">
        <x:v>1</x:v>
      </x:c>
      <x:c r="D372" s="11" t="n">
        <x:v>0.015676567951838135</x:v>
      </x:c>
      <x:c r="E372" s="11" t="n">
        <x:v>0.0008225458247276333</x:v>
      </x:c>
      <x:c r="F372" s="11" t="n">
        <x:v>0.3267326653003692</x:v>
      </x:c>
      <x:c r="G372" s="13" t="n">
        <x:v>4</x:v>
      </x:c>
      <x:c r="H372" s="11" t="n">
        <x:v>0.0645572915673255</x:v>
      </x:c>
      <x:c r="I372" s="11" t="n">
        <x:v>0.4262077212333679</x:v>
      </x:c>
      <x:c r="J372" s="24" t="n">
        <x:v>144.55447465274483</x:v>
      </x:c>
      <x:c r="K372" s="24" t="n">
        <x:v>161.40364408493042</x:v>
      </x:c>
      <x:c r="L372" s="11" t="n">
        <x:v>0.5643564462661743</x:v>
      </x:c>
      <x:c r="M372" s="11" t="n">
        <x:v>0.0999393239617347</x:v>
      </x:c>
    </x:row>
    <x:row r="373" ht="22" customHeight="1">
      <x:c r="A373" s="17" t="str">
        <x:f>"04027000"</x:f>
        <x:v>04027000</x:v>
      </x:c>
      <x:c r="B373" s="13" t="n">
        <x:v>42</x:v>
      </x:c>
      <x:c r="C373" s="22" t="b">
        <x:v>0</x:v>
      </x:c>
      <x:c r="D373" s="11" t="n">
        <x:v>0.03473945396641883</x:v>
      </x:c>
      <x:c r="E373" s="11" t="n">
        <x:v>0.00037106001400383335</x:v>
      </x:c>
      <x:c r="F373" s="11" t="n">
        <x:v>0.4987592995166778</x:v>
      </x:c>
      <x:c r="G373" s="13" t="n">
        <x:v>1</x:v>
      </x:c>
      <x:c r="H373" s="11" t="n">
        <x:v>0.2163334637880325</x:v>
      </x:c>
      <x:c r="I373" s="11" t="n">
        <x:v>0.2657627463340759</x:v>
      </x:c>
      <x:c r="J373" s="24" t="n">
        <x:v>141.8228605920449</x:v>
      </x:c>
      <x:c r="K373" s="24" t="n">
        <x:v>171.79008221626282</x:v>
      </x:c>
      <x:c r="L373" s="11" t="n">
        <x:v>0.9727047085762024</x:v>
      </x:c>
      <x:c r="M373" s="11" t="n">
        <x:v>0.0999332070350647</x:v>
      </x:c>
    </x:row>
    <x:row r="374" ht="22" customHeight="1">
      <x:c r="A374" s="17" t="str">
        <x:f>"04040500"</x:f>
        <x:v>04040500</x:v>
      </x:c>
      <x:c r="B374" s="13" t="n">
        <x:v>42</x:v>
      </x:c>
      <x:c r="C374" s="22" t="b">
        <x:v>1</x:v>
      </x:c>
      <x:c r="D374" s="11" t="n">
        <x:v>0.019801980505386934</x:v>
      </x:c>
      <x:c r="E374" s="11" t="n">
        <x:v>0.0004854368938443333</x:v>
      </x:c>
      <x:c r="F374" s="11" t="n">
        <x:v>0.3787128627300262</x:v>
      </x:c>
      <x:c r="G374" s="13" t="n">
        <x:v>10</x:v>
      </x:c>
      <x:c r="H374" s="11" t="n">
        <x:v>0.0321606174111366</x:v>
      </x:c>
      <x:c r="I374" s="11" t="n">
        <x:v>0.0321606174111366</x:v>
      </x:c>
      <x:c r="J374" s="24" t="n">
        <x:v>144.38489198312163</x:v>
      </x:c>
      <x:c r="K374" s="24" t="n">
        <x:v>157.57192087173462</x:v>
      </x:c>
      <x:c r="L374" s="11" t="n">
        <x:v>0.3787128627300262</x:v>
      </x:c>
      <x:c r="M374" s="11" t="n">
        <x:v>0.0999393239617347</x:v>
      </x:c>
    </x:row>
    <x:row r="375" ht="22" customHeight="1">
      <x:c r="A375" s="17" t="str">
        <x:f>"04040500"</x:f>
        <x:v>04040500</x:v>
      </x:c>
      <x:c r="B375" s="13" t="n">
        <x:v>42</x:v>
      </x:c>
      <x:c r="C375" s="22" t="b">
        <x:v>0</x:v>
      </x:c>
      <x:c r="D375" s="11" t="n">
        <x:v>0.0413564927875995</x:v>
      </x:c>
      <x:c r="E375" s="11" t="n">
        <x:v>0.00046551165481403334</x:v>
      </x:c>
      <x:c r="F375" s="11" t="n">
        <x:v>0.5384615659713745</x:v>
      </x:c>
      <x:c r="G375" s="13" t="n">
        <x:v>1</x:v>
      </x:c>
      <x:c r="H375" s="11" t="n">
        <x:v>0.1770964711904525</x:v>
      </x:c>
      <x:c r="I375" s="11" t="n">
        <x:v>0.1882267892360687</x:v>
      </x:c>
      <x:c r="J375" s="24" t="n">
        <x:v>143.48149458132684</x:v>
      </x:c>
      <x:c r="K375" s="24" t="n">
        <x:v>182.7980375289917</x:v>
      </x:c>
      <x:c r="L375" s="11" t="n">
        <x:v>0.9975185990333556</x:v>
      </x:c>
      <x:c r="M375" s="11" t="n">
        <x:v>0.0999332070350647</x:v>
      </x:c>
    </x:row>
    <x:row r="376" ht="22" customHeight="1">
      <x:c r="A376" s="17" t="str">
        <x:f>"04043050"</x:f>
        <x:v>04043050</x:v>
      </x:c>
      <x:c r="B376" s="13" t="n">
        <x:v>42</x:v>
      </x:c>
      <x:c r="C376" s="22" t="b">
        <x:v>1</x:v>
      </x:c>
      <x:c r="D376" s="11" t="n">
        <x:v>0.024752475321292832</x:v>
      </x:c>
      <x:c r="E376" s="11" t="n">
        <x:v>0.0002224919056364</x:v>
      </x:c>
      <x:c r="F376" s="11" t="n">
        <x:v>0.3613861501216888</x:v>
      </x:c>
      <x:c r="G376" s="13" t="n">
        <x:v>3</x:v>
      </x:c>
      <x:c r="H376" s="11" t="n">
        <x:v>0.0862085372209549</x:v>
      </x:c>
      <x:c r="I376" s="11" t="n">
        <x:v>0.0974589437246322</x:v>
      </x:c>
      <x:c r="J376" s="24" t="n">
        <x:v>144.30447618011385</x:v>
      </x:c>
      <x:c r="K376" s="24" t="n">
        <x:v>158.82303476333618</x:v>
      </x:c>
      <x:c r="L376" s="11" t="n">
        <x:v>0.7722772359848022</x:v>
      </x:c>
      <x:c r="M376" s="11" t="n">
        <x:v>0.0999393239617347</x:v>
      </x:c>
    </x:row>
    <x:row r="377" ht="22" customHeight="1">
      <x:c r="A377" s="17" t="str">
        <x:f>"04043050"</x:f>
        <x:v>04043050</x:v>
      </x:c>
      <x:c r="B377" s="13" t="n">
        <x:v>42</x:v>
      </x:c>
      <x:c r="C377" s="22" t="b">
        <x:v>0</x:v>
      </x:c>
      <x:c r="D377" s="11" t="n">
        <x:v>0.04714640229940411</x:v>
      </x:c>
      <x:c r="E377" s="11" t="n">
        <x:v>0.0003170876492124667</x:v>
      </x:c>
      <x:c r="F377" s="11" t="n">
        <x:v>0.5707195997238159</x:v>
      </x:c>
      <x:c r="G377" s="13" t="n">
        <x:v>7</x:v>
      </x:c>
      <x:c r="H377" s="11" t="n">
        <x:v>0.2010459154844284</x:v>
      </x:c>
      <x:c r="I377" s="11" t="n">
        <x:v>0.2418519854545593</x:v>
      </x:c>
      <x:c r="J377" s="24" t="n">
        <x:v>143.65873948018998</x:v>
      </x:c>
      <x:c r="K377" s="24" t="n">
        <x:v>165.3812894821167</x:v>
      </x:c>
      <x:c r="L377" s="11" t="n">
        <x:v>0.6575682163238525</x:v>
      </x:c>
      <x:c r="M377" s="11" t="n">
        <x:v>0.0999332070350647</x:v>
      </x:c>
    </x:row>
    <x:row r="378" ht="22" customHeight="1">
      <x:c r="A378" s="17" t="str">
        <x:f>"04045500"</x:f>
        <x:v>04045500</x:v>
      </x:c>
      <x:c r="B378" s="13" t="n">
        <x:v>42</x:v>
      </x:c>
      <x:c r="C378" s="22" t="b">
        <x:v>1</x:v>
      </x:c>
      <x:c r="D378" s="11" t="n">
        <x:v>0.011551154932628031</x:v>
      </x:c>
      <x:c r="E378" s="11" t="n">
        <x:v>0.00047869471988326665</x:v>
      </x:c>
      <x:c r="F378" s="11" t="n">
        <x:v>0.1584158390760421</x:v>
      </x:c>
      <x:c r="G378" s="13" t="n">
        <x:v>9</x:v>
      </x:c>
      <x:c r="H378" s="11" t="n">
        <x:v>0.0023745289072394</x:v>
      </x:c>
      <x:c r="I378" s="11" t="n">
        <x:v>0.0026315075810998</x:v>
      </x:c>
      <x:c r="J378" s="24" t="n">
        <x:v>145.03954103030264</x:v>
      </x:c>
      <x:c r="K378" s="24" t="n">
        <x:v>151.77558374404907</x:v>
      </x:c>
      <x:c r="L378" s="11" t="n">
        <x:v>0.2004950493574142</x:v>
      </x:c>
      <x:c r="M378" s="11" t="n">
        <x:v>0.0999393239617347</x:v>
      </x:c>
    </x:row>
    <x:row r="379" ht="22" customHeight="1">
      <x:c r="A379" s="17" t="str">
        <x:f>"04045500"</x:f>
        <x:v>04045500</x:v>
      </x:c>
      <x:c r="B379" s="13" t="n">
        <x:v>42</x:v>
      </x:c>
      <x:c r="C379" s="22" t="b">
        <x:v>0</x:v>
      </x:c>
      <x:c r="D379" s="11" t="n">
        <x:v>0.0397022329270839</x:v>
      </x:c>
      <x:c r="E379" s="11" t="n">
        <x:v>0.00046551165481403334</x:v>
      </x:c>
      <x:c r="F379" s="11" t="n">
        <x:v>0.4714640080928802</x:v>
      </x:c>
      <x:c r="G379" s="13" t="n">
        <x:v>2</x:v>
      </x:c>
      <x:c r="H379" s="11" t="n">
        <x:v>0.1700109392404556</x:v>
      </x:c>
      <x:c r="I379" s="11" t="n">
        <x:v>0.2016839534044265</x:v>
      </x:c>
      <x:c r="J379" s="24" t="n">
        <x:v>138.69983607530594</x:v>
      </x:c>
      <x:c r="K379" s="24" t="n">
        <x:v>165.57116770744324</x:v>
      </x:c>
      <x:c r="L379" s="11" t="n">
        <x:v>0.9280397295951844</x:v>
      </x:c>
      <x:c r="M379" s="11" t="n">
        <x:v>0.0999332070350647</x:v>
      </x:c>
    </x:row>
    <x:row r="380" ht="22" customHeight="1">
      <x:c r="A380" s="17" t="str">
        <x:f>"04056500"</x:f>
        <x:v>04056500</x:v>
      </x:c>
      <x:c r="B380" s="13" t="n">
        <x:v>42</x:v>
      </x:c>
      <x:c r="C380" s="22" t="b">
        <x:v>1</x:v>
      </x:c>
      <x:c r="D380" s="11" t="n">
        <x:v>0.004950494971126267</x:v>
      </x:c>
      <x:c r="E380" s="11" t="n">
        <x:v>0.0004652103622598334</x:v>
      </x:c>
      <x:c r="F380" s="11" t="n">
        <x:v>0.1905940622091293</x:v>
      </x:c>
      <x:c r="G380" s="13" t="n">
        <x:v>9</x:v>
      </x:c>
      <x:c r="H380" s="11" t="n">
        <x:v>0.0035690914373844</x:v>
      </x:c>
      <x:c r="I380" s="11" t="n">
        <x:v>0.0050321449525654</x:v>
      </x:c>
      <x:c r="J380" s="24" t="n">
        <x:v>139.53068879432976</x:v>
      </x:c>
      <x:c r="K380" s="24" t="n">
        <x:v>147.18091917037964</x:v>
      </x:c>
      <x:c r="L380" s="11" t="n">
        <x:v>0.2054455429315567</x:v>
      </x:c>
      <x:c r="M380" s="11" t="n">
        <x:v>0.0999393239617347</x:v>
      </x:c>
    </x:row>
    <x:row r="381" ht="22" customHeight="1">
      <x:c r="A381" s="17" t="str">
        <x:f>"04056500"</x:f>
        <x:v>04056500</x:v>
      </x:c>
      <x:c r="B381" s="13" t="n">
        <x:v>42</x:v>
      </x:c>
      <x:c r="C381" s="22" t="b">
        <x:v>0</x:v>
      </x:c>
      <x:c r="D381" s="11" t="n">
        <x:v>0.0355665832757949</x:v>
      </x:c>
      <x:c r="E381" s="11" t="n">
        <x:v>0.0005329771180792</x:v>
      </x:c>
      <x:c r="F381" s="11" t="n">
        <x:v>0.503722071647644</x:v>
      </x:c>
      <x:c r="G381" s="13" t="n">
        <x:v>1</x:v>
      </x:c>
      <x:c r="H381" s="11" t="n">
        <x:v>0.1796217560768127</x:v>
      </x:c>
      <x:c r="I381" s="11" t="n">
        <x:v>0.2328260242938995</x:v>
      </x:c>
      <x:c r="J381" s="24" t="n">
        <x:v>139.25458269845694</x:v>
      </x:c>
      <x:c r="K381" s="24" t="n">
        <x:v>170.36496496200562</x:v>
      </x:c>
      <x:c r="L381" s="11" t="n">
        <x:v>0.9801489114761353</x:v>
      </x:c>
      <x:c r="M381" s="11" t="n">
        <x:v>0.0999332070350647</x:v>
      </x:c>
    </x:row>
    <x:row r="382" ht="22" customHeight="1">
      <x:c r="A382" s="17" t="str">
        <x:f>"04057510"</x:f>
        <x:v>04057510</x:v>
      </x:c>
      <x:c r="B382" s="13" t="n">
        <x:v>42</x:v>
      </x:c>
      <x:c r="C382" s="22" t="b">
        <x:v>1</x:v>
      </x:c>
      <x:c r="D382" s="11" t="n">
        <x:v>0.014026402806242266</x:v>
      </x:c>
      <x:c r="E382" s="11" t="n">
        <x:v>0.0007483818917534668</x:v>
      </x:c>
      <x:c r="F382" s="11" t="n">
        <x:v>0.2970297038555145</x:v>
      </x:c>
      <x:c r="G382" s="13" t="n">
        <x:v>8</x:v>
      </x:c>
      <x:c r="H382" s="11" t="n">
        <x:v>0.0268534496426582</x:v>
      </x:c>
      <x:c r="I382" s="11" t="n">
        <x:v>0.0324634239077568</x:v>
      </x:c>
      <x:c r="J382" s="24" t="n">
        <x:v>137.63323566969484</x:v>
      </x:c>
      <x:c r="K382" s="24" t="n">
        <x:v>149.3704171180725</x:v>
      </x:c>
      <x:c r="L382" s="11" t="n">
        <x:v>0.3688118755817413</x:v>
      </x:c>
      <x:c r="M382" s="11" t="n">
        <x:v>0.0999393239617347</x:v>
      </x:c>
    </x:row>
    <x:row r="383" ht="22" customHeight="1">
      <x:c r="A383" s="17" t="str">
        <x:f>"04057510"</x:f>
        <x:v>04057510</x:v>
      </x:c>
      <x:c r="B383" s="13" t="n">
        <x:v>42</x:v>
      </x:c>
      <x:c r="C383" s="22" t="b">
        <x:v>0</x:v>
      </x:c>
      <x:c r="D383" s="11" t="n">
        <x:v>0.056244831532239865</x:v>
      </x:c>
      <x:c r="E383" s="11" t="n">
        <x:v>0.0002023963776688</x:v>
      </x:c>
      <x:c r="F383" s="11" t="n">
        <x:v>0.578163743019104</x:v>
      </x:c>
      <x:c r="G383" s="13" t="n">
        <x:v>3</x:v>
      </x:c>
      <x:c r="H383" s="11" t="n">
        <x:v>0.1788829416036605</x:v>
      </x:c>
      <x:c r="I383" s="11" t="n">
        <x:v>0.2429016530513763</x:v>
      </x:c>
      <x:c r="J383" s="24" t="n">
        <x:v>137.7971007116139</x:v>
      </x:c>
      <x:c r="K383" s="24" t="n">
        <x:v>169.75358390808105</x:v>
      </x:c>
      <x:c r="L383" s="11" t="n">
        <x:v>0.8908188343048096</x:v>
      </x:c>
      <x:c r="M383" s="11" t="n">
        <x:v>0.0999332070350647</x:v>
      </x:c>
    </x:row>
    <x:row r="384" ht="22" customHeight="1">
      <x:c r="A384" s="17" t="str">
        <x:f>"04057800"</x:f>
        <x:v>04057800</x:v>
      </x:c>
      <x:c r="B384" s="13" t="n">
        <x:v>42</x:v>
      </x:c>
      <x:c r="C384" s="22" t="b">
        <x:v>1</x:v>
      </x:c>
      <x:c r="D384" s="11" t="n">
        <x:v>0.017326733097434</x:v>
      </x:c>
      <x:c r="E384" s="11" t="n">
        <x:v>0.0003236245926624333</x:v>
      </x:c>
      <x:c r="F384" s="11" t="n">
        <x:v>0.3094059526920318</x:v>
      </x:c>
      <x:c r="G384" s="13" t="n">
        <x:v>2</x:v>
      </x:c>
      <x:c r="H384" s="11" t="n">
        <x:v>0.0268256608396768</x:v>
      </x:c>
      <x:c r="I384" s="11" t="n">
        <x:v>0.0298388563096523</x:v>
      </x:c>
      <x:c r="J384" s="24" t="n">
        <x:v>145.62554702721536</x:v>
      </x:c>
      <x:c r="K384" s="24" t="n">
        <x:v>167.33320927619934</x:v>
      </x:c>
      <x:c r="L384" s="11" t="n">
        <x:v>0.8415841460227966</x:v>
      </x:c>
      <x:c r="M384" s="11" t="n">
        <x:v>0.0999393239617347</x:v>
      </x:c>
    </x:row>
    <x:row r="385" ht="22" customHeight="1">
      <x:c r="A385" s="17" t="str">
        <x:f>"04057800"</x:f>
        <x:v>04057800</x:v>
      </x:c>
      <x:c r="B385" s="13" t="n">
        <x:v>42</x:v>
      </x:c>
      <x:c r="C385" s="22" t="b">
        <x:v>0</x:v>
      </x:c>
      <x:c r="D385" s="11" t="n">
        <x:v>0.0380479730665683</x:v>
      </x:c>
      <x:c r="E385" s="11" t="n">
        <x:v>0.00018890327919503333</x:v>
      </x:c>
      <x:c r="F385" s="11" t="n">
        <x:v>0.6004962921142578</x:v>
      </x:c>
      <x:c r="G385" s="13" t="n">
        <x:v>7</x:v>
      </x:c>
      <x:c r="H385" s="11" t="n">
        <x:v>0.1741044819355011</x:v>
      </x:c>
      <x:c r="I385" s="11" t="n">
        <x:v>0.2369286566972732</x:v>
      </x:c>
      <x:c r="J385" s="24" t="n">
        <x:v>139.30340949818492</x:v>
      </x:c>
      <x:c r="K385" s="24" t="n">
        <x:v>169.23771929740906</x:v>
      </x:c>
      <x:c r="L385" s="11" t="n">
        <x:v>0.7121587991714478</x:v>
      </x:c>
      <x:c r="M385" s="11" t="n">
        <x:v>0.0999332070350647</x:v>
      </x:c>
    </x:row>
    <x:row r="386" ht="22" customHeight="1">
      <x:c r="A386" s="17" t="str">
        <x:f>"04059500"</x:f>
        <x:v>04059500</x:v>
      </x:c>
      <x:c r="B386" s="13" t="n">
        <x:v>42</x:v>
      </x:c>
      <x:c r="C386" s="22" t="b">
        <x:v>1</x:v>
      </x:c>
      <x:c r="D386" s="11" t="n">
        <x:v>0.0231023104861378</x:v>
      </x:c>
      <x:c r="E386" s="11" t="n">
        <x:v>0.0004989212611689666</x:v>
      </x:c>
      <x:c r="F386" s="11" t="n">
        <x:v>0.3638613820075989</x:v>
      </x:c>
      <x:c r="G386" s="13" t="n">
        <x:v>3</x:v>
      </x:c>
      <x:c r="H386" s="11" t="n">
        <x:v>0.0120253199711442</x:v>
      </x:c>
      <x:c r="I386" s="11" t="n">
        <x:v>0.0186217967420816</x:v>
      </x:c>
      <x:c r="J386" s="24" t="n">
        <x:v>146.76049800030887</x:v>
      </x:c>
      <x:c r="K386" s="24" t="n">
        <x:v>173.27923369407654</x:v>
      </x:c>
      <x:c r="L386" s="11" t="n">
        <x:v>0.6955445408821106</x:v>
      </x:c>
      <x:c r="M386" s="11" t="n">
        <x:v>0.0999393239617347</x:v>
      </x:c>
    </x:row>
    <x:row r="387" ht="22" customHeight="1">
      <x:c r="A387" s="17" t="str">
        <x:f>"04059500"</x:f>
        <x:v>04059500</x:v>
      </x:c>
      <x:c r="B387" s="13" t="n">
        <x:v>42</x:v>
      </x:c>
      <x:c r="C387" s="22" t="b">
        <x:v>0</x:v>
      </x:c>
      <x:c r="D387" s="11" t="n">
        <x:v>0.04631927236914629</x:v>
      </x:c>
      <x:c r="E387" s="11" t="n">
        <x:v>0.0005262305688423</x:v>
      </x:c>
      <x:c r="F387" s="11" t="n">
        <x:v>0.4937965273857116</x:v>
      </x:c>
      <x:c r="G387" s="13" t="n">
        <x:v>4</x:v>
      </x:c>
      <x:c r="H387" s="11" t="n">
        <x:v>0.1578400582075119</x:v>
      </x:c>
      <x:c r="I387" s="11" t="n">
        <x:v>0.3108026683330536</x:v>
      </x:c>
      <x:c r="J387" s="24" t="n">
        <x:v>144.15498083084822</x:v>
      </x:c>
      <x:c r="K387" s="24" t="n">
        <x:v>172.1401002407074</x:v>
      </x:c>
      <x:c r="L387" s="11" t="n">
        <x:v>0.7866004705429077</x:v>
      </x:c>
      <x:c r="M387" s="11" t="n">
        <x:v>0.0999332070350647</x:v>
      </x:c>
    </x:row>
    <x:row r="388" ht="22" customHeight="1">
      <x:c r="A388" s="17" t="str">
        <x:f>"04063700"</x:f>
        <x:v>04063700</x:v>
      </x:c>
      <x:c r="B388" s="13" t="n">
        <x:v>42</x:v>
      </x:c>
      <x:c r="C388" s="22" t="b">
        <x:v>1</x:v>
      </x:c>
      <x:c r="D388" s="11" t="n">
        <x:v>0.0041254124759385665</x:v>
      </x:c>
      <x:c r="E388" s="11" t="n">
        <x:v>0.0003775620377079</x:v>
      </x:c>
      <x:c r="F388" s="11" t="n">
        <x:v>0.2549504935741424</x:v>
      </x:c>
      <x:c r="G388" s="13" t="n">
        <x:v>6</x:v>
      </x:c>
      <x:c r="H388" s="11" t="n">
        <x:v>0.0136513775214552</x:v>
      </x:c>
      <x:c r="I388" s="11" t="n">
        <x:v>0.0145316338166594</x:v>
      </x:c>
      <x:c r="J388" s="24" t="n">
        <x:v>142.80676552467048</x:v>
      </x:c>
      <x:c r="K388" s="24" t="n">
        <x:v>154.14486002922058</x:v>
      </x:c>
      <x:c r="L388" s="11" t="n">
        <x:v>0.4034653604030609</x:v>
      </x:c>
      <x:c r="M388" s="11" t="n">
        <x:v>0.0999393239617347</x:v>
      </x:c>
    </x:row>
    <x:row r="389" ht="22" customHeight="1">
      <x:c r="A389" s="17" t="str">
        <x:f>"04063700"</x:f>
        <x:v>04063700</x:v>
      </x:c>
      <x:c r="B389" s="13" t="n">
        <x:v>42</x:v>
      </x:c>
      <x:c r="C389" s="22" t="b">
        <x:v>0</x:v>
      </x:c>
      <x:c r="D389" s="11" t="n">
        <x:v>0.044665012508630704</x:v>
      </x:c>
      <x:c r="E389" s="11" t="n">
        <x:v>0.00024287564156106668</x:v>
      </x:c>
      <x:c r="F389" s="11" t="n">
        <x:v>0.5260545611381531</x:v>
      </x:c>
      <x:c r="G389" s="13" t="n">
        <x:v>7</x:v>
      </x:c>
      <x:c r="H389" s="11" t="n">
        <x:v>0.1902311444282531</x:v>
      </x:c>
      <x:c r="I389" s="11" t="n">
        <x:v>0.2177333831787109</x:v>
      </x:c>
      <x:c r="J389" s="24" t="n">
        <x:v>142.58444022387266</x:v>
      </x:c>
      <x:c r="K389" s="24" t="n">
        <x:v>162.3887233734131</x:v>
      </x:c>
      <x:c r="L389" s="11" t="n">
        <x:v>0.6277915835380554</x:v>
      </x:c>
      <x:c r="M389" s="11" t="n">
        <x:v>0.0999332070350647</x:v>
      </x:c>
    </x:row>
    <x:row r="390" ht="22" customHeight="1">
      <x:c r="A390" s="17" t="str">
        <x:f>"04105700"</x:f>
        <x:v>04105700</x:v>
      </x:c>
      <x:c r="B390" s="13" t="n">
        <x:v>42</x:v>
      </x:c>
      <x:c r="C390" s="22" t="b">
        <x:v>1</x:v>
      </x:c>
      <x:c r="D390" s="11" t="n">
        <x:v>0.018151815359791067</x:v>
      </x:c>
      <x:c r="E390" s="11" t="n">
        <x:v>0.0007416396983898999</x:v>
      </x:c>
      <x:c r="F390" s="11" t="n">
        <x:v>0.3886138498783111</x:v>
      </x:c>
      <x:c r="G390" s="13" t="n">
        <x:v>9</x:v>
      </x:c>
      <x:c r="H390" s="11" t="n">
        <x:v>0.2219557017087936</x:v>
      </x:c>
      <x:c r="I390" s="11" t="n">
        <x:v>0.2224479168653488</x:v>
      </x:c>
      <x:c r="J390" s="24" t="n">
        <x:v>141.0262525063008</x:v>
      </x:c>
      <x:c r="K390" s="24" t="n">
        <x:v>153.37166357040405</x:v>
      </x:c>
      <x:c r="L390" s="11" t="n">
        <x:v>0.4059405922889709</x:v>
      </x:c>
      <x:c r="M390" s="11" t="n">
        <x:v>0.0999393239617347</x:v>
      </x:c>
    </x:row>
    <x:row r="391" ht="22" customHeight="1">
      <x:c r="A391" s="17" t="str">
        <x:f>"04105700"</x:f>
        <x:v>04105700</x:v>
      </x:c>
      <x:c r="B391" s="13" t="n">
        <x:v>42</x:v>
      </x:c>
      <x:c r="C391" s="22" t="b">
        <x:v>0</x:v>
      </x:c>
      <x:c r="D391" s="11" t="n">
        <x:v>0.039702233547965635</x:v>
      </x:c>
      <x:c r="E391" s="11" t="n">
        <x:v>0.00020239637039283333</x:v>
      </x:c>
      <x:c r="F391" s="11" t="n">
        <x:v>0.503722071647644</x:v>
      </x:c>
      <x:c r="G391" s="13" t="n">
        <x:v>10</x:v>
      </x:c>
      <x:c r="H391" s="11" t="n">
        <x:v>0.5828951001167297</x:v>
      </x:c>
      <x:c r="I391" s="11" t="n">
        <x:v>0.5828951001167297</x:v>
      </x:c>
      <x:c r="J391" s="24" t="n">
        <x:v>146.46183927636594</x:v>
      </x:c>
      <x:c r="K391" s="24" t="n">
        <x:v>164.3994221687317</x:v>
      </x:c>
      <x:c r="L391" s="11" t="n">
        <x:v>0.503722071647644</x:v>
      </x:c>
      <x:c r="M391" s="11" t="n">
        <x:v>0.0999332070350647</x:v>
      </x:c>
    </x:row>
    <x:row r="392" ht="22" customHeight="1">
      <x:c r="A392" s="17" t="str">
        <x:f>"04122200"</x:f>
        <x:v>04122200</x:v>
      </x:c>
      <x:c r="B392" s="13" t="n">
        <x:v>42</x:v>
      </x:c>
      <x:c r="C392" s="22" t="b">
        <x:v>1</x:v>
      </x:c>
      <x:c r="D392" s="11" t="n">
        <x:v>0.0115511552430689</x:v>
      </x:c>
      <x:c r="E392" s="11" t="n">
        <x:v>0.0003775620231559333</x:v>
      </x:c>
      <x:c r="F392" s="11" t="n">
        <x:v>0.2698019742965698</x:v>
      </x:c>
      <x:c r="G392" s="13" t="n">
        <x:v>8</x:v>
      </x:c>
      <x:c r="H392" s="11" t="n">
        <x:v>0.0354914963245391</x:v>
      </x:c>
      <x:c r="I392" s="11" t="n">
        <x:v>0.0510009191930294</x:v>
      </x:c>
      <x:c r="J392" s="24" t="n">
        <x:v>140.97448751237243</x:v>
      </x:c>
      <x:c r="K392" s="24" t="n">
        <x:v>153.46822881698608</x:v>
      </x:c>
      <x:c r="L392" s="11" t="n">
        <x:v>0.344059407711029</x:v>
      </x:c>
      <x:c r="M392" s="11" t="n">
        <x:v>0.0999393239617347</x:v>
      </x:c>
    </x:row>
    <x:row r="393" ht="22" customHeight="1">
      <x:c r="A393" s="17" t="str">
        <x:f>"04122200"</x:f>
        <x:v>04122200</x:v>
      </x:c>
      <x:c r="B393" s="13" t="n">
        <x:v>42</x:v>
      </x:c>
      <x:c r="C393" s="22" t="b">
        <x:v>0</x:v>
      </x:c>
      <x:c r="D393" s="11" t="n">
        <x:v>0.02729528521498037</x:v>
      </x:c>
      <x:c r="E393" s="11" t="n">
        <x:v>0.0002563687351842</x:v>
      </x:c>
      <x:c r="F393" s="11" t="n">
        <x:v>0.5062034726142883</x:v>
      </x:c>
      <x:c r="G393" s="13" t="n">
        <x:v>1</x:v>
      </x:c>
      <x:c r="H393" s="11" t="n">
        <x:v>0.2477029412984848</x:v>
      </x:c>
      <x:c r="I393" s="11" t="n">
        <x:v>0.2863543033599853</x:v>
      </x:c>
      <x:c r="J393" s="24" t="n">
        <x:v>139.8003903068602</x:v>
      </x:c>
      <x:c r="K393" s="24" t="n">
        <x:v>170.6498157978058</x:v>
      </x:c>
      <x:c r="L393" s="11" t="n">
        <x:v>0.9801489114761353</x:v>
      </x:c>
      <x:c r="M393" s="11" t="n">
        <x:v>0.0999332070350647</x:v>
      </x:c>
    </x:row>
    <x:row r="394" ht="22" customHeight="1">
      <x:c r="A394" s="17" t="str">
        <x:f>"04122500"</x:f>
        <x:v>04122500</x:v>
      </x:c>
      <x:c r="B394" s="13" t="n">
        <x:v>42</x:v>
      </x:c>
      <x:c r="C394" s="22" t="b">
        <x:v>1</x:v>
      </x:c>
      <x:c r="D394" s="11" t="n">
        <x:v>0.012376237815866832</x:v>
      </x:c>
      <x:c r="E394" s="11" t="n">
        <x:v>0.0007416396983898999</x:v>
      </x:c>
      <x:c r="F394" s="11" t="n">
        <x:v>0.2178217768669128</x:v>
      </x:c>
      <x:c r="G394" s="13" t="n">
        <x:v>10</x:v>
      </x:c>
      <x:c r="H394" s="11" t="n">
        <x:v>0.0346490964293479</x:v>
      </x:c>
      <x:c r="I394" s="11" t="n">
        <x:v>0.0346490964293479</x:v>
      </x:c>
      <x:c r="J394" s="24" t="n">
        <x:v>139.35579232126474</x:v>
      </x:c>
      <x:c r="K394" s="24" t="n">
        <x:v>148.38071203231812</x:v>
      </x:c>
      <x:c r="L394" s="11" t="n">
        <x:v>0.2178217768669128</x:v>
      </x:c>
      <x:c r="M394" s="11" t="n">
        <x:v>0.0999393239617347</x:v>
      </x:c>
    </x:row>
    <x:row r="395" ht="22" customHeight="1">
      <x:c r="A395" s="17" t="str">
        <x:f>"04122500"</x:f>
        <x:v>04122500</x:v>
      </x:c>
      <x:c r="B395" s="13" t="n">
        <x:v>42</x:v>
      </x:c>
      <x:c r="C395" s="22" t="b">
        <x:v>0</x:v>
      </x:c>
      <x:c r="D395" s="11" t="n">
        <x:v>0.03060380493601157</x:v>
      </x:c>
      <x:c r="E395" s="11" t="n">
        <x:v>0.00029010146681679997</x:v>
      </x:c>
      <x:c r="F395" s="11" t="n">
        <x:v>0.5235732197761536</x:v>
      </x:c>
      <x:c r="G395" s="13" t="n">
        <x:v>2</x:v>
      </x:c>
      <x:c r="H395" s="11" t="n">
        <x:v>0.404641181230545</x:v>
      </x:c>
      <x:c r="I395" s="11" t="n">
        <x:v>0.4345361292362213</x:v>
      </x:c>
      <x:c r="J395" s="24" t="n">
        <x:v>136.44765550177544</x:v>
      </x:c>
      <x:c r="K395" s="24" t="n">
        <x:v>160.92160630226135</x:v>
      </x:c>
      <x:c r="L395" s="11" t="n">
        <x:v>0.9081885814666748</x:v>
      </x:c>
      <x:c r="M395" s="11" t="n">
        <x:v>0.0999332070350647</x:v>
      </x:c>
    </x:row>
    <x:row r="396" ht="22" customHeight="1">
      <x:c r="A396" s="17" t="str">
        <x:f>"04124000"</x:f>
        <x:v>04124000</x:v>
      </x:c>
      <x:c r="B396" s="13" t="n">
        <x:v>42</x:v>
      </x:c>
      <x:c r="C396" s="22" t="b">
        <x:v>1</x:v>
      </x:c>
      <x:c r="D396" s="11" t="n">
        <x:v>0.023102310330917402</x:v>
      </x:c>
      <x:c r="E396" s="11" t="n">
        <x:v>0.0006674757072081</x:v>
      </x:c>
      <x:c r="F396" s="11" t="n">
        <x:v>0.3143564462661743</x:v>
      </x:c>
      <x:c r="G396" s="13" t="n">
        <x:v>8</x:v>
      </x:c>
      <x:c r="H396" s="11" t="n">
        <x:v>0.0590058229863643</x:v>
      </x:c>
      <x:c r="I396" s="11" t="n">
        <x:v>0.0595534853637218</x:v>
      </x:c>
      <x:c r="J396" s="24" t="n">
        <x:v>136.6093426141888</x:v>
      </x:c>
      <x:c r="K396" s="24" t="n">
        <x:v>148.73231744766235</x:v>
      </x:c>
      <x:c r="L396" s="11" t="n">
        <x:v>0.3688118755817413</x:v>
      </x:c>
      <x:c r="M396" s="11" t="n">
        <x:v>0.0999393239617347</x:v>
      </x:c>
    </x:row>
    <x:row r="397" ht="22" customHeight="1">
      <x:c r="A397" s="17" t="str">
        <x:f>"04124000"</x:f>
        <x:v>04124000</x:v>
      </x:c>
      <x:c r="B397" s="13" t="n">
        <x:v>42</x:v>
      </x:c>
      <x:c r="C397" s="22" t="b">
        <x:v>0</x:v>
      </x:c>
      <x:c r="D397" s="11" t="n">
        <x:v>0.03970223292708391</x:v>
      </x:c>
      <x:c r="E397" s="11" t="n">
        <x:v>0.00031708765891376667</x:v>
      </x:c>
      <x:c r="F397" s="11" t="n">
        <x:v>0.5111662745475769</x:v>
      </x:c>
      <x:c r="G397" s="13" t="n">
        <x:v>1</x:v>
      </x:c>
      <x:c r="H397" s="11" t="n">
        <x:v>0.2059865593910217</x:v>
      </x:c>
      <x:c r="I397" s="11" t="n">
        <x:v>0.2338627129793167</x:v>
      </x:c>
      <x:c r="J397" s="24" t="n">
        <x:v>137.57323081418872</x:v>
      </x:c>
      <x:c r="K397" s="24" t="n">
        <x:v>172.1004581451416</x:v>
      </x:c>
      <x:c r="L397" s="11" t="n">
        <x:v>0.9826302528381348</x:v>
      </x:c>
      <x:c r="M397" s="11" t="n">
        <x:v>0.0999332070350647</x:v>
      </x:c>
    </x:row>
    <x:row r="398" ht="22" customHeight="1">
      <x:c r="A398" s="17" t="str">
        <x:f>"04127997"</x:f>
        <x:v>04127997</x:v>
      </x:c>
      <x:c r="B398" s="13" t="n">
        <x:v>42</x:v>
      </x:c>
      <x:c r="C398" s="22" t="b">
        <x:v>1</x:v>
      </x:c>
      <x:c r="D398" s="11" t="n">
        <x:v>0.03712871298193927</x:v>
      </x:c>
      <x:c r="E398" s="11" t="n">
        <x:v>0.00037081984919486665</x:v>
      </x:c>
      <x:c r="F398" s="11" t="n">
        <x:v>0.4133663475513458</x:v>
      </x:c>
      <x:c r="G398" s="13" t="n">
        <x:v>8</x:v>
      </x:c>
      <x:c r="H398" s="11" t="n">
        <x:v>0.1995880752801895</x:v>
      </x:c>
      <x:c r="I398" s="11" t="n">
        <x:v>0.206822007894516</x:v>
      </x:c>
      <x:c r="J398" s="24" t="n">
        <x:v>141.56551750469953</x:v>
      </x:c>
      <x:c r="K398" s="24" t="n">
        <x:v>160.46540307998657</x:v>
      </x:c>
      <x:c r="L398" s="11" t="n">
        <x:v>0.4826732575893402</x:v>
      </x:c>
      <x:c r="M398" s="11" t="n">
        <x:v>0.0999393239617347</x:v>
      </x:c>
    </x:row>
    <x:row r="399" ht="22" customHeight="1">
      <x:c r="A399" s="17" t="str">
        <x:f>"04127997"</x:f>
        <x:v>04127997</x:v>
      </x:c>
      <x:c r="B399" s="13" t="n">
        <x:v>42</x:v>
      </x:c>
      <x:c r="C399" s="22" t="b">
        <x:v>0</x:v>
      </x:c>
      <x:c r="D399" s="11" t="n">
        <x:v>0.0529363118112087</x:v>
      </x:c>
      <x:c r="E399" s="11" t="n">
        <x:v>0.0003373272872218667</x:v>
      </x:c>
      <x:c r="F399" s="11" t="n">
        <x:v>0.5806451439857483</x:v>
      </x:c>
      <x:c r="G399" s="13" t="n">
        <x:v>10</x:v>
      </x:c>
      <x:c r="H399" s="11" t="n">
        <x:v>0.3258062303066253</x:v>
      </x:c>
      <x:c r="I399" s="11" t="n">
        <x:v>0.3258062303066253</x:v>
      </x:c>
      <x:c r="J399" s="24" t="n">
        <x:v>136.1088491184637</x:v>
      </x:c>
      <x:c r="K399" s="24" t="n">
        <x:v>159.8641324043274</x:v>
      </x:c>
      <x:c r="L399" s="11" t="n">
        <x:v>0.5806451439857483</x:v>
      </x:c>
      <x:c r="M399" s="11" t="n">
        <x:v>0.0999332070350647</x:v>
      </x:c>
    </x:row>
    <x:row r="400" ht="22" customHeight="1">
      <x:c r="A400" s="17" t="str">
        <x:f>"04185000"</x:f>
        <x:v>04185000</x:v>
      </x:c>
      <x:c r="B400" s="13" t="n">
        <x:v>42</x:v>
      </x:c>
      <x:c r="C400" s="22" t="b">
        <x:v>1</x:v>
      </x:c>
      <x:c r="D400" s="11" t="n">
        <x:v>0.027227723350127464</x:v>
      </x:c>
      <x:c r="E400" s="11" t="n">
        <x:v>0.00045172599493523336</x:v>
      </x:c>
      <x:c r="F400" s="11" t="n">
        <x:v>0.3514851629734039</x:v>
      </x:c>
      <x:c r="G400" s="13" t="n">
        <x:v>8</x:v>
      </x:c>
      <x:c r="H400" s="11" t="n">
        <x:v>0.0625696182250976</x:v>
      </x:c>
      <x:c r="I400" s="11" t="n">
        <x:v>0.0773670896887779</x:v>
      </x:c>
      <x:c r="J400" s="24" t="n">
        <x:v>145.62610923778266</x:v>
      </x:c>
      <x:c r="K400" s="24" t="n">
        <x:v>159.4239296913147</x:v>
      </x:c>
      <x:c r="L400" s="11" t="n">
        <x:v>0.4232673346996307</x:v>
      </x:c>
      <x:c r="M400" s="11" t="n">
        <x:v>0.0999393239617347</x:v>
      </x:c>
    </x:row>
    <x:row r="401" ht="22" customHeight="1">
      <x:c r="A401" s="17" t="str">
        <x:f>"04185000"</x:f>
        <x:v>04185000</x:v>
      </x:c>
      <x:c r="B401" s="13" t="n">
        <x:v>42</x:v>
      </x:c>
      <x:c r="C401" s="22" t="b">
        <x:v>0</x:v>
      </x:c>
      <x:c r="D401" s="11" t="n">
        <x:v>0.03556658389667663</x:v>
      </x:c>
      <x:c r="E401" s="11" t="n">
        <x:v>0.00038455310277633333</x:v>
      </x:c>
      <x:c r="F401" s="11" t="n">
        <x:v>0.4416873455047607</x:v>
      </x:c>
      <x:c r="G401" s="13" t="n">
        <x:v>1</x:v>
      </x:c>
      <x:c r="H401" s="11" t="n">
        <x:v>0.2675332427024841</x:v>
      </x:c>
      <x:c r="I401" s="11" t="n">
        <x:v>0.3891750574111938</x:v>
      </x:c>
      <x:c r="J401" s="24" t="n">
        <x:v>141.35992288775742</x:v>
      </x:c>
      <x:c r="K401" s="24" t="n">
        <x:v>167.2591848373413</x:v>
      </x:c>
      <x:c r="L401" s="11" t="n">
        <x:v>0.9652605652809144</x:v>
      </x:c>
      <x:c r="M401" s="11" t="n">
        <x:v>0.0999332070350647</x:v>
      </x:c>
    </x:row>
    <x:row r="402" ht="22" customHeight="1">
      <x:c r="A402" s="17" t="str">
        <x:f>"04196800"</x:f>
        <x:v>04196800</x:v>
      </x:c>
      <x:c r="B402" s="13" t="n">
        <x:v>42</x:v>
      </x:c>
      <x:c r="C402" s="22" t="b">
        <x:v>1</x:v>
      </x:c>
      <x:c r="D402" s="11" t="n">
        <x:v>0.022277227602899033</x:v>
      </x:c>
      <x:c r="E402" s="11" t="n">
        <x:v>0.0004786947101819666</x:v>
      </x:c>
      <x:c r="F402" s="11" t="n">
        <x:v>0.3514851629734039</x:v>
      </x:c>
      <x:c r="G402" s="13" t="n">
        <x:v>10</x:v>
      </x:c>
      <x:c r="H402" s="11" t="n">
        <x:v>0.3318780958652496</x:v>
      </x:c>
      <x:c r="I402" s="11" t="n">
        <x:v>0.3318780958652496</x:v>
      </x:c>
      <x:c r="J402" s="24" t="n">
        <x:v>143.96742408163846</x:v>
      </x:c>
      <x:c r="K402" s="24" t="n">
        <x:v>159.0325231552124</x:v>
      </x:c>
      <x:c r="L402" s="11" t="n">
        <x:v>0.3514851629734039</x:v>
      </x:c>
      <x:c r="M402" s="11" t="n">
        <x:v>0.0999393239617347</x:v>
      </x:c>
    </x:row>
    <x:row r="403" ht="22" customHeight="1">
      <x:c r="A403" s="17" t="str">
        <x:f>"04196800"</x:f>
        <x:v>04196800</x:v>
      </x:c>
      <x:c r="B403" s="13" t="n">
        <x:v>42</x:v>
      </x:c>
      <x:c r="C403" s="22" t="b">
        <x:v>0</x:v>
      </x:c>
      <x:c r="D403" s="11" t="n">
        <x:v>0.028122415145238167</x:v>
      </x:c>
      <x:c r="E403" s="11" t="n">
        <x:v>0.00020914291720443333</x:v>
      </x:c>
      <x:c r="F403" s="11" t="n">
        <x:v>0.5806451439857483</x:v>
      </x:c>
      <x:c r="G403" s="13" t="n">
        <x:v>4</x:v>
      </x:c>
      <x:c r="H403" s="11" t="n">
        <x:v>0.7775380611419678</x:v>
      </x:c>
      <x:c r="I403" s="11" t="n">
        <x:v>0.8175215721130371</x:v>
      </x:c>
      <x:c r="J403" s="24" t="n">
        <x:v>140.36414551362395</x:v>
      </x:c>
      <x:c r="K403" s="24" t="n">
        <x:v>165.30066657066345</x:v>
      </x:c>
      <x:c r="L403" s="11" t="n">
        <x:v>0.7866004705429077</x:v>
      </x:c>
      <x:c r="M403" s="11" t="n">
        <x:v>0.0999332070350647</x:v>
      </x:c>
    </x:row>
    <x:row r="404" ht="22" customHeight="1">
      <x:c r="A404" s="17" t="str">
        <x:f>"04197100"</x:f>
        <x:v>04197100</x:v>
      </x:c>
      <x:c r="B404" s="13" t="n">
        <x:v>42</x:v>
      </x:c>
      <x:c r="C404" s="22" t="b">
        <x:v>1</x:v>
      </x:c>
      <x:c r="D404" s="11" t="n">
        <x:v>0.024752475321292832</x:v>
      </x:c>
      <x:c r="E404" s="11" t="n">
        <x:v>0.00044498382097416666</x:v>
      </x:c>
      <x:c r="F404" s="11" t="n">
        <x:v>0.3886138498783111</x:v>
      </x:c>
      <x:c r="G404" s="13" t="n">
        <x:v>3</x:v>
      </x:c>
      <x:c r="H404" s="11" t="n">
        <x:v>0.5830514430999756</x:v>
      </x:c>
      <x:c r="I404" s="11" t="n">
        <x:v>0.5918033123016357</x:v>
      </x:c>
      <x:c r="J404" s="24" t="n">
        <x:v>141.3069064952433</x:v>
      </x:c>
      <x:c r="K404" s="24" t="n">
        <x:v>159.51355981826782</x:v>
      </x:c>
      <x:c r="L404" s="11" t="n">
        <x:v>0.7574257254600525</x:v>
      </x:c>
      <x:c r="M404" s="11" t="n">
        <x:v>0.0999393239617347</x:v>
      </x:c>
    </x:row>
    <x:row r="405" ht="22" customHeight="1">
      <x:c r="A405" s="17" t="str">
        <x:f>"04197100"</x:f>
        <x:v>04197100</x:v>
      </x:c>
      <x:c r="B405" s="13" t="n">
        <x:v>42</x:v>
      </x:c>
      <x:c r="C405" s="22" t="b">
        <x:v>0</x:v>
      </x:c>
      <x:c r="D405" s="11" t="n">
        <x:v>0.026468155905604297</x:v>
      </x:c>
      <x:c r="E405" s="11" t="n">
        <x:v>0.0003508203856957</x:v>
      </x:c>
      <x:c r="F405" s="11" t="n">
        <x:v>0.518610417842865</x:v>
      </x:c>
      <x:c r="G405" s="13" t="n">
        <x:v>7</x:v>
      </x:c>
      <x:c r="H405" s="11" t="n">
        <x:v>0.960405707359314</x:v>
      </x:c>
      <x:c r="I405" s="11" t="n">
        <x:v>0.97564035654068</x:v>
      </x:c>
      <x:c r="J405" s="24" t="n">
        <x:v>143.28874563332647</x:v>
      </x:c>
      <x:c r="K405" s="24" t="n">
        <x:v>160.66431427001953</x:v>
      </x:c>
      <x:c r="L405" s="11" t="n">
        <x:v>0.6228287816047668</x:v>
      </x:c>
      <x:c r="M405" s="11" t="n">
        <x:v>0.0999332070350647</x:v>
      </x:c>
    </x:row>
    <x:row r="406" ht="22" customHeight="1">
      <x:c r="A406" s="17" t="str">
        <x:f>"04213000"</x:f>
        <x:v>04213000</x:v>
      </x:c>
      <x:c r="B406" s="13" t="n">
        <x:v>42</x:v>
      </x:c>
      <x:c r="C406" s="22" t="b">
        <x:v>1</x:v>
      </x:c>
      <x:c r="D406" s="11" t="n">
        <x:v>0.03300330167015386</x:v>
      </x:c>
      <x:c r="E406" s="11" t="n">
        <x:v>0.0002427184517727667</x:v>
      </x:c>
      <x:c r="F406" s="11" t="n">
        <x:v>0.4678217768669128</x:v>
      </x:c>
      <x:c r="G406" s="13" t="n">
        <x:v>8</x:v>
      </x:c>
      <x:c r="H406" s="11" t="n">
        <x:v>0.3860243260860443</x:v>
      </x:c>
      <x:c r="I406" s="11" t="n">
        <x:v>0.4045204818248749</x:v>
      </x:c>
      <x:c r="J406" s="24" t="n">
        <x:v>144.80916559882462</x:v>
      </x:c>
      <x:c r="K406" s="24" t="n">
        <x:v>165.22152376174927</x:v>
      </x:c>
      <x:c r="L406" s="11" t="n">
        <x:v>0.5173267126083374</x:v>
      </x:c>
      <x:c r="M406" s="11" t="n">
        <x:v>0.0999393239617347</x:v>
      </x:c>
    </x:row>
    <x:row r="407" ht="22" customHeight="1">
      <x:c r="A407" s="17" t="str">
        <x:f>"04213000"</x:f>
        <x:v>04213000</x:v>
      </x:c>
      <x:c r="B407" s="13" t="n">
        <x:v>42</x:v>
      </x:c>
      <x:c r="C407" s="22" t="b">
        <x:v>0</x:v>
      </x:c>
      <x:c r="D407" s="11" t="n">
        <x:v>0.0355665832757949</x:v>
      </x:c>
      <x:c r="E407" s="11" t="n">
        <x:v>0.0004655116548140667</x:v>
      </x:c>
      <x:c r="F407" s="11" t="n">
        <x:v>0.5334987640380859</x:v>
      </x:c>
      <x:c r="G407" s="13" t="n">
        <x:v>5</x:v>
      </x:c>
      <x:c r="H407" s="11" t="n">
        <x:v>0.5307990312576294</x:v>
      </x:c>
      <x:c r="I407" s="11" t="n">
        <x:v>0.5652943253517151</x:v>
      </x:c>
      <x:c r="J407" s="24" t="n">
        <x:v>139.07743987161666</x:v>
      </x:c>
      <x:c r="K407" s="24" t="n">
        <x:v>163.8437123298645</x:v>
      </x:c>
      <x:c r="L407" s="11" t="n">
        <x:v>0.7419354915618896</x:v>
      </x:c>
      <x:c r="M407" s="11" t="n">
        <x:v>0.0999332070350647</x:v>
      </x:c>
    </x:row>
    <x:row r="408" ht="22" customHeight="1">
      <x:c r="A408" s="17" t="str">
        <x:f>"04216418"</x:f>
        <x:v>04216418</x:v>
      </x:c>
      <x:c r="B408" s="13" t="n">
        <x:v>42</x:v>
      </x:c>
      <x:c r="C408" s="22" t="b">
        <x:v>1</x:v>
      </x:c>
      <x:c r="D408" s="11" t="n">
        <x:v>0.03547854845722513</x:v>
      </x:c>
      <x:c r="E408" s="11" t="n">
        <x:v>0.0003573354964221667</x:v>
      </x:c>
      <x:c r="F408" s="11" t="n">
        <x:v>0.4925742447376251</x:v>
      </x:c>
      <x:c r="G408" s="13" t="n">
        <x:v>5</x:v>
      </x:c>
      <x:c r="H408" s="11" t="n">
        <x:v>0.6565314531326294</x:v>
      </x:c>
      <x:c r="I408" s="11" t="n">
        <x:v>0.6686431169509888</x:v>
      </x:c>
      <x:c r="J408" s="24" t="n">
        <x:v>140.0682278154418</x:v>
      </x:c>
      <x:c r="K408" s="24" t="n">
        <x:v>156.60265469551086</x:v>
      </x:c>
      <x:c r="L408" s="11" t="n">
        <x:v>0.6930692791938782</x:v>
      </x:c>
      <x:c r="M408" s="11" t="n">
        <x:v>0.0999393239617347</x:v>
      </x:c>
    </x:row>
    <x:row r="409" ht="22" customHeight="1">
      <x:c r="A409" s="17" t="str">
        <x:f>"04216418"</x:f>
        <x:v>04216418</x:v>
      </x:c>
      <x:c r="B409" s="13" t="n">
        <x:v>42</x:v>
      </x:c>
      <x:c r="C409" s="22" t="b">
        <x:v>0</x:v>
      </x:c>
      <x:c r="D409" s="11" t="n">
        <x:v>0.0496277920901775</x:v>
      </x:c>
      <x:c r="E409" s="11" t="n">
        <x:v>0.00036431346476693333</x:v>
      </x:c>
      <x:c r="F409" s="11" t="n">
        <x:v>0.5012406706809998</x:v>
      </x:c>
      <x:c r="G409" s="13" t="n">
        <x:v>8</x:v>
      </x:c>
      <x:c r="H409" s="11" t="n">
        <x:v>0.8089481592178345</x:v>
      </x:c>
      <x:c r="I409" s="11" t="n">
        <x:v>0.8346078991889954</x:v>
      </x:c>
      <x:c r="J409" s="24" t="n">
        <x:v>140.5102652683854</x:v>
      </x:c>
      <x:c r="K409" s="24" t="n">
        <x:v>160.07117986679077</x:v>
      </x:c>
      <x:c r="L409" s="11" t="n">
        <x:v>0.5682381987571716</x:v>
      </x:c>
      <x:c r="M409" s="11" t="n">
        <x:v>0.0999332070350647</x:v>
      </x:c>
    </x:row>
    <x:row r="410" ht="22" customHeight="1">
      <x:c r="A410" s="17" t="str">
        <x:f>"04221000"</x:f>
        <x:v>04221000</x:v>
      </x:c>
      <x:c r="B410" s="13" t="n">
        <x:v>42</x:v>
      </x:c>
      <x:c r="C410" s="22" t="b">
        <x:v>1</x:v>
      </x:c>
      <x:c r="D410" s="11" t="n">
        <x:v>0.028052805612484532</x:v>
      </x:c>
      <x:c r="E410" s="11" t="n">
        <x:v>0.0004854369035456</x:v>
      </x:c>
      <x:c r="F410" s="11" t="n">
        <x:v>0.4108910858631134</x:v>
      </x:c>
      <x:c r="G410" s="13" t="n">
        <x:v>3</x:v>
      </x:c>
      <x:c r="H410" s="11" t="n">
        <x:v>0.4295038282871246</x:v>
      </x:c>
      <x:c r="I410" s="11" t="n">
        <x:v>0.4494950175285339</x:v>
      </x:c>
      <x:c r="J410" s="24" t="n">
        <x:v>139.23526648059487</x:v>
      </x:c>
      <x:c r="K410" s="24" t="n">
        <x:v>154.65249252319336</x:v>
      </x:c>
      <x:c r="L410" s="11" t="n">
        <x:v>0.8242574334144592</x:v>
      </x:c>
      <x:c r="M410" s="11" t="n">
        <x:v>0.0999393239617347</x:v>
      </x:c>
    </x:row>
    <x:row r="411" ht="22" customHeight="1">
      <x:c r="A411" s="17" t="str">
        <x:f>"04221000"</x:f>
        <x:v>04221000</x:v>
      </x:c>
      <x:c r="B411" s="13" t="n">
        <x:v>42</x:v>
      </x:c>
      <x:c r="C411" s="22" t="b">
        <x:v>0</x:v>
      </x:c>
      <x:c r="D411" s="11" t="n">
        <x:v>0.04797353222966189</x:v>
      </x:c>
      <x:c r="E411" s="11" t="n">
        <x:v>0.00022938256248980002</x:v>
      </x:c>
      <x:c r="F411" s="11" t="n">
        <x:v>0.5880893468856812</x:v>
      </x:c>
      <x:c r="G411" s="13" t="n">
        <x:v>1</x:v>
      </x:c>
      <x:c r="H411" s="11" t="n">
        <x:v>0.678222119808197</x:v>
      </x:c>
      <x:c r="I411" s="11" t="n">
        <x:v>0.7164481282234192</x:v>
      </x:c>
      <x:c r="J411" s="24" t="n">
        <x:v>143.11600478272885</x:v>
      </x:c>
      <x:c r="K411" s="24" t="n">
        <x:v>175.70504879951477</x:v>
      </x:c>
      <x:c r="L411" s="11" t="n">
        <x:v>0.9900744557380676</x:v>
      </x:c>
      <x:c r="M411" s="11" t="n">
        <x:v>0.0999332070350647</x:v>
      </x:c>
    </x:row>
    <x:row r="412" ht="22" customHeight="1">
      <x:c r="A412" s="17" t="str">
        <x:f>"04224775"</x:f>
        <x:v>04224775</x:v>
      </x:c>
      <x:c r="B412" s="13" t="n">
        <x:v>42</x:v>
      </x:c>
      <x:c r="C412" s="22" t="b">
        <x:v>1</x:v>
      </x:c>
      <x:c r="D412" s="11" t="n">
        <x:v>0.04125412491460633</x:v>
      </x:c>
      <x:c r="E412" s="11" t="n">
        <x:v>0.00035059330790916665</x:v>
      </x:c>
      <x:c r="F412" s="11" t="n">
        <x:v>0.396039605140686</x:v>
      </x:c>
      <x:c r="G412" s="13" t="n">
        <x:v>5</x:v>
      </x:c>
      <x:c r="H412" s="11" t="n">
        <x:v>0.5801167488098145</x:v>
      </x:c>
      <x:c r="I412" s="11" t="n">
        <x:v>0.5980434417724609</x:v>
      </x:c>
      <x:c r="J412" s="24" t="n">
        <x:v>137.13889412675053</x:v>
      </x:c>
      <x:c r="K412" s="24" t="n">
        <x:v>151.45574164390564</x:v>
      </x:c>
      <x:c r="L412" s="11" t="n">
        <x:v>0.5816831588745117</x:v>
      </x:c>
      <x:c r="M412" s="11" t="n">
        <x:v>0.0999393239617347</x:v>
      </x:c>
    </x:row>
    <x:row r="413" ht="22" customHeight="1">
      <x:c r="A413" s="17" t="str">
        <x:f>"04224775"</x:f>
        <x:v>04224775</x:v>
      </x:c>
      <x:c r="B413" s="13" t="n">
        <x:v>42</x:v>
      </x:c>
      <x:c r="C413" s="22" t="b">
        <x:v>0</x:v>
      </x:c>
      <x:c r="D413" s="11" t="n">
        <x:v>0.037220843757192236</x:v>
      </x:c>
      <x:c r="E413" s="11" t="n">
        <x:v>0.0005127374703685</x:v>
      </x:c>
      <x:c r="F413" s="11" t="n">
        <x:v>0.4193548262119293</x:v>
      </x:c>
      <x:c r="G413" s="13" t="n">
        <x:v>2</x:v>
      </x:c>
      <x:c r="H413" s="11" t="n">
        <x:v>0.8568388819694519</x:v>
      </x:c>
      <x:c r="I413" s="11" t="n">
        <x:v>0.8881997466087341</x:v>
      </x:c>
      <x:c r="J413" s="24" t="n">
        <x:v>138.29518862534314</x:v>
      </x:c>
      <x:c r="K413" s="24" t="n">
        <x:v>157.50253772735596</x:v>
      </x:c>
      <x:c r="L413" s="11" t="n">
        <x:v>0.8610422015190125</x:v>
      </x:c>
      <x:c r="M413" s="11" t="n">
        <x:v>0.0999332070350647</x:v>
      </x:c>
    </x:row>
    <x:row r="414" ht="22" customHeight="1">
      <x:c r="A414" s="17" t="str">
        <x:f>"04256000"</x:f>
        <x:v>04256000</x:v>
      </x:c>
      <x:c r="B414" s="13" t="n">
        <x:v>42</x:v>
      </x:c>
      <x:c r="C414" s="22" t="b">
        <x:v>1</x:v>
      </x:c>
      <x:c r="D414" s="11" t="n">
        <x:v>0.02722772272924577</x:v>
      </x:c>
      <x:c r="E414" s="11" t="n">
        <x:v>0.0004989212611689666</x:v>
      </x:c>
      <x:c r="F414" s="11" t="n">
        <x:v>0.4430693089962005</x:v>
      </x:c>
      <x:c r="G414" s="13" t="n">
        <x:v>4</x:v>
      </x:c>
      <x:c r="H414" s="11" t="n">
        <x:v>0.1903501749038696</x:v>
      </x:c>
      <x:c r="I414" s="11" t="n">
        <x:v>0.1976941525936126</x:v>
      </x:c>
      <x:c r="J414" s="24" t="n">
        <x:v>144.39643273688853</x:v>
      </x:c>
      <x:c r="K414" s="24" t="n">
        <x:v>160.48084449768066</x:v>
      </x:c>
      <x:c r="L414" s="11" t="n">
        <x:v>0.7178217768669128</x:v>
      </x:c>
      <x:c r="M414" s="11" t="n">
        <x:v>0.0999393239617347</x:v>
      </x:c>
    </x:row>
    <x:row r="415" ht="22" customHeight="1">
      <x:c r="A415" s="17" t="str">
        <x:f>"04256000"</x:f>
        <x:v>04256000</x:v>
      </x:c>
      <x:c r="B415" s="13" t="n">
        <x:v>42</x:v>
      </x:c>
      <x:c r="C415" s="22" t="b">
        <x:v>0</x:v>
      </x:c>
      <x:c r="D415" s="11" t="n">
        <x:v>0.048800662159919704</x:v>
      </x:c>
      <x:c r="E415" s="11" t="n">
        <x:v>0.0003373272872218667</x:v>
      </x:c>
      <x:c r="F415" s="11" t="n">
        <x:v>0.6129032373428345</x:v>
      </x:c>
      <x:c r="G415" s="13" t="n">
        <x:v>8</x:v>
      </x:c>
      <x:c r="H415" s="11" t="n">
        <x:v>0.2855423390865326</x:v>
      </x:c>
      <x:c r="I415" s="11" t="n">
        <x:v>0.3215049505233764</x:v>
      </x:c>
      <x:c r="J415" s="24" t="n">
        <x:v>142.47609214205295</x:v>
      </x:c>
      <x:c r="K415" s="24" t="n">
        <x:v>166.316073179245</x:v>
      </x:c>
      <x:c r="L415" s="11" t="n">
        <x:v>0.6426799297332764</x:v>
      </x:c>
      <x:c r="M415" s="11" t="n">
        <x:v>0.0999332070350647</x:v>
      </x:c>
    </x:row>
    <x:row r="416" ht="22" customHeight="1">
      <x:c r="A416" s="17" t="str">
        <x:f>"04296000"</x:f>
        <x:v>04296000</x:v>
      </x:c>
      <x:c r="B416" s="13" t="n">
        <x:v>42</x:v>
      </x:c>
      <x:c r="C416" s="22" t="b">
        <x:v>1</x:v>
      </x:c>
      <x:c r="D416" s="11" t="n">
        <x:v>0.020627062767744033</x:v>
      </x:c>
      <x:c r="E416" s="11" t="n">
        <x:v>0.0003977885644416333</x:v>
      </x:c>
      <x:c r="F416" s="11" t="n">
        <x:v>0.4108910858631134</x:v>
      </x:c>
      <x:c r="G416" s="13" t="n">
        <x:v>2</x:v>
      </x:c>
      <x:c r="H416" s="11" t="n">
        <x:v>0.2016006112098693</x:v>
      </x:c>
      <x:c r="I416" s="11" t="n">
        <x:v>0.2182327359914779</x:v>
      </x:c>
      <x:c r="J416" s="24" t="n">
        <x:v>142.66566182859242</x:v>
      </x:c>
      <x:c r="K416" s="24" t="n">
        <x:v>165.06594157218933</x:v>
      </x:c>
      <x:c r="L416" s="11" t="n">
        <x:v>0.8514851331710815</x:v>
      </x:c>
      <x:c r="M416" s="11" t="n">
        <x:v>0.0999393239617347</x:v>
      </x:c>
    </x:row>
    <x:row r="417" ht="22" customHeight="1">
      <x:c r="A417" s="17" t="str">
        <x:f>"04296000"</x:f>
        <x:v>04296000</x:v>
      </x:c>
      <x:c r="B417" s="13" t="n">
        <x:v>42</x:v>
      </x:c>
      <x:c r="C417" s="22" t="b">
        <x:v>0</x:v>
      </x:c>
      <x:c r="D417" s="11" t="n">
        <x:v>0.0446650125086307</x:v>
      </x:c>
      <x:c r="E417" s="11" t="n">
        <x:v>0.0002158894640160333</x:v>
      </x:c>
      <x:c r="F417" s="11" t="n">
        <x:v>0.5880893468856812</x:v>
      </x:c>
      <x:c r="G417" s="13" t="n">
        <x:v>8</x:v>
      </x:c>
      <x:c r="H417" s="11" t="n">
        <x:v>0.4915518760681152</x:v>
      </x:c>
      <x:c r="I417" s="11" t="n">
        <x:v>0.5822999477386475</x:v>
      </x:c>
      <x:c r="J417" s="24" t="n">
        <x:v>140.69114899542183</x:v>
      </x:c>
      <x:c r="K417" s="24" t="n">
        <x:v>160.78063011169434</x:v>
      </x:c>
      <x:c r="L417" s="11" t="n">
        <x:v>0.6302729249000549</x:v>
      </x:c>
      <x:c r="M417" s="11" t="n">
        <x:v>0.0999332070350647</x:v>
      </x:c>
    </x:row>
    <x:row r="418" ht="22" customHeight="1">
      <x:c r="A418" s="17" t="str">
        <x:f>"05056000"</x:f>
        <x:v>05056000</x:v>
      </x:c>
      <x:c r="B418" s="13" t="n">
        <x:v>42</x:v>
      </x:c>
      <x:c r="C418" s="22" t="b">
        <x:v>1</x:v>
      </x:c>
      <x:c r="D418" s="11" t="n">
        <x:v>0.023102309865256132</x:v>
      </x:c>
      <x:c r="E418" s="11" t="n">
        <x:v>0.0002629449882078501</x:v>
      </x:c>
      <x:c r="F418" s="11" t="n">
        <x:v>0.3267326653003692</x:v>
      </x:c>
      <x:c r="G418" s="13" t="n">
        <x:v>9</x:v>
      </x:c>
      <x:c r="H418" s="11" t="n">
        <x:v>0.0706101283431053</x:v>
      </x:c>
      <x:c r="I418" s="11" t="n">
        <x:v>0.0834626704454422</x:v>
      </x:c>
      <x:c r="J418" s="24" t="n">
        <x:v>138.15159245859832</x:v>
      </x:c>
      <x:c r="K418" s="24" t="n">
        <x:v>150.12347650527954</x:v>
      </x:c>
      <x:c r="L418" s="11" t="n">
        <x:v>0.3539603948593139</x:v>
      </x:c>
      <x:c r="M418" s="11" t="n">
        <x:v>0.0999393239617347</x:v>
      </x:c>
    </x:row>
    <x:row r="419" ht="22" customHeight="1">
      <x:c r="A419" s="17" t="str">
        <x:f>"05056000"</x:f>
        <x:v>05056000</x:v>
      </x:c>
      <x:c r="B419" s="13" t="n">
        <x:v>42</x:v>
      </x:c>
      <x:c r="C419" s="22" t="b">
        <x:v>0</x:v>
      </x:c>
      <x:c r="D419" s="11" t="n">
        <x:v>0.03143093424538763</x:v>
      </x:c>
      <x:c r="E419" s="11" t="n">
        <x:v>0.0004452720168046334</x:v>
      </x:c>
      <x:c r="F419" s="11" t="n">
        <x:v>0.4689826369285583</x:v>
      </x:c>
      <x:c r="G419" s="13" t="n">
        <x:v>5</x:v>
      </x:c>
      <x:c r="H419" s="11" t="n">
        <x:v>1.4287186861038208</x:v>
      </x:c>
      <x:c r="I419" s="11" t="n">
        <x:v>1.4696145057678225</x:v>
      </x:c>
      <x:c r="J419" s="24" t="n">
        <x:v>141.19326931983232</x:v>
      </x:c>
      <x:c r="K419" s="24" t="n">
        <x:v>161.63283014297485</x:v>
      </x:c>
      <x:c r="L419" s="11" t="n">
        <x:v>0.7220843434333801</x:v>
      </x:c>
      <x:c r="M419" s="11" t="n">
        <x:v>0.0999332070350647</x:v>
      </x:c>
    </x:row>
    <x:row r="420" ht="22" customHeight="1">
      <x:c r="A420" s="17" t="str">
        <x:f>"05057000"</x:f>
        <x:v>05057000</x:v>
      </x:c>
      <x:c r="B420" s="13" t="n">
        <x:v>42</x:v>
      </x:c>
      <x:c r="C420" s="22" t="b">
        <x:v>1</x:v>
      </x:c>
      <x:c r="D420" s="11" t="n">
        <x:v>0.016501649903754332</x:v>
      </x:c>
      <x:c r="E420" s="11" t="n">
        <x:v>0.0004045307481040333</x:v>
      </x:c>
      <x:c r="F420" s="11" t="n">
        <x:v>0.3242574334144592</x:v>
      </x:c>
      <x:c r="G420" s="13" t="n">
        <x:v>7</x:v>
      </x:c>
      <x:c r="H420" s="11" t="n">
        <x:v>0.0370686799287796</x:v>
      </x:c>
      <x:c r="I420" s="11" t="n">
        <x:v>0.0445380918681621</x:v>
      </x:c>
      <x:c r="J420" s="24" t="n">
        <x:v>139.97952771466225</x:v>
      </x:c>
      <x:c r="K420" s="24" t="n">
        <x:v>153.94712281227112</x:v>
      </x:c>
      <x:c r="L420" s="11" t="n">
        <x:v>0.4653465449810028</x:v>
      </x:c>
      <x:c r="M420" s="11" t="n">
        <x:v>0.0999393239617347</x:v>
      </x:c>
    </x:row>
    <x:row r="421" ht="22" customHeight="1">
      <x:c r="A421" s="17" t="str">
        <x:f>"05057000"</x:f>
        <x:v>05057000</x:v>
      </x:c>
      <x:c r="B421" s="13" t="n">
        <x:v>42</x:v>
      </x:c>
      <x:c r="C421" s="22" t="b">
        <x:v>0</x:v>
      </x:c>
      <x:c r="D421" s="11" t="n">
        <x:v>0.029776675005753764</x:v>
      </x:c>
      <x:c r="E421" s="11" t="n">
        <x:v>0.0004924978323591</x:v>
      </x:c>
      <x:c r="F421" s="11" t="n">
        <x:v>0.5210918188095093</x:v>
      </x:c>
      <x:c r="G421" s="13" t="n">
        <x:v>8</x:v>
      </x:c>
      <x:c r="H421" s="11" t="n">
        <x:v>0.5312305688858032</x:v>
      </x:c>
      <x:c r="I421" s="11" t="n">
        <x:v>0.5920301675796509</x:v>
      </x:c>
      <x:c r="J421" s="24" t="n">
        <x:v>136.281693642959</x:v>
      </x:c>
      <x:c r="K421" s="24" t="n">
        <x:v>152.76944828033447</x:v>
      </x:c>
      <x:c r="L421" s="11" t="n">
        <x:v>0.5905707478523254</x:v>
      </x:c>
      <x:c r="M421" s="11" t="n">
        <x:v>0.0999332070350647</x:v>
      </x:c>
    </x:row>
    <x:row r="422" ht="22" customHeight="1">
      <x:c r="A422" s="17" t="str">
        <x:f>"05057200"</x:f>
        <x:v>05057200</x:v>
      </x:c>
      <x:c r="B422" s="13" t="n">
        <x:v>42</x:v>
      </x:c>
      <x:c r="C422" s="22" t="b">
        <x:v>1</x:v>
      </x:c>
      <x:c r="D422" s="11" t="n">
        <x:v>0.01897689762214813</x:v>
      </x:c>
      <x:c r="E422" s="11" t="n">
        <x:v>0.0002966558871169667</x:v>
      </x:c>
      <x:c r="F422" s="11" t="n">
        <x:v>0.3663366436958313</x:v>
      </x:c>
      <x:c r="G422" s="13" t="n">
        <x:v>7</x:v>
      </x:c>
      <x:c r="H422" s="11" t="n">
        <x:v>0.3212884068489074</x:v>
      </x:c>
      <x:c r="I422" s="11" t="n">
        <x:v>0.3251287639141083</x:v>
      </x:c>
      <x:c r="J422" s="24" t="n">
        <x:v>139.79950414784253</x:v>
      </x:c>
      <x:c r="K422" s="24" t="n">
        <x:v>154.0303988456726</x:v>
      </x:c>
      <x:c r="L422" s="11" t="n">
        <x:v>0.5</x:v>
      </x:c>
      <x:c r="M422" s="11" t="n">
        <x:v>0.0999393239617347</x:v>
      </x:c>
    </x:row>
    <x:row r="423" ht="22" customHeight="1">
      <x:c r="A423" s="17" t="str">
        <x:f>"05057200"</x:f>
        <x:v>05057200</x:v>
      </x:c>
      <x:c r="B423" s="13" t="n">
        <x:v>42</x:v>
      </x:c>
      <x:c r="C423" s="22" t="b">
        <x:v>0</x:v>
      </x:c>
      <x:c r="D423" s="11" t="n">
        <x:v>0.03556658389667663</x:v>
      </x:c>
      <x:c r="E423" s="11" t="n">
        <x:v>0.0006071891208799667</x:v>
      </x:c>
      <x:c r="F423" s="11" t="n">
        <x:v>0.5359801650047302</x:v>
      </x:c>
      <x:c r="G423" s="13" t="n">
        <x:v>10</x:v>
      </x:c>
      <x:c r="H423" s="11" t="n">
        <x:v>1.6172422170639038</x:v>
      </x:c>
      <x:c r="I423" s="11" t="n">
        <x:v>1.6172422170639038</x:v>
      </x:c>
      <x:c r="J423" s="24" t="n">
        <x:v>138.62070729304105</x:v>
      </x:c>
      <x:c r="K423" s="24" t="n">
        <x:v>154.63773131370544</x:v>
      </x:c>
      <x:c r="L423" s="11" t="n">
        <x:v>0.5359801650047302</x:v>
      </x:c>
      <x:c r="M423" s="11" t="n">
        <x:v>0.0999332070350647</x:v>
      </x:c>
    </x:row>
    <x:row r="424" ht="22" customHeight="1">
      <x:c r="A424" s="17" t="str">
        <x:f>"05120500"</x:f>
        <x:v>05120500</x:v>
      </x:c>
      <x:c r="B424" s="13" t="n">
        <x:v>42</x:v>
      </x:c>
      <x:c r="C424" s="22" t="b">
        <x:v>1</x:v>
      </x:c>
      <x:c r="D424" s="11" t="n">
        <x:v>0.028052805612484567</x:v>
      </x:c>
      <x:c r="E424" s="11" t="n">
        <x:v>0.0004112729220650667</x:v>
      </x:c>
      <x:c r="F424" s="11" t="n">
        <x:v>0.3836633563041687</x:v>
      </x:c>
      <x:c r="G424" s="13" t="n">
        <x:v>10</x:v>
      </x:c>
      <x:c r="H424" s="11" t="n">
        <x:v>0.524477481842041</x:v>
      </x:c>
      <x:c r="I424" s="11" t="n">
        <x:v>0.524477481842041</x:v>
      </x:c>
      <x:c r="J424" s="24" t="n">
        <x:v>139.38287285901606</x:v>
      </x:c>
      <x:c r="K424" s="24" t="n">
        <x:v>149.11668848991394</x:v>
      </x:c>
      <x:c r="L424" s="11" t="n">
        <x:v>0.3836633563041687</x:v>
      </x:c>
      <x:c r="M424" s="11" t="n">
        <x:v>0.0999393239617347</x:v>
      </x:c>
    </x:row>
    <x:row r="425" ht="22" customHeight="1">
      <x:c r="A425" s="17" t="str">
        <x:f>"05120500"</x:f>
        <x:v>05120500</x:v>
      </x:c>
      <x:c r="B425" s="13" t="n">
        <x:v>42</x:v>
      </x:c>
      <x:c r="C425" s="22" t="b">
        <x:v>0</x:v>
      </x:c>
      <x:c r="D425" s="11" t="n">
        <x:v>0.03804797368745003</x:v>
      </x:c>
      <x:c r="E425" s="11" t="n">
        <x:v>0.00022263601810353334</x:v>
      </x:c>
      <x:c r="F425" s="11" t="n">
        <x:v>0.5707195997238159</x:v>
      </x:c>
      <x:c r="G425" s="13" t="n">
        <x:v>6</x:v>
      </x:c>
      <x:c r="H425" s="11" t="n">
        <x:v>1.4850867986679075</x:v>
      </x:c>
      <x:c r="I425" s="11" t="n">
        <x:v>1.6598292589187622</x:v>
      </x:c>
      <x:c r="J425" s="24" t="n">
        <x:v>136.79437153600156</x:v>
      </x:c>
      <x:c r="K425" s="24" t="n">
        <x:v>164.09124946594238</x:v>
      </x:c>
      <x:c r="L425" s="11" t="n">
        <x:v>0.6799007654190063</x:v>
      </x:c>
      <x:c r="M425" s="11" t="n">
        <x:v>0.0999332070350647</x:v>
      </x:c>
    </x:row>
    <x:row r="426" ht="22" customHeight="1">
      <x:c r="A426" s="17" t="str">
        <x:f>"05123400"</x:f>
        <x:v>05123400</x:v>
      </x:c>
      <x:c r="B426" s="13" t="n">
        <x:v>42</x:v>
      </x:c>
      <x:c r="C426" s="22" t="b">
        <x:v>1</x:v>
      </x:c>
      <x:c r="D426" s="11" t="n">
        <x:v>0.023927392748494897</x:v>
      </x:c>
      <x:c r="E426" s="11" t="n">
        <x:v>0.00021574973167536667</x:v>
      </x:c>
      <x:c r="F426" s="11" t="n">
        <x:v>0.4084158539772033</x:v>
      </x:c>
      <x:c r="G426" s="13" t="n">
        <x:v>10</x:v>
      </x:c>
      <x:c r="H426" s="11" t="n">
        <x:v>0.0562801286578178</x:v>
      </x:c>
      <x:c r="I426" s="11" t="n">
        <x:v>0.0562801286578178</x:v>
      </x:c>
      <x:c r="J426" s="24" t="n">
        <x:v>137.69085796177387</x:v>
      </x:c>
      <x:c r="K426" s="24" t="n">
        <x:v>149.18785190582275</x:v>
      </x:c>
      <x:c r="L426" s="11" t="n">
        <x:v>0.4084158539772033</x:v>
      </x:c>
      <x:c r="M426" s="11" t="n">
        <x:v>0.0999393239617347</x:v>
      </x:c>
    </x:row>
    <x:row r="427" ht="22" customHeight="1">
      <x:c r="A427" s="17" t="str">
        <x:f>"05123400"</x:f>
        <x:v>05123400</x:v>
      </x:c>
      <x:c r="B427" s="13" t="n">
        <x:v>42</x:v>
      </x:c>
      <x:c r="C427" s="22" t="b">
        <x:v>0</x:v>
      </x:c>
      <x:c r="D427" s="11" t="n">
        <x:v>0.048800662159919704</x:v>
      </x:c>
      <x:c r="E427" s="11" t="n">
        <x:v>0.0004992443815959668</x:v>
      </x:c>
      <x:c r="F427" s="11" t="n">
        <x:v>0.555831253528595</x:v>
      </x:c>
      <x:c r="G427" s="13" t="n">
        <x:v>7</x:v>
      </x:c>
      <x:c r="H427" s="11" t="n">
        <x:v>1.5457959175109863</x:v>
      </x:c>
      <x:c r="I427" s="11" t="n">
        <x:v>1.925550103187561</x:v>
      </x:c>
      <x:c r="J427" s="24" t="n">
        <x:v>139.56023023556918</x:v>
      </x:c>
      <x:c r="K427" s="24" t="n">
        <x:v>166.79098463058472</x:v>
      </x:c>
      <x:c r="L427" s="11" t="n">
        <x:v>0.6327543258666992</x:v>
      </x:c>
      <x:c r="M427" s="11" t="n">
        <x:v>0.0999332070350647</x:v>
      </x:c>
    </x:row>
    <x:row r="428" ht="22" customHeight="1">
      <x:c r="A428" s="17" t="str">
        <x:f>"05129115"</x:f>
        <x:v>05129115</x:v>
      </x:c>
      <x:c r="B428" s="13" t="n">
        <x:v>42</x:v>
      </x:c>
      <x:c r="C428" s="22" t="b">
        <x:v>1</x:v>
      </x:c>
      <x:c r="D428" s="11" t="n">
        <x:v>0.011551155320679102</x:v>
      </x:c>
      <x:c r="E428" s="11" t="n">
        <x:v>0.0006135382961171</x:v>
      </x:c>
      <x:c r="F428" s="11" t="n">
        <x:v>0.2004950493574142</x:v>
      </x:c>
      <x:c r="G428" s="13" t="n">
        <x:v>8</x:v>
      </x:c>
      <x:c r="H428" s="11" t="n">
        <x:v>0.0061858897097408</x:v>
      </x:c>
      <x:c r="I428" s="11" t="n">
        <x:v>0.0068799178116023</x:v>
      </x:c>
      <x:c r="J428" s="24" t="n">
        <x:v>142.911355368793</x:v>
      </x:c>
      <x:c r="K428" s="24" t="n">
        <x:v>150.80922031402588</x:v>
      </x:c>
      <x:c r="L428" s="11" t="n">
        <x:v>0.2623762488365173</x:v>
      </x:c>
      <x:c r="M428" s="11" t="n">
        <x:v>0.0999393239617347</x:v>
      </x:c>
    </x:row>
    <x:row r="429" ht="22" customHeight="1">
      <x:c r="A429" s="17" t="str">
        <x:f>"05129115"</x:f>
        <x:v>05129115</x:v>
      </x:c>
      <x:c r="B429" s="13" t="n">
        <x:v>42</x:v>
      </x:c>
      <x:c r="C429" s="22" t="b">
        <x:v>0</x:v>
      </x:c>
      <x:c r="D429" s="11" t="n">
        <x:v>0.04052936347822343</x:v>
      </x:c>
      <x:c r="E429" s="11" t="n">
        <x:v>0.00043852547726900003</x:v>
      </x:c>
      <x:c r="F429" s="11" t="n">
        <x:v>0.5434243083000183</x:v>
      </x:c>
      <x:c r="G429" s="13" t="n">
        <x:v>9</x:v>
      </x:c>
      <x:c r="H429" s="11" t="n">
        <x:v>0.4469988942146301</x:v>
      </x:c>
      <x:c r="I429" s="11" t="n">
        <x:v>0.5285400748252869</x:v>
      </x:c>
      <x:c r="J429" s="24" t="n">
        <x:v>138.11779623106122</x:v>
      </x:c>
      <x:c r="K429" s="24" t="n">
        <x:v>163.39470529556274</x:v>
      </x:c>
      <x:c r="L429" s="11" t="n">
        <x:v>0.5632754564285278</x:v>
      </x:c>
      <x:c r="M429" s="11" t="n">
        <x:v>0.0999332070350647</x:v>
      </x:c>
    </x:row>
    <x:row r="430" ht="22" customHeight="1">
      <x:c r="A430" s="17" t="str">
        <x:f>"05131500"</x:f>
        <x:v>05131500</x:v>
      </x:c>
      <x:c r="B430" s="13" t="n">
        <x:v>42</x:v>
      </x:c>
      <x:c r="C430" s="22" t="b">
        <x:v>1</x:v>
      </x:c>
      <x:c r="D430" s="11" t="n">
        <x:v>0.023927393058935733</x:v>
      </x:c>
      <x:c r="E430" s="11" t="n">
        <x:v>0.0006742179199742334</x:v>
      </x:c>
      <x:c r="F430" s="11" t="n">
        <x:v>0.301980197429657</x:v>
      </x:c>
      <x:c r="G430" s="13" t="n">
        <x:v>7</x:v>
      </x:c>
      <x:c r="H430" s="11" t="n">
        <x:v>0.0233724229037761</x:v>
      </x:c>
      <x:c r="I430" s="11" t="n">
        <x:v>0.0244555901736021</x:v>
      </x:c>
      <x:c r="J430" s="24" t="n">
        <x:v>141.12105535250157</x:v>
      </x:c>
      <x:c r="K430" s="24" t="n">
        <x:v>154.65776419639587</x:v>
      </x:c>
      <x:c r="L430" s="11" t="n">
        <x:v>0.3935643434524536</x:v>
      </x:c>
      <x:c r="M430" s="11" t="n">
        <x:v>0.0999393239617347</x:v>
      </x:c>
    </x:row>
    <x:row r="431" ht="22" customHeight="1">
      <x:c r="A431" s="17" t="str">
        <x:f>"05131500"</x:f>
        <x:v>05131500</x:v>
      </x:c>
      <x:c r="B431" s="13" t="n">
        <x:v>42</x:v>
      </x:c>
      <x:c r="C431" s="22" t="b">
        <x:v>0</x:v>
      </x:c>
      <x:c r="D431" s="11" t="n">
        <x:v>0.061207609872023234</x:v>
      </x:c>
      <x:c r="E431" s="11" t="n">
        <x:v>0.00039129966171453333</x:v>
      </x:c>
      <x:c r="F431" s="11" t="n">
        <x:v>0.5732010006904602</x:v>
      </x:c>
      <x:c r="G431" s="13" t="n">
        <x:v>1</x:v>
      </x:c>
      <x:c r="H431" s="11" t="n">
        <x:v>0.3920773565769195</x:v>
      </x:c>
      <x:c r="I431" s="11" t="n">
        <x:v>0.5106020569801331</x:v>
      </x:c>
      <x:c r="J431" s="24" t="n">
        <x:v>138.0576122077182</x:v>
      </x:c>
      <x:c r="K431" s="24" t="n">
        <x:v>175.72339916229248</x:v>
      </x:c>
      <x:c r="L431" s="11" t="n">
        <x:v>0.992555856704712</x:v>
      </x:c>
      <x:c r="M431" s="11" t="n">
        <x:v>0.0999332070350647</x:v>
      </x:c>
    </x:row>
    <x:row r="432" ht="22" customHeight="1">
      <x:c r="A432" s="17" t="str">
        <x:f>"05291000"</x:f>
        <x:v>05291000</x:v>
      </x:c>
      <x:c r="B432" s="13" t="n">
        <x:v>42</x:v>
      </x:c>
      <x:c r="C432" s="22" t="b">
        <x:v>1</x:v>
      </x:c>
      <x:c r="D432" s="11" t="n">
        <x:v>0.047029703234632736</x:v>
      </x:c>
      <x:c r="E432" s="11" t="n">
        <x:v>0.0003168824187013333</x:v>
      </x:c>
      <x:c r="F432" s="11" t="n">
        <x:v>0.4183168411254883</x:v>
      </x:c>
      <x:c r="G432" s="13" t="n">
        <x:v>4</x:v>
      </x:c>
      <x:c r="H432" s="11" t="n">
        <x:v>0.2867284715175628</x:v>
      </x:c>
      <x:c r="I432" s="11" t="n">
        <x:v>0.3143379092216491</x:v>
      </x:c>
      <x:c r="J432" s="24" t="n">
        <x:v>135.96184956561774</x:v>
      </x:c>
      <x:c r="K432" s="24" t="n">
        <x:v>153.34974265098572</x:v>
      </x:c>
      <x:c r="L432" s="11" t="n">
        <x:v>0.6806930899620056</x:v>
      </x:c>
      <x:c r="M432" s="11" t="n">
        <x:v>0.0999393239617347</x:v>
      </x:c>
    </x:row>
    <x:row r="433" ht="22" customHeight="1">
      <x:c r="A433" s="17" t="str">
        <x:f>"05291000"</x:f>
        <x:v>05291000</x:v>
      </x:c>
      <x:c r="B433" s="13" t="n">
        <x:v>42</x:v>
      </x:c>
      <x:c r="C433" s="22" t="b">
        <x:v>0</x:v>
      </x:c>
      <x:c r="D433" s="11" t="n">
        <x:v>0.05128205070892964</x:v>
      </x:c>
      <x:c r="E433" s="11" t="n">
        <x:v>0.0001349309131910261</x:v>
      </x:c>
      <x:c r="F433" s="11" t="n">
        <x:v>0.4937965273857116</x:v>
      </x:c>
      <x:c r="G433" s="13" t="n">
        <x:v>9</x:v>
      </x:c>
      <x:c r="H433" s="11" t="n">
        <x:v>0.4726129472255707</x:v>
      </x:c>
      <x:c r="I433" s="11" t="n">
        <x:v>0.608851969242096</x:v>
      </x:c>
      <x:c r="J433" s="24" t="n">
        <x:v>141.2530057998374</x:v>
      </x:c>
      <x:c r="K433" s="24" t="n">
        <x:v>163.17438960075378</x:v>
      </x:c>
      <x:c r="L433" s="11" t="n">
        <x:v>0.5434243083000183</x:v>
      </x:c>
      <x:c r="M433" s="11" t="n">
        <x:v>0.0999332070350647</x:v>
      </x:c>
    </x:row>
    <x:row r="434" ht="22" customHeight="1">
      <x:c r="A434" s="17" t="str">
        <x:f>"05362000"</x:f>
        <x:v>05362000</x:v>
      </x:c>
      <x:c r="B434" s="13" t="n">
        <x:v>42</x:v>
      </x:c>
      <x:c r="C434" s="22" t="b">
        <x:v>1</x:v>
      </x:c>
      <x:c r="D434" s="11" t="n">
        <x:v>0.03217821754515167</x:v>
      </x:c>
      <x:c r="E434" s="11" t="n">
        <x:v>0.0006000539481949667</x:v>
      </x:c>
      <x:c r="F434" s="11" t="n">
        <x:v>0.3935643434524536</x:v>
      </x:c>
      <x:c r="G434" s="13" t="n">
        <x:v>9</x:v>
      </x:c>
      <x:c r="H434" s="11" t="n">
        <x:v>0.0262332595884799</x:v>
      </x:c>
      <x:c r="I434" s="11" t="n">
        <x:v>0.0284439101815223</x:v>
      </x:c>
      <x:c r="J434" s="24" t="n">
        <x:v>137.879008051008</x:v>
      </x:c>
      <x:c r="K434" s="24" t="n">
        <x:v>153.15186214447021</x:v>
      </x:c>
      <x:c r="L434" s="11" t="n">
        <x:v>0.4306930601596832</x:v>
      </x:c>
      <x:c r="M434" s="11" t="n">
        <x:v>0.0999393239617347</x:v>
      </x:c>
    </x:row>
    <x:row r="435" ht="22" customHeight="1">
      <x:c r="A435" s="17" t="str">
        <x:f>"05362000"</x:f>
        <x:v>05362000</x:v>
      </x:c>
      <x:c r="B435" s="13" t="n">
        <x:v>42</x:v>
      </x:c>
      <x:c r="C435" s="22" t="b">
        <x:v>0</x:v>
      </x:c>
      <x:c r="D435" s="11" t="n">
        <x:v>0.051282051950693096</x:v>
      </x:c>
      <x:c r="E435" s="11" t="n">
        <x:v>0.00023612910202543334</x:v>
      </x:c>
      <x:c r="F435" s="11" t="n">
        <x:v>0.6327543258666992</x:v>
      </x:c>
      <x:c r="G435" s="13" t="n">
        <x:v>1</x:v>
      </x:c>
      <x:c r="H435" s="11" t="n">
        <x:v>0.2437396645545959</x:v>
      </x:c>
      <x:c r="I435" s="11" t="n">
        <x:v>0.3191339373588562</x:v>
      </x:c>
      <x:c r="J435" s="24" t="n">
        <x:v>138.92285730876029</x:v>
      </x:c>
      <x:c r="K435" s="24" t="n">
        <x:v>183.51401042938232</x:v>
      </x:c>
      <x:c r="L435" s="11" t="n">
        <x:v>0.992555856704712</x:v>
      </x:c>
      <x:c r="M435" s="11" t="n">
        <x:v>0.0999332070350647</x:v>
      </x:c>
    </x:row>
    <x:row r="436" ht="22" customHeight="1">
      <x:c r="A436" s="17" t="str">
        <x:f>"05393500"</x:f>
        <x:v>05393500</x:v>
      </x:c>
      <x:c r="B436" s="13" t="n">
        <x:v>42</x:v>
      </x:c>
      <x:c r="C436" s="22" t="b">
        <x:v>1</x:v>
      </x:c>
      <x:c r="D436" s="11" t="n">
        <x:v>0.023927392748494897</x:v>
      </x:c>
      <x:c r="E436" s="11" t="n">
        <x:v>0.0004382416373118333</x:v>
      </x:c>
      <x:c r="F436" s="11" t="n">
        <x:v>0.4133663475513458</x:v>
      </x:c>
      <x:c r="G436" s="13" t="n">
        <x:v>4</x:v>
      </x:c>
      <x:c r="H436" s="11" t="n">
        <x:v>0.0549271553754806</x:v>
      </x:c>
      <x:c r="I436" s="11" t="n">
        <x:v>0.0658484399318695</x:v>
      </x:c>
      <x:c r="J436" s="24" t="n">
        <x:v>139.03095305431634</x:v>
      </x:c>
      <x:c r="K436" s="24" t="n">
        <x:v>158.41743659973145</x:v>
      </x:c>
      <x:c r="L436" s="11" t="n">
        <x:v>0.7450494766235352</x:v>
      </x:c>
      <x:c r="M436" s="11" t="n">
        <x:v>0.0999393239617347</x:v>
      </x:c>
    </x:row>
    <x:row r="437" ht="22" customHeight="1">
      <x:c r="A437" s="17" t="str">
        <x:f>"05393500"</x:f>
        <x:v>05393500</x:v>
      </x:c>
      <x:c r="B437" s="13" t="n">
        <x:v>42</x:v>
      </x:c>
      <x:c r="C437" s="22" t="b">
        <x:v>0</x:v>
      </x:c>
      <x:c r="D437" s="11" t="n">
        <x:v>0.03970223292708389</x:v>
      </x:c>
      <x:c r="E437" s="11" t="n">
        <x:v>0.0003575669252313333</x:v>
      </x:c>
      <x:c r="F437" s="11" t="n">
        <x:v>0.6004962921142578</x:v>
      </x:c>
      <x:c r="G437" s="13" t="n">
        <x:v>8</x:v>
      </x:c>
      <x:c r="H437" s="11" t="n">
        <x:v>0.2512641251087188</x:v>
      </x:c>
      <x:c r="I437" s="11" t="n">
        <x:v>0.2902218103408813</x:v>
      </x:c>
      <x:c r="J437" s="24" t="n">
        <x:v>142.41110259201378</x:v>
      </x:c>
      <x:c r="K437" s="24" t="n">
        <x:v>165.38093876838684</x:v>
      </x:c>
      <x:c r="L437" s="11" t="n">
        <x:v>0.6526054739952087</x:v>
      </x:c>
      <x:c r="M437" s="11" t="n">
        <x:v>0.0999332070350647</x:v>
      </x:c>
    </x:row>
    <x:row r="438" ht="22" customHeight="1">
      <x:c r="A438" s="17" t="str">
        <x:f>"05399500"</x:f>
        <x:v>05399500</x:v>
      </x:c>
      <x:c r="B438" s="13" t="n">
        <x:v>42</x:v>
      </x:c>
      <x:c r="C438" s="22" t="b">
        <x:v>1</x:v>
      </x:c>
      <x:c r="D438" s="11" t="n">
        <x:v>0.046204621593157434</x:v>
      </x:c>
      <x:c r="E438" s="11" t="n">
        <x:v>0.0006135382864157999</x:v>
      </x:c>
      <x:c r="F438" s="11" t="n">
        <x:v>0.4455445408821106</x:v>
      </x:c>
      <x:c r="G438" s="13" t="n">
        <x:v>4</x:v>
      </x:c>
      <x:c r="H438" s="11" t="n">
        <x:v>0.0915362387895584</x:v>
      </x:c>
      <x:c r="I438" s="11" t="n">
        <x:v>0.1293010413646698</x:v>
      </x:c>
      <x:c r="J438" s="24" t="n">
        <x:v>141.5164331709966</x:v>
      </x:c>
      <x:c r="K438" s="24" t="n">
        <x:v>159.7655735015869</x:v>
      </x:c>
      <x:c r="L438" s="11" t="n">
        <x:v>0.7623762488365173</x:v>
      </x:c>
      <x:c r="M438" s="11" t="n">
        <x:v>0.0999393239617347</x:v>
      </x:c>
    </x:row>
    <x:row r="439" ht="22" customHeight="1">
      <x:c r="A439" s="17" t="str">
        <x:f>"05399500"</x:f>
        <x:v>05399500</x:v>
      </x:c>
      <x:c r="B439" s="13" t="n">
        <x:v>42</x:v>
      </x:c>
      <x:c r="C439" s="22" t="b">
        <x:v>0</x:v>
      </x:c>
      <x:c r="D439" s="11" t="n">
        <x:v>0.04218362333873903</x:v>
      </x:c>
      <x:c r="E439" s="11" t="n">
        <x:v>0.0005127374800697667</x:v>
      </x:c>
      <x:c r="F439" s="11" t="n">
        <x:v>0.4913151264190674</x:v>
      </x:c>
      <x:c r="G439" s="13" t="n">
        <x:v>4</x:v>
      </x:c>
      <x:c r="H439" s="11" t="n">
        <x:v>0.1640028059482574</x:v>
      </x:c>
      <x:c r="I439" s="11" t="n">
        <x:v>0.1855595856904983</x:v>
      </x:c>
      <x:c r="J439" s="24" t="n">
        <x:v>145.31507000606507</x:v>
      </x:c>
      <x:c r="K439" s="24" t="n">
        <x:v>169.79695057868958</x:v>
      </x:c>
      <x:c r="L439" s="11" t="n">
        <x:v>0.7493796348571777</x:v>
      </x:c>
      <x:c r="M439" s="11" t="n">
        <x:v>0.0999332070350647</x:v>
      </x:c>
    </x:row>
    <x:row r="440" ht="22" customHeight="1">
      <x:c r="A440" s="17" t="str">
        <x:f>"05408000"</x:f>
        <x:v>05408000</x:v>
      </x:c>
      <x:c r="B440" s="13" t="n">
        <x:v>42</x:v>
      </x:c>
      <x:c r="C440" s="22" t="b">
        <x:v>1</x:v>
      </x:c>
      <x:c r="D440" s="11" t="n">
        <x:v>0.03217821878691506</x:v>
      </x:c>
      <x:c r="E440" s="11" t="n">
        <x:v>0.0003303667714741</x:v>
      </x:c>
      <x:c r="F440" s="11" t="n">
        <x:v>0.4727722704410553</x:v>
      </x:c>
      <x:c r="G440" s="13" t="n">
        <x:v>10</x:v>
      </x:c>
      <x:c r="H440" s="11" t="n">
        <x:v>4.15754508972168</x:v>
      </x:c>
      <x:c r="I440" s="11" t="n">
        <x:v>4.15754508972168</x:v>
      </x:c>
      <x:c r="J440" s="24" t="n">
        <x:v>143.04718951508403</x:v>
      </x:c>
      <x:c r="K440" s="24" t="n">
        <x:v>162.0090847015381</x:v>
      </x:c>
      <x:c r="L440" s="11" t="n">
        <x:v>0.4727722704410553</x:v>
      </x:c>
      <x:c r="M440" s="11" t="n">
        <x:v>0.0999393239617347</x:v>
      </x:c>
    </x:row>
    <x:row r="441" ht="22" customHeight="1">
      <x:c r="A441" s="17" t="str">
        <x:f>"05408000"</x:f>
        <x:v>05408000</x:v>
      </x:c>
      <x:c r="B441" s="13" t="n">
        <x:v>42</x:v>
      </x:c>
      <x:c r="C441" s="22" t="b">
        <x:v>0</x:v>
      </x:c>
      <x:c r="D441" s="11" t="n">
        <x:v>0.0496277920901775</x:v>
      </x:c>
      <x:c r="E441" s="11" t="n">
        <x:v>0.0002428756512623</x:v>
      </x:c>
      <x:c r="F441" s="11" t="n">
        <x:v>0.5136476159095764</x:v>
      </x:c>
      <x:c r="G441" s="13" t="n">
        <x:v>10</x:v>
      </x:c>
      <x:c r="H441" s="11" t="n">
        <x:v>4.331552982330322</x:v>
      </x:c>
      <x:c r="I441" s="11" t="n">
        <x:v>4.331552982330322</x:v>
      </x:c>
      <x:c r="J441" s="24" t="n">
        <x:v>147.772935917601</x:v>
      </x:c>
      <x:c r="K441" s="24" t="n">
        <x:v>168.47779822349548</x:v>
      </x:c>
      <x:c r="L441" s="11" t="n">
        <x:v>0.5136476159095764</x:v>
      </x:c>
      <x:c r="M441" s="11" t="n">
        <x:v>0.0999332070350647</x:v>
      </x:c>
    </x:row>
    <x:row r="442" ht="22" customHeight="1">
      <x:c r="A442" s="17" t="str">
        <x:f>"05412500"</x:f>
        <x:v>05412500</x:v>
      </x:c>
      <x:c r="B442" s="13" t="n">
        <x:v>42</x:v>
      </x:c>
      <x:c r="C442" s="22" t="b">
        <x:v>1</x:v>
      </x:c>
      <x:c r="D442" s="11" t="n">
        <x:v>0.0090759075246751</x:v>
      </x:c>
      <x:c r="E442" s="11" t="n">
        <x:v>0.0007483818917534999</x:v>
      </x:c>
      <x:c r="F442" s="11" t="n">
        <x:v>0.3094059526920318</x:v>
      </x:c>
      <x:c r="G442" s="13" t="n">
        <x:v>10</x:v>
      </x:c>
      <x:c r="H442" s="11" t="n">
        <x:v>0.3310210406780243</x:v>
      </x:c>
      <x:c r="I442" s="11" t="n">
        <x:v>0.3310210406780243</x:v>
      </x:c>
      <x:c r="J442" s="24" t="n">
        <x:v>148.65942006371915</x:v>
      </x:c>
      <x:c r="K442" s="24" t="n">
        <x:v>159.49559259414673</x:v>
      </x:c>
      <x:c r="L442" s="11" t="n">
        <x:v>0.3094059526920318</x:v>
      </x:c>
      <x:c r="M442" s="11" t="n">
        <x:v>0.0999393239617347</x:v>
      </x:c>
    </x:row>
    <x:row r="443" ht="22" customHeight="1">
      <x:c r="A443" s="17" t="str">
        <x:f>"05412500"</x:f>
        <x:v>05412500</x:v>
      </x:c>
      <x:c r="B443" s="13" t="n">
        <x:v>42</x:v>
      </x:c>
      <x:c r="C443" s="22" t="b">
        <x:v>0</x:v>
      </x:c>
      <x:c r="D443" s="11" t="n">
        <x:v>0.029776674384872037</x:v>
      </x:c>
      <x:c r="E443" s="11" t="n">
        <x:v>0.0002631152844211</x:v>
      </x:c>
      <x:c r="F443" s="11" t="n">
        <x:v>0.503722071647644</x:v>
      </x:c>
      <x:c r="G443" s="13" t="n">
        <x:v>10</x:v>
      </x:c>
      <x:c r="H443" s="11" t="n">
        <x:v>0.6797009706497192</x:v>
      </x:c>
      <x:c r="I443" s="11" t="n">
        <x:v>0.6797009706497192</x:v>
      </x:c>
      <x:c r="J443" s="24" t="n">
        <x:v>142.75132028851658</x:v>
      </x:c>
      <x:c r="K443" s="24" t="n">
        <x:v>158.58068752288818</x:v>
      </x:c>
      <x:c r="L443" s="11" t="n">
        <x:v>0.503722071647644</x:v>
      </x:c>
      <x:c r="M443" s="11" t="n">
        <x:v>0.0999332070350647</x:v>
      </x:c>
    </x:row>
    <x:row r="444" ht="22" customHeight="1">
      <x:c r="A444" s="17" t="str">
        <x:f>"05413500"</x:f>
        <x:v>05413500</x:v>
      </x:c>
      <x:c r="B444" s="13" t="n">
        <x:v>42</x:v>
      </x:c>
      <x:c r="C444" s="22" t="b">
        <x:v>1</x:v>
      </x:c>
      <x:c r="D444" s="11" t="n">
        <x:v>0.03300330042839047</x:v>
      </x:c>
      <x:c r="E444" s="11" t="n">
        <x:v>0.00037081984434426664</x:v>
      </x:c>
      <x:c r="F444" s="11" t="n">
        <x:v>0.3465346395969391</x:v>
      </x:c>
      <x:c r="G444" s="13" t="n">
        <x:v>6</x:v>
      </x:c>
      <x:c r="H444" s="11" t="n">
        <x:v>2.1388819217681885</x:v>
      </x:c>
      <x:c r="I444" s="11" t="n">
        <x:v>2.169182062149048</x:v>
      </x:c>
      <x:c r="J444" s="24" t="n">
        <x:v>143.66421895939857</x:v>
      </x:c>
      <x:c r="K444" s="24" t="n">
        <x:v>157.34823966026306</x:v>
      </x:c>
      <x:c r="L444" s="11" t="n">
        <x:v>0.4603960514068603</x:v>
      </x:c>
      <x:c r="M444" s="11" t="n">
        <x:v>0.0999393239617347</x:v>
      </x:c>
    </x:row>
    <x:row r="445" ht="22" customHeight="1">
      <x:c r="A445" s="17" t="str">
        <x:f>"05413500"</x:f>
        <x:v>05413500</x:v>
      </x:c>
      <x:c r="B445" s="13" t="n">
        <x:v>42</x:v>
      </x:c>
      <x:c r="C445" s="22" t="b">
        <x:v>0</x:v>
      </x:c>
      <x:c r="D445" s="11" t="n">
        <x:v>0.0281224157661199</x:v>
      </x:c>
      <x:c r="E445" s="11" t="n">
        <x:v>0.0002833549175799</x:v>
      </x:c>
      <x:c r="F445" s="11" t="n">
        <x:v>0.4689826369285583</x:v>
      </x:c>
      <x:c r="G445" s="13" t="n">
        <x:v>1</x:v>
      </x:c>
      <x:c r="H445" s="11" t="n">
        <x:v>3.050241231918335</x:v>
      </x:c>
      <x:c r="I445" s="11" t="n">
        <x:v>3.179978847503662</x:v>
      </x:c>
      <x:c r="J445" s="24" t="n">
        <x:v>141.17653147503734</x:v>
      </x:c>
      <x:c r="K445" s="24" t="n">
        <x:v>168.44373106956482</x:v>
      </x:c>
      <x:c r="L445" s="11" t="n">
        <x:v>0.9354838728904724</x:v>
      </x:c>
      <x:c r="M445" s="11" t="n">
        <x:v>0.0999332070350647</x:v>
      </x:c>
    </x:row>
    <x:row r="446" ht="22" customHeight="1">
      <x:c r="A446" s="17" t="str">
        <x:f>"05414000"</x:f>
        <x:v>05414000</x:v>
      </x:c>
      <x:c r="B446" s="13" t="n">
        <x:v>42</x:v>
      </x:c>
      <x:c r="C446" s="22" t="b">
        <x:v>1</x:v>
      </x:c>
      <x:c r="D446" s="11" t="n">
        <x:v>0.017326733097434</x:v>
      </x:c>
      <x:c r="E446" s="11" t="n">
        <x:v>0.0005798273972079667</x:v>
      </x:c>
      <x:c r="F446" s="11" t="n">
        <x:v>0.2673267424106598</x:v>
      </x:c>
      <x:c r="G446" s="13" t="n">
        <x:v>10</x:v>
      </x:c>
      <x:c r="H446" s="11" t="n">
        <x:v>2.861880302429199</x:v>
      </x:c>
      <x:c r="I446" s="11" t="n">
        <x:v>2.861880302429199</x:v>
      </x:c>
      <x:c r="J446" s="24" t="n">
        <x:v>138.986512074247</x:v>
      </x:c>
      <x:c r="K446" s="24" t="n">
        <x:v>150.46175456047058</x:v>
      </x:c>
      <x:c r="L446" s="11" t="n">
        <x:v>0.2673267424106598</x:v>
      </x:c>
      <x:c r="M446" s="11" t="n">
        <x:v>0.0999393239617347</x:v>
      </x:c>
    </x:row>
    <x:row r="447" ht="22" customHeight="1">
      <x:c r="A447" s="17" t="str">
        <x:f>"05414000"</x:f>
        <x:v>05414000</x:v>
      </x:c>
      <x:c r="B447" s="13" t="n">
        <x:v>42</x:v>
      </x:c>
      <x:c r="C447" s="22" t="b">
        <x:v>0</x:v>
      </x:c>
      <x:c r="D447" s="11" t="n">
        <x:v>0.03887510361770783</x:v>
      </x:c>
      <x:c r="E447" s="11" t="n">
        <x:v>0.0002496221907979333</x:v>
      </x:c>
      <x:c r="F447" s="11" t="n">
        <x:v>0.5086848735809326</x:v>
      </x:c>
      <x:c r="G447" s="13" t="n">
        <x:v>8</x:v>
      </x:c>
      <x:c r="H447" s="11" t="n">
        <x:v>3.561733722686768</x:v>
      </x:c>
      <x:c r="I447" s="11" t="n">
        <x:v>3.594115734100342</x:v>
      </x:c>
      <x:c r="J447" s="24" t="n">
        <x:v>139.7263998016715</x:v>
      </x:c>
      <x:c r="K447" s="24" t="n">
        <x:v>156.2602665424347</x:v>
      </x:c>
      <x:c r="L447" s="11" t="n">
        <x:v>0.5533498525619507</x:v>
      </x:c>
      <x:c r="M447" s="11" t="n">
        <x:v>0.0999332070350647</x:v>
      </x:c>
    </x:row>
    <x:row r="448" ht="22" customHeight="1">
      <x:c r="A448" s="17" t="str">
        <x:f>"05444000"</x:f>
        <x:v>05444000</x:v>
      </x:c>
      <x:c r="B448" s="13" t="n">
        <x:v>42</x:v>
      </x:c>
      <x:c r="C448" s="22" t="b">
        <x:v>1</x:v>
      </x:c>
      <x:c r="D448" s="11" t="n">
        <x:v>0.014026402651021832</x:v>
      </x:c>
      <x:c r="E448" s="11" t="n">
        <x:v>0.0003236245926624333</x:v>
      </x:c>
      <x:c r="F448" s="11" t="n">
        <x:v>0.2623762488365173</x:v>
      </x:c>
      <x:c r="G448" s="13" t="n">
        <x:v>1</x:v>
      </x:c>
      <x:c r="H448" s="11" t="n">
        <x:v>0.4247918426990509</x:v>
      </x:c>
      <x:c r="I448" s="11" t="n">
        <x:v>0.4355306923389435</x:v>
      </x:c>
      <x:c r="J448" s="24" t="n">
        <x:v>139.47128515783697</x:v>
      </x:c>
      <x:c r="K448" s="24" t="n">
        <x:v>160.18991112709045</x:v>
      </x:c>
      <x:c r="L448" s="11" t="n">
        <x:v>0.9356435537338256</x:v>
      </x:c>
      <x:c r="M448" s="11" t="n">
        <x:v>0.0999393239617347</x:v>
      </x:c>
    </x:row>
    <x:row r="449" ht="22" customHeight="1">
      <x:c r="A449" s="17" t="str">
        <x:f>"05444000"</x:f>
        <x:v>05444000</x:v>
      </x:c>
      <x:c r="B449" s="13" t="n">
        <x:v>42</x:v>
      </x:c>
      <x:c r="C449" s="22" t="b">
        <x:v>0</x:v>
      </x:c>
      <x:c r="D449" s="11" t="n">
        <x:v>0.0306038046255707</x:v>
      </x:c>
      <x:c r="E449" s="11" t="n">
        <x:v>0.0003778065583901</x:v>
      </x:c>
      <x:c r="F449" s="11" t="n">
        <x:v>0.4267989993095398</x:v>
      </x:c>
      <x:c r="G449" s="13" t="n">
        <x:v>2</x:v>
      </x:c>
      <x:c r="H449" s="11" t="n">
        <x:v>0.5636248588562012</x:v>
      </x:c>
      <x:c r="I449" s="11" t="n">
        <x:v>0.6014935374259949</x:v>
      </x:c>
      <x:c r="J449" s="24" t="n">
        <x:v>137.09290668182075</x:v>
      </x:c>
      <x:c r="K449" s="24" t="n">
        <x:v>159.0563976764679</x:v>
      </x:c>
      <x:c r="L449" s="11" t="n">
        <x:v>0.8337469100952148</x:v>
      </x:c>
      <x:c r="M449" s="11" t="n">
        <x:v>0.0999332070350647</x:v>
      </x:c>
    </x:row>
    <x:row r="450" ht="22" customHeight="1">
      <x:c r="A450" s="17" t="str">
        <x:f>"05454000"</x:f>
        <x:v>05454000</x:v>
      </x:c>
      <x:c r="B450" s="13" t="n">
        <x:v>42</x:v>
      </x:c>
      <x:c r="C450" s="22" t="b">
        <x:v>1</x:v>
      </x:c>
      <x:c r="D450" s="11" t="n">
        <x:v>0.028877887874841635</x:v>
      </x:c>
      <x:c r="E450" s="11" t="n">
        <x:v>0.0004247572699871667</x:v>
      </x:c>
      <x:c r="F450" s="11" t="n">
        <x:v>0.3118811845779419</x:v>
      </x:c>
      <x:c r="G450" s="13" t="n">
        <x:v>3</x:v>
      </x:c>
      <x:c r="H450" s="11" t="n">
        <x:v>0.6895329356193542</x:v>
      </x:c>
      <x:c r="I450" s="11" t="n">
        <x:v>0.7036898732185364</x:v>
      </x:c>
      <x:c r="J450" s="24" t="n">
        <x:v>136.54079611692578</x:v>
      </x:c>
      <x:c r="K450" s="24" t="n">
        <x:v>146.74413323402405</x:v>
      </x:c>
      <x:c r="L450" s="11" t="n">
        <x:v>0.6163366436958313</x:v>
      </x:c>
      <x:c r="M450" s="11" t="n">
        <x:v>0.0999393239617347</x:v>
      </x:c>
    </x:row>
    <x:row r="451" ht="22" customHeight="1">
      <x:c r="A451" s="17" t="str">
        <x:f>"05454000"</x:f>
        <x:v>05454000</x:v>
      </x:c>
      <x:c r="B451" s="13" t="n">
        <x:v>42</x:v>
      </x:c>
      <x:c r="C451" s="22" t="b">
        <x:v>0</x:v>
      </x:c>
      <x:c r="D451" s="11" t="n">
        <x:v>0.020678246704240566</x:v>
      </x:c>
      <x:c r="E451" s="11" t="n">
        <x:v>0.0007218803899983001</x:v>
      </x:c>
      <x:c r="F451" s="11" t="n">
        <x:v>0.3126550912857055</x:v>
      </x:c>
      <x:c r="G451" s="13" t="n">
        <x:v>1</x:v>
      </x:c>
      <x:c r="H451" s="11" t="n">
        <x:v>0.803042471408844</x:v>
      </x:c>
      <x:c r="I451" s="11" t="n">
        <x:v>0.8535272479057312</x:v>
      </x:c>
      <x:c r="J451" s="24" t="n">
        <x:v>137.5348777193576</x:v>
      </x:c>
      <x:c r="K451" s="24" t="n">
        <x:v>157.4517502784729</x:v>
      </x:c>
      <x:c r="L451" s="11" t="n">
        <x:v>0.8833746910095215</x:v>
      </x:c>
      <x:c r="M451" s="11" t="n">
        <x:v>0.0999332070350647</x:v>
      </x:c>
    </x:row>
    <x:row r="452" ht="22" customHeight="1">
      <x:c r="A452" s="17" t="str">
        <x:f>"05458000"</x:f>
        <x:v>05458000</x:v>
      </x:c>
      <x:c r="B452" s="13" t="n">
        <x:v>42</x:v>
      </x:c>
      <x:c r="C452" s="22" t="b">
        <x:v>1</x:v>
      </x:c>
      <x:c r="D452" s="11" t="n">
        <x:v>0.01897689777736857</x:v>
      </x:c>
      <x:c r="E452" s="11" t="n">
        <x:v>0.00021574973167536667</x:v>
      </x:c>
      <x:c r="F452" s="11" t="n">
        <x:v>0.3514851629734039</x:v>
      </x:c>
      <x:c r="G452" s="13" t="n">
        <x:v>10</x:v>
      </x:c>
      <x:c r="H452" s="11" t="n">
        <x:v>1.121764063835144</x:v>
      </x:c>
      <x:c r="I452" s="11" t="n">
        <x:v>1.121764063835144</x:v>
      </x:c>
      <x:c r="J452" s="24" t="n">
        <x:v>135.46952778007835</x:v>
      </x:c>
      <x:c r="K452" s="24" t="n">
        <x:v>148.98204851150513</x:v>
      </x:c>
      <x:c r="L452" s="11" t="n">
        <x:v>0.3514851629734039</x:v>
      </x:c>
      <x:c r="M452" s="11" t="n">
        <x:v>0.0999393239617347</x:v>
      </x:c>
    </x:row>
    <x:row r="453" ht="22" customHeight="1">
      <x:c r="A453" s="17" t="str">
        <x:f>"05458000"</x:f>
        <x:v>05458000</x:v>
      </x:c>
      <x:c r="B453" s="13" t="n">
        <x:v>42</x:v>
      </x:c>
      <x:c r="C453" s="22" t="b">
        <x:v>0</x:v>
      </x:c>
      <x:c r="D453" s="11" t="n">
        <x:v>0.03639371382693443</x:v>
      </x:c>
      <x:c r="E453" s="11" t="n">
        <x:v>0.0003845531027763334</x:v>
      </x:c>
      <x:c r="F453" s="11" t="n">
        <x:v>0.4937965273857116</x:v>
      </x:c>
      <x:c r="G453" s="13" t="n">
        <x:v>9</x:v>
      </x:c>
      <x:c r="H453" s="11" t="n">
        <x:v>1.3779057264328003</x:v>
      </x:c>
      <x:c r="I453" s="11" t="n">
        <x:v>1.4201457500457764</x:v>
      </x:c>
      <x:c r="J453" s="24" t="n">
        <x:v>138.9244875172153</x:v>
      </x:c>
      <x:c r="K453" s="24" t="n">
        <x:v>158.19112014770508</x:v>
      </x:c>
      <x:c r="L453" s="11" t="n">
        <x:v>0.5136476159095764</x:v>
      </x:c>
      <x:c r="M453" s="11" t="n">
        <x:v>0.0999332070350647</x:v>
      </x:c>
    </x:row>
    <x:row r="454" ht="22" customHeight="1">
      <x:c r="A454" s="17" t="str">
        <x:f>"05466500"</x:f>
        <x:v>05466500</x:v>
      </x:c>
      <x:c r="B454" s="13" t="n">
        <x:v>42</x:v>
      </x:c>
      <x:c r="C454" s="22" t="b">
        <x:v>1</x:v>
      </x:c>
      <x:c r="D454" s="11" t="n">
        <x:v>0.0165016502141952</x:v>
      </x:c>
      <x:c r="E454" s="11" t="n">
        <x:v>0.0004989212514676999</x:v>
      </x:c>
      <x:c r="F454" s="11" t="n">
        <x:v>0.3712871372699737</x:v>
      </x:c>
      <x:c r="G454" s="13" t="n">
        <x:v>8</x:v>
      </x:c>
      <x:c r="H454" s="11" t="n">
        <x:v>0.2141835540533065</x:v>
      </x:c>
      <x:c r="I454" s="11" t="n">
        <x:v>0.2195151001214981</x:v>
      </x:c>
      <x:c r="J454" s="24" t="n">
        <x:v>139.62630082201213</x:v>
      </x:c>
      <x:c r="K454" s="24" t="n">
        <x:v>153.93106603622437</x:v>
      </x:c>
      <x:c r="L454" s="11" t="n">
        <x:v>0.4628712832927704</x:v>
      </x:c>
      <x:c r="M454" s="11" t="n">
        <x:v>0.0999393239617347</x:v>
      </x:c>
    </x:row>
    <x:row r="455" ht="22" customHeight="1">
      <x:c r="A455" s="17" t="str">
        <x:f>"05466500"</x:f>
        <x:v>05466500</x:v>
      </x:c>
      <x:c r="B455" s="13" t="n">
        <x:v>42</x:v>
      </x:c>
      <x:c r="C455" s="22" t="b">
        <x:v>0</x:v>
      </x:c>
      <x:c r="D455" s="11" t="n">
        <x:v>0.0463192723691463</x:v>
      </x:c>
      <x:c r="E455" s="11" t="n">
        <x:v>0.0002563687351842</x:v>
      </x:c>
      <x:c r="F455" s="11" t="n">
        <x:v>0.5334987640380859</x:v>
      </x:c>
      <x:c r="G455" s="13" t="n">
        <x:v>3</x:v>
      </x:c>
      <x:c r="H455" s="11" t="n">
        <x:v>0.4347182214260101</x:v>
      </x:c>
      <x:c r="I455" s="11" t="n">
        <x:v>0.4788690507411957</x:v>
      </x:c>
      <x:c r="J455" s="24" t="n">
        <x:v>141.65003465861082</x:v>
      </x:c>
      <x:c r="K455" s="24" t="n">
        <x:v>163.10594630241394</x:v>
      </x:c>
      <x:c r="L455" s="11" t="n">
        <x:v>0.8684863448143005</x:v>
      </x:c>
      <x:c r="M455" s="11" t="n">
        <x:v>0.0999332070350647</x:v>
      </x:c>
    </x:row>
    <x:row r="456" ht="22" customHeight="1">
      <x:c r="A456" s="17" t="str">
        <x:f>"05487980"</x:f>
        <x:v>05487980</x:v>
      </x:c>
      <x:c r="B456" s="13" t="n">
        <x:v>42</x:v>
      </x:c>
      <x:c r="C456" s="22" t="b">
        <x:v>1</x:v>
      </x:c>
      <x:c r="D456" s="11" t="n">
        <x:v>0.023102310175696934</x:v>
      </x:c>
      <x:c r="E456" s="11" t="n">
        <x:v>0.0005124056187923333</x:v>
      </x:c>
      <x:c r="F456" s="11" t="n">
        <x:v>0.3242574334144592</x:v>
      </x:c>
      <x:c r="G456" s="13" t="n">
        <x:v>4</x:v>
      </x:c>
      <x:c r="H456" s="11" t="n">
        <x:v>0.6533035635948181</x:v>
      </x:c>
      <x:c r="I456" s="11" t="n">
        <x:v>0.6766970753669739</x:v>
      </x:c>
      <x:c r="J456" s="24" t="n">
        <x:v>140.97049242071807</x:v>
      </x:c>
      <x:c r="K456" s="24" t="n">
        <x:v>156.8688485622406</x:v>
      </x:c>
      <x:c r="L456" s="11" t="n">
        <x:v>0.6188119053840637</x:v>
      </x:c>
      <x:c r="M456" s="11" t="n">
        <x:v>0.0999393239617347</x:v>
      </x:c>
    </x:row>
    <x:row r="457" ht="22" customHeight="1">
      <x:c r="A457" s="17" t="str">
        <x:f>"05487980"</x:f>
        <x:v>05487980</x:v>
      </x:c>
      <x:c r="B457" s="13" t="n">
        <x:v>42</x:v>
      </x:c>
      <x:c r="C457" s="22" t="b">
        <x:v>0</x:v>
      </x:c>
      <x:c r="D457" s="11" t="n">
        <x:v>0.03225806417564544</x:v>
      </x:c>
      <x:c r="E457" s="11" t="n">
        <x:v>0.00040479274078576667</x:v>
      </x:c>
      <x:c r="F457" s="11" t="n">
        <x:v>0.466501235961914</x:v>
      </x:c>
      <x:c r="G457" s="13" t="n">
        <x:v>3</x:v>
      </x:c>
      <x:c r="H457" s="11" t="n">
        <x:v>0.8153012990951538</x:v>
      </x:c>
      <x:c r="I457" s="11" t="n">
        <x:v>0.9076678156852722</x:v>
      </x:c>
      <x:c r="J457" s="24" t="n">
        <x:v>141.1947349589318</x:v>
      </x:c>
      <x:c r="K457" s="24" t="n">
        <x:v>161.36413979530334</x:v>
      </x:c>
      <x:c r="L457" s="11" t="n">
        <x:v>0.766749382019043</x:v>
      </x:c>
      <x:c r="M457" s="11" t="n">
        <x:v>0.0999332070350647</x:v>
      </x:c>
    </x:row>
    <x:row r="458" ht="22" customHeight="1">
      <x:c r="A458" s="17" t="str">
        <x:f>"05489000"</x:f>
        <x:v>05489000</x:v>
      </x:c>
      <x:c r="B458" s="13" t="n">
        <x:v>42</x:v>
      </x:c>
      <x:c r="C458" s="22" t="b">
        <x:v>1</x:v>
      </x:c>
      <x:c r="D458" s="11" t="n">
        <x:v>0.0264026404668887</x:v>
      </x:c>
      <x:c r="E458" s="11" t="n">
        <x:v>0.00018203884004223332</x:v>
      </x:c>
      <x:c r="F458" s="11" t="n">
        <x:v>0.3737623691558838</x:v>
      </x:c>
      <x:c r="G458" s="13" t="n">
        <x:v>6</x:v>
      </x:c>
      <x:c r="H458" s="11" t="n">
        <x:v>0.7930636405944824</x:v>
      </x:c>
      <x:c r="I458" s="11" t="n">
        <x:v>0.8077244162559509</x:v>
      </x:c>
      <x:c r="J458" s="24" t="n">
        <x:v>140.4157147789374</x:v>
      </x:c>
      <x:c r="K458" s="24" t="n">
        <x:v>156.36093068122864</x:v>
      </x:c>
      <x:c r="L458" s="11" t="n">
        <x:v>0.5148515105247498</x:v>
      </x:c>
      <x:c r="M458" s="11" t="n">
        <x:v>0.0999393239617347</x:v>
      </x:c>
    </x:row>
    <x:row r="459" ht="22" customHeight="1">
      <x:c r="A459" s="17" t="str">
        <x:f>"05489000"</x:f>
        <x:v>05489000</x:v>
      </x:c>
      <x:c r="B459" s="13" t="n">
        <x:v>42</x:v>
      </x:c>
      <x:c r="C459" s="22" t="b">
        <x:v>0</x:v>
      </x:c>
      <x:c r="D459" s="11" t="n">
        <x:v>0.02646815528472257</x:v>
      </x:c>
      <x:c r="E459" s="11" t="n">
        <x:v>0.0004587651249796667</x:v>
      </x:c>
      <x:c r="F459" s="11" t="n">
        <x:v>0.4267989993095398</x:v>
      </x:c>
      <x:c r="G459" s="13" t="n">
        <x:v>9</x:v>
      </x:c>
      <x:c r="H459" s="11" t="n">
        <x:v>0.9758526086807252</x:v>
      </x:c>
      <x:c r="I459" s="11" t="n">
        <x:v>1.011111855506897</x:v>
      </x:c>
      <x:c r="J459" s="24" t="n">
        <x:v>134.85335864126682</x:v>
      </x:c>
      <x:c r="K459" s="24" t="n">
        <x:v>148.03353834152222</x:v>
      </x:c>
      <x:c r="L459" s="11" t="n">
        <x:v>0.4466501176357269</x:v>
      </x:c>
      <x:c r="M459" s="11" t="n">
        <x:v>0.0999332070350647</x:v>
      </x:c>
    </x:row>
    <x:row r="460" ht="22" customHeight="1">
      <x:c r="A460" s="17" t="str">
        <x:f>"05495000"</x:f>
        <x:v>05495000</x:v>
      </x:c>
      <x:c r="B460" s="13" t="n">
        <x:v>42</x:v>
      </x:c>
      <x:c r="C460" s="22" t="b">
        <x:v>1</x:v>
      </x:c>
      <x:c r="D460" s="11" t="n">
        <x:v>0.0371287129819393</x:v>
      </x:c>
      <x:c r="E460" s="11" t="n">
        <x:v>0.0004180150960261334</x:v>
      </x:c>
      <x:c r="F460" s="11" t="n">
        <x:v>0.4579207897186279</x:v>
      </x:c>
      <x:c r="G460" s="13" t="n">
        <x:v>6</x:v>
      </x:c>
      <x:c r="H460" s="11" t="n">
        <x:v>0.3404649496078491</x:v>
      </x:c>
      <x:c r="I460" s="11" t="n">
        <x:v>0.3475742638111114</x:v>
      </x:c>
      <x:c r="J460" s="24" t="n">
        <x:v>135.9636056497693</x:v>
      </x:c>
      <x:c r="K460" s="24" t="n">
        <x:v>154.05981421470642</x:v>
      </x:c>
      <x:c r="L460" s="11" t="n">
        <x:v>0.5891088843345642</x:v>
      </x:c>
      <x:c r="M460" s="11" t="n">
        <x:v>0.0999393239617347</x:v>
      </x:c>
    </x:row>
    <x:row r="461" ht="22" customHeight="1">
      <x:c r="A461" s="17" t="str">
        <x:f>"05495000"</x:f>
        <x:v>05495000</x:v>
      </x:c>
      <x:c r="B461" s="13" t="n">
        <x:v>42</x:v>
      </x:c>
      <x:c r="C461" s="22" t="b">
        <x:v>0</x:v>
      </x:c>
      <x:c r="D461" s="11" t="n">
        <x:v>0.03391232403616103</x:v>
      </x:c>
      <x:c r="E461" s="11" t="n">
        <x:v>0.00027660836834296666</x:v>
      </x:c>
      <x:c r="F461" s="11" t="n">
        <x:v>0.5161290168762207</x:v>
      </x:c>
      <x:c r="G461" s="13" t="n">
        <x:v>8</x:v>
      </x:c>
      <x:c r="H461" s="11" t="n">
        <x:v>0.3859477639198303</x:v>
      </x:c>
      <x:c r="I461" s="11" t="n">
        <x:v>0.4593167304992676</x:v>
      </x:c>
      <x:c r="J461" s="24" t="n">
        <x:v>138.3399602752179</x:v>
      </x:c>
      <x:c r="K461" s="24" t="n">
        <x:v>153.97341442108154</x:v>
      </x:c>
      <x:c r="L461" s="11" t="n">
        <x:v>0.5707195997238159</x:v>
      </x:c>
      <x:c r="M461" s="11" t="n">
        <x:v>0.0999332070350647</x:v>
      </x:c>
    </x:row>
    <x:row r="462" ht="22" customHeight="1">
      <x:c r="A462" s="17" t="str">
        <x:f>"05495500"</x:f>
        <x:v>05495500</x:v>
      </x:c>
      <x:c r="B462" s="13" t="n">
        <x:v>42</x:v>
      </x:c>
      <x:c r="C462" s="22" t="b">
        <x:v>1</x:v>
      </x:c>
      <x:c r="D462" s="11" t="n">
        <x:v>0.0313531359036763</x:v>
      </x:c>
      <x:c r="E462" s="11" t="n">
        <x:v>0.0002494606257338</x:v>
      </x:c>
      <x:c r="F462" s="11" t="n">
        <x:v>0.4306930601596832</x:v>
      </x:c>
      <x:c r="G462" s="13" t="n">
        <x:v>1</x:v>
      </x:c>
      <x:c r="H462" s="11" t="n">
        <x:v>0.3675747513771057</x:v>
      </x:c>
      <x:c r="I462" s="11" t="n">
        <x:v>0.4517412781715393</x:v>
      </x:c>
      <x:c r="J462" s="24" t="n">
        <x:v>139.8693690923974</x:v>
      </x:c>
      <x:c r="K462" s="24" t="n">
        <x:v>173.43272161483765</x:v>
      </x:c>
      <x:c r="L462" s="11" t="n">
        <x:v>0.9702970385551452</x:v>
      </x:c>
      <x:c r="M462" s="11" t="n">
        <x:v>0.0999393239617347</x:v>
      </x:c>
    </x:row>
    <x:row r="463" ht="22" customHeight="1">
      <x:c r="A463" s="17" t="str">
        <x:f>"05495500"</x:f>
        <x:v>05495500</x:v>
      </x:c>
      <x:c r="B463" s="13" t="n">
        <x:v>42</x:v>
      </x:c>
      <x:c r="C463" s="22" t="b">
        <x:v>0</x:v>
      </x:c>
      <x:c r="D463" s="11" t="n">
        <x:v>0.027295285214980366</x:v>
      </x:c>
      <x:c r="E463" s="11" t="n">
        <x:v>0.00026311529412236667</x:v>
      </x:c>
      <x:c r="F463" s="11" t="n">
        <x:v>0.4565756916999817</x:v>
      </x:c>
      <x:c r="G463" s="13" t="n">
        <x:v>2</x:v>
      </x:c>
      <x:c r="H463" s="11" t="n">
        <x:v>0.4584491848945617</x:v>
      </x:c>
      <x:c r="I463" s="11" t="n">
        <x:v>0.4617404043674469</x:v>
      </x:c>
      <x:c r="J463" s="24" t="n">
        <x:v>136.49642245657742</x:v>
      </x:c>
      <x:c r="K463" s="24" t="n">
        <x:v>155.1279993057251</x:v>
      </x:c>
      <x:c r="L463" s="11" t="n">
        <x:v>0.8089330196380615</x:v>
      </x:c>
      <x:c r="M463" s="11" t="n">
        <x:v>0.0999332070350647</x:v>
      </x:c>
    </x:row>
    <x:row r="464" ht="22" customHeight="1">
      <x:c r="A464" s="17" t="str">
        <x:f>"05501000"</x:f>
        <x:v>05501000</x:v>
      </x:c>
      <x:c r="B464" s="13" t="n">
        <x:v>42</x:v>
      </x:c>
      <x:c r="C464" s="22" t="b">
        <x:v>1</x:v>
      </x:c>
      <x:c r="D464" s="11" t="n">
        <x:v>0.02310231017569696</x:v>
      </x:c>
      <x:c r="E464" s="11" t="n">
        <x:v>0.00037756202800660004</x:v>
      </x:c>
      <x:c r="F464" s="11" t="n">
        <x:v>0.3292079269886017</x:v>
      </x:c>
      <x:c r="G464" s="13" t="n">
        <x:v>2</x:v>
      </x:c>
      <x:c r="H464" s="11" t="n">
        <x:v>0.7415401935577393</x:v>
      </x:c>
      <x:c r="I464" s="11" t="n">
        <x:v>0.8165046572685242</x:v>
      </x:c>
      <x:c r="J464" s="24" t="n">
        <x:v>135.07209446839988</x:v>
      </x:c>
      <x:c r="K464" s="24" t="n">
        <x:v>149.17599725723267</x:v>
      </x:c>
      <x:c r="L464" s="11" t="n">
        <x:v>0.853960394859314</x:v>
      </x:c>
      <x:c r="M464" s="11" t="n">
        <x:v>0.0999393239617347</x:v>
      </x:c>
    </x:row>
    <x:row r="465" ht="22" customHeight="1">
      <x:c r="A465" s="17" t="str">
        <x:f>"05501000"</x:f>
        <x:v>05501000</x:v>
      </x:c>
      <x:c r="B465" s="13" t="n">
        <x:v>42</x:v>
      </x:c>
      <x:c r="C465" s="22" t="b">
        <x:v>0</x:v>
      </x:c>
      <x:c r="D465" s="11" t="n">
        <x:v>0.031430934555828495</x:v>
      </x:c>
      <x:c r="E465" s="11" t="n">
        <x:v>0.0006409218379606667</x:v>
      </x:c>
      <x:c r="F465" s="11" t="n">
        <x:v>0.3796526193618774</x:v>
      </x:c>
      <x:c r="G465" s="13" t="n">
        <x:v>7</x:v>
      </x:c>
      <x:c r="H465" s="11" t="n">
        <x:v>0.8676336407661438</x:v>
      </x:c>
      <x:c r="I465" s="11" t="n">
        <x:v>0.897882878780365</x:v>
      </x:c>
      <x:c r="J465" s="24" t="n">
        <x:v>135.8940444001928</x:v>
      </x:c>
      <x:c r="K465" s="24" t="n">
        <x:v>150.9686257839203</x:v>
      </x:c>
      <x:c r="L465" s="11" t="n">
        <x:v>0.4838709533214569</x:v>
      </x:c>
      <x:c r="M465" s="11" t="n">
        <x:v>0.0999332070350647</x:v>
      </x:c>
    </x:row>
    <x:row r="466" ht="22" customHeight="1">
      <x:c r="A466" s="17" t="str">
        <x:f>"05503800"</x:f>
        <x:v>05503800</x:v>
      </x:c>
      <x:c r="B466" s="13" t="n">
        <x:v>42</x:v>
      </x:c>
      <x:c r="C466" s="22" t="b">
        <x:v>1</x:v>
      </x:c>
      <x:c r="D466" s="11" t="n">
        <x:v>0.019801980505386934</x:v>
      </x:c>
      <x:c r="E466" s="11" t="n">
        <x:v>0.0008225458247276333</x:v>
      </x:c>
      <x:c r="F466" s="11" t="n">
        <x:v>0.398514837026596</x:v>
      </x:c>
      <x:c r="G466" s="13" t="n">
        <x:v>9</x:v>
      </x:c>
      <x:c r="H466" s="11" t="n">
        <x:v>0.7373324632644653</x:v>
      </x:c>
      <x:c r="I466" s="11" t="n">
        <x:v>0.8030264377593994</x:v>
      </x:c>
      <x:c r="J466" s="24" t="n">
        <x:v>138.05230034328997</x:v>
      </x:c>
      <x:c r="K466" s="24" t="n">
        <x:v>151.95095324516296</x:v>
      </x:c>
      <x:c r="L466" s="11" t="n">
        <x:v>0.4306930601596832</x:v>
      </x:c>
      <x:c r="M466" s="11" t="n">
        <x:v>0.0999393239617347</x:v>
      </x:c>
    </x:row>
    <x:row r="467" ht="22" customHeight="1">
      <x:c r="A467" s="17" t="str">
        <x:f>"05503800"</x:f>
        <x:v>05503800</x:v>
      </x:c>
      <x:c r="B467" s="13" t="n">
        <x:v>42</x:v>
      </x:c>
      <x:c r="C467" s="22" t="b">
        <x:v>0</x:v>
      </x:c>
      <x:c r="D467" s="11" t="n">
        <x:v>0.0430107526481151</x:v>
      </x:c>
      <x:c r="E467" s="11" t="n">
        <x:v>0.0003170876492124667</x:v>
      </x:c>
      <x:c r="F467" s="11" t="n">
        <x:v>0.4342431724071502</x:v>
      </x:c>
      <x:c r="G467" s="13" t="n">
        <x:v>1</x:v>
      </x:c>
      <x:c r="H467" s="11" t="n">
        <x:v>0.8219895958900452</x:v>
      </x:c>
      <x:c r="I467" s="11" t="n">
        <x:v>0.8979129195213318</x:v>
      </x:c>
      <x:c r="J467" s="24" t="n">
        <x:v>138.75522548053414</x:v>
      </x:c>
      <x:c r="K467" s="24" t="n">
        <x:v>159.04433226585388</x:v>
      </x:c>
      <x:c r="L467" s="11" t="n">
        <x:v>0.9205955266952516</x:v>
      </x:c>
      <x:c r="M467" s="11" t="n">
        <x:v>0.0999332070350647</x:v>
      </x:c>
    </x:row>
    <x:row r="468" ht="22" customHeight="1">
      <x:c r="A468" s="17" t="str">
        <x:f>"05507600"</x:f>
        <x:v>05507600</x:v>
      </x:c>
      <x:c r="B468" s="13" t="n">
        <x:v>42</x:v>
      </x:c>
      <x:c r="C468" s="22" t="b">
        <x:v>1</x:v>
      </x:c>
      <x:c r="D468" s="11" t="n">
        <x:v>0.028877887874841635</x:v>
      </x:c>
      <x:c r="E468" s="11" t="n">
        <x:v>0.0006539913592859666</x:v>
      </x:c>
      <x:c r="F468" s="11" t="n">
        <x:v>0.3564356565475464</x:v>
      </x:c>
      <x:c r="G468" s="13" t="n">
        <x:v>2</x:v>
      </x:c>
      <x:c r="H468" s="11" t="n">
        <x:v>1.4804742336273191</x:v>
      </x:c>
      <x:c r="I468" s="11" t="n">
        <x:v>1.492451786994934</x:v>
      </x:c>
      <x:c r="J468" s="24" t="n">
        <x:v>141.95853290520608</x:v>
      </x:c>
      <x:c r="K468" s="24" t="n">
        <x:v>155.58842062950134</x:v>
      </x:c>
      <x:c r="L468" s="11" t="n">
        <x:v>0.8094059228897095</x:v>
      </x:c>
      <x:c r="M468" s="11" t="n">
        <x:v>0.0999393239617347</x:v>
      </x:c>
    </x:row>
    <x:row r="469" ht="22" customHeight="1">
      <x:c r="A469" s="17" t="str">
        <x:f>"05507600"</x:f>
        <x:v>05507600</x:v>
      </x:c>
      <x:c r="B469" s="13" t="n">
        <x:v>42</x:v>
      </x:c>
      <x:c r="C469" s="22" t="b">
        <x:v>0</x:v>
      </x:c>
      <x:c r="D469" s="11" t="n">
        <x:v>0.022332506254315303</x:v>
      </x:c>
      <x:c r="E469" s="11" t="n">
        <x:v>0.0001686636436109</x:v>
      </x:c>
      <x:c r="F469" s="11" t="n">
        <x:v>0.357320100069046</x:v>
      </x:c>
      <x:c r="G469" s="13" t="n">
        <x:v>9</x:v>
      </x:c>
      <x:c r="H469" s="11" t="n">
        <x:v>1.7261091470718384</x:v>
      </x:c>
      <x:c r="I469" s="11" t="n">
        <x:v>1.7402870655059814</x:v>
      </x:c>
      <x:c r="J469" s="24" t="n">
        <x:v>141.75884067360312</x:v>
      </x:c>
      <x:c r="K469" s="24" t="n">
        <x:v>154.8354024887085</x:v>
      </x:c>
      <x:c r="L469" s="11" t="n">
        <x:v>0.357320100069046</x:v>
      </x:c>
      <x:c r="M469" s="11" t="n">
        <x:v>0.0999332070350647</x:v>
      </x:c>
    </x:row>
    <x:row r="470" ht="22" customHeight="1">
      <x:c r="A470" s="17" t="str">
        <x:f>"05508805"</x:f>
        <x:v>05508805</x:v>
      </x:c>
      <x:c r="B470" s="13" t="n">
        <x:v>42</x:v>
      </x:c>
      <x:c r="C470" s="22" t="b">
        <x:v>1</x:v>
      </x:c>
      <x:c r="D470" s="11" t="n">
        <x:v>0.03217821816603337</x:v>
      </x:c>
      <x:c r="E470" s="11" t="n">
        <x:v>0.0003573354867209</x:v>
      </x:c>
      <x:c r="F470" s="11" t="n">
        <x:v>0.3935643434524536</x:v>
      </x:c>
      <x:c r="G470" s="13" t="n">
        <x:v>2</x:v>
      </x:c>
      <x:c r="H470" s="11" t="n">
        <x:v>0.8524774312973022</x:v>
      </x:c>
      <x:c r="I470" s="11" t="n">
        <x:v>1.0983772277832031</x:v>
      </x:c>
      <x:c r="J470" s="24" t="n">
        <x:v>141.11553355492651</x:v>
      </x:c>
      <x:c r="K470" s="24" t="n">
        <x:v>156.55371642112732</x:v>
      </x:c>
      <x:c r="L470" s="11" t="n">
        <x:v>0.8267326951026917</x:v>
      </x:c>
      <x:c r="M470" s="11" t="n">
        <x:v>0.0999393239617347</x:v>
      </x:c>
    </x:row>
    <x:row r="471" ht="22" customHeight="1">
      <x:c r="A471" s="17" t="str">
        <x:f>"05508805"</x:f>
        <x:v>05508805</x:v>
      </x:c>
      <x:c r="B471" s="13" t="n">
        <x:v>42</x:v>
      </x:c>
      <x:c r="C471" s="22" t="b">
        <x:v>0</x:v>
      </x:c>
      <x:c r="D471" s="11" t="n">
        <x:v>0.0248138960450887</x:v>
      </x:c>
      <x:c r="E471" s="11" t="n">
        <x:v>0.00034407383645880003</x:v>
      </x:c>
      <x:c r="F471" s="11" t="n">
        <x:v>0.3349875807762146</x:v>
      </x:c>
      <x:c r="G471" s="13" t="n">
        <x:v>2</x:v>
      </x:c>
      <x:c r="H471" s="11" t="n">
        <x:v>0.9922801852226256</x:v>
      </x:c>
      <x:c r="I471" s="11" t="n">
        <x:v>1.024848222732544</x:v>
      </x:c>
      <x:c r="J471" s="24" t="n">
        <x:v>139.23623361904174</x:v>
      </x:c>
      <x:c r="K471" s="24" t="n">
        <x:v>153.40615916252136</x:v>
      </x:c>
      <x:c r="L471" s="11" t="n">
        <x:v>0.6451612710952759</x:v>
      </x:c>
      <x:c r="M471" s="11" t="n">
        <x:v>0.0999332070350647</x:v>
      </x:c>
    </x:row>
    <x:row r="472" ht="22" customHeight="1">
      <x:c r="A472" s="17" t="str">
        <x:f>"05514500"</x:f>
        <x:v>05514500</x:v>
      </x:c>
      <x:c r="B472" s="13" t="n">
        <x:v>42</x:v>
      </x:c>
      <x:c r="C472" s="22" t="b">
        <x:v>1</x:v>
      </x:c>
      <x:c r="D472" s="11" t="n">
        <x:v>0.023927393058935733</x:v>
      </x:c>
      <x:c r="E472" s="11" t="n">
        <x:v>0.0004854369035456</x:v>
      </x:c>
      <x:c r="F472" s="11" t="n">
        <x:v>0.3663366436958313</x:v>
      </x:c>
      <x:c r="G472" s="13" t="n">
        <x:v>5</x:v>
      </x:c>
      <x:c r="H472" s="11" t="n">
        <x:v>0.3092531859874725</x:v>
      </x:c>
      <x:c r="I472" s="11" t="n">
        <x:v>0.3481756150722503</x:v>
      </x:c>
      <x:c r="J472" s="24" t="n">
        <x:v>140.16264236718416</x:v>
      </x:c>
      <x:c r="K472" s="24" t="n">
        <x:v>158.41802954673767</x:v>
      </x:c>
      <x:c r="L472" s="11" t="n">
        <x:v>0.6014851331710815</x:v>
      </x:c>
      <x:c r="M472" s="11" t="n">
        <x:v>0.0999393239617347</x:v>
      </x:c>
    </x:row>
    <x:row r="473" ht="22" customHeight="1">
      <x:c r="A473" s="17" t="str">
        <x:f>"05514500"</x:f>
        <x:v>05514500</x:v>
      </x:c>
      <x:c r="B473" s="13" t="n">
        <x:v>42</x:v>
      </x:c>
      <x:c r="C473" s="22" t="b">
        <x:v>0</x:v>
      </x:c>
      <x:c r="D473" s="11" t="n">
        <x:v>0.020678246393799702</x:v>
      </x:c>
      <x:c r="E473" s="11" t="n">
        <x:v>0.00043177892803209996</x:v>
      </x:c>
      <x:c r="F473" s="11" t="n">
        <x:v>0.4143920540809631</x:v>
      </x:c>
      <x:c r="G473" s="13" t="n">
        <x:v>5</x:v>
      </x:c>
      <x:c r="H473" s="11" t="n">
        <x:v>0.3672340810298919</x:v>
      </x:c>
      <x:c r="I473" s="11" t="n">
        <x:v>0.3724988400936126</x:v>
      </x:c>
      <x:c r="J473" s="24" t="n">
        <x:v>138.03937175218016</x:v>
      </x:c>
      <x:c r="K473" s="24" t="n">
        <x:v>153.23579025268555</x:v>
      </x:c>
      <x:c r="L473" s="11" t="n">
        <x:v>0.5856079459190369</x:v>
      </x:c>
      <x:c r="M473" s="11" t="n">
        <x:v>0.0999332070350647</x:v>
      </x:c>
    </x:row>
    <x:row r="474" ht="22" customHeight="1">
      <x:c r="A474" s="17" t="str">
        <x:f>"05525500"</x:f>
        <x:v>05525500</x:v>
      </x:c>
      <x:c r="B474" s="13" t="n">
        <x:v>42</x:v>
      </x:c>
      <x:c r="C474" s="22" t="b">
        <x:v>1</x:v>
      </x:c>
      <x:c r="D474" s="11" t="n">
        <x:v>0.020627062767744</x:v>
      </x:c>
      <x:c r="E474" s="11" t="n">
        <x:v>0.0003438511339481334</x:v>
      </x:c>
      <x:c r="F474" s="11" t="n">
        <x:v>0.3712871372699737</x:v>
      </x:c>
      <x:c r="G474" s="13" t="n">
        <x:v>2</x:v>
      </x:c>
      <x:c r="H474" s="11" t="n">
        <x:v>0.2721610963344574</x:v>
      </x:c>
      <x:c r="I474" s="11" t="n">
        <x:v>0.3018199205398559</x:v>
      </x:c>
      <x:c r="J474" s="24" t="n">
        <x:v>138.20646851044148</x:v>
      </x:c>
      <x:c r="K474" s="24" t="n">
        <x:v>156.90939569473267</x:v>
      </x:c>
      <x:c r="L474" s="11" t="n">
        <x:v>0.8638613820075989</x:v>
      </x:c>
      <x:c r="M474" s="11" t="n">
        <x:v>0.0999393239617347</x:v>
      </x:c>
    </x:row>
    <x:row r="475" ht="22" customHeight="1">
      <x:c r="A475" s="17" t="str">
        <x:f>"05525500"</x:f>
        <x:v>05525500</x:v>
      </x:c>
      <x:c r="B475" s="13" t="n">
        <x:v>42</x:v>
      </x:c>
      <x:c r="C475" s="22" t="b">
        <x:v>0</x:v>
      </x:c>
      <x:c r="D475" s="11" t="n">
        <x:v>0.0372208431363105</x:v>
      </x:c>
      <x:c r="E475" s="11" t="n">
        <x:v>0.0004047927504870666</x:v>
      </x:c>
      <x:c r="F475" s="11" t="n">
        <x:v>0.4888337552547455</x:v>
      </x:c>
      <x:c r="G475" s="13" t="n">
        <x:v>7</x:v>
      </x:c>
      <x:c r="H475" s="11" t="n">
        <x:v>0.4643667340278625</x:v>
      </x:c>
      <x:c r="I475" s="11" t="n">
        <x:v>0.50971919298172</x:v>
      </x:c>
      <x:c r="J475" s="24" t="n">
        <x:v>136.92702232673764</x:v>
      </x:c>
      <x:c r="K475" s="24" t="n">
        <x:v>155.52374243736267</x:v>
      </x:c>
      <x:c r="L475" s="11" t="n">
        <x:v>0.6178659796714783</x:v>
      </x:c>
      <x:c r="M475" s="11" t="n">
        <x:v>0.0999332070350647</x:v>
      </x:c>
    </x:row>
    <x:row r="476" ht="22" customHeight="1">
      <x:c r="A476" s="17" t="str">
        <x:f>"05556500"</x:f>
        <x:v>05556500</x:v>
      </x:c>
      <x:c r="B476" s="13" t="n">
        <x:v>42</x:v>
      </x:c>
      <x:c r="C476" s="22" t="b">
        <x:v>1</x:v>
      </x:c>
      <x:c r="D476" s="11" t="n">
        <x:v>0.03630363009870047</x:v>
      </x:c>
      <x:c r="E476" s="11" t="n">
        <x:v>0.0004112729220650667</x:v>
      </x:c>
      <x:c r="F476" s="11" t="n">
        <x:v>0.3886138498783111</x:v>
      </x:c>
      <x:c r="G476" s="13" t="n">
        <x:v>10</x:v>
      </x:c>
      <x:c r="H476" s="11" t="n">
        <x:v>0.892755925655365</x:v>
      </x:c>
      <x:c r="I476" s="11" t="n">
        <x:v>0.892755925655365</x:v>
      </x:c>
      <x:c r="J476" s="24" t="n">
        <x:v>135.15845794789493</x:v>
      </x:c>
      <x:c r="K476" s="24" t="n">
        <x:v>147.42520809173584</x:v>
      </x:c>
      <x:c r="L476" s="11" t="n">
        <x:v>0.3886138498783111</x:v>
      </x:c>
      <x:c r="M476" s="11" t="n">
        <x:v>0.0999393239617347</x:v>
      </x:c>
    </x:row>
    <x:row r="477" ht="22" customHeight="1">
      <x:c r="A477" s="17" t="str">
        <x:f>"05556500"</x:f>
        <x:v>05556500</x:v>
      </x:c>
      <x:c r="B477" s="13" t="n">
        <x:v>42</x:v>
      </x:c>
      <x:c r="C477" s="22" t="b">
        <x:v>0</x:v>
      </x:c>
      <x:c r="D477" s="11" t="n">
        <x:v>0.036393713206052704</x:v>
      </x:c>
      <x:c r="E477" s="11" t="n">
        <x:v>0.0002698618239567666</x:v>
      </x:c>
      <x:c r="F477" s="11" t="n">
        <x:v>0.4590570628643036</x:v>
      </x:c>
      <x:c r="G477" s="13" t="n">
        <x:v>9</x:v>
      </x:c>
      <x:c r="H477" s="11" t="n">
        <x:v>1.1103955507278442</x:v>
      </x:c>
      <x:c r="I477" s="11" t="n">
        <x:v>1.153762936592102</x:v>
      </x:c>
      <x:c r="J477" s="24" t="n">
        <x:v>134.4401204455644</x:v>
      </x:c>
      <x:c r="K477" s="24" t="n">
        <x:v>151.94931817054749</x:v>
      </x:c>
      <x:c r="L477" s="11" t="n">
        <x:v>0.4789081811904907</x:v>
      </x:c>
      <x:c r="M477" s="11" t="n">
        <x:v>0.0999332070350647</x:v>
      </x:c>
    </x:row>
    <x:row r="478" ht="22" customHeight="1">
      <x:c r="A478" s="17" t="str">
        <x:f>"05584500"</x:f>
        <x:v>05584500</x:v>
      </x:c>
      <x:c r="B478" s="13" t="n">
        <x:v>42</x:v>
      </x:c>
      <x:c r="C478" s="22" t="b">
        <x:v>1</x:v>
      </x:c>
      <x:c r="D478" s="11" t="n">
        <x:v>0.020627062767744</x:v>
      </x:c>
      <x:c r="E478" s="11" t="n">
        <x:v>0.0005393743146365667</x:v>
      </x:c>
      <x:c r="F478" s="11" t="n">
        <x:v>0.3663366436958313</x:v>
      </x:c>
      <x:c r="G478" s="13" t="n">
        <x:v>4</x:v>
      </x:c>
      <x:c r="H478" s="11" t="n">
        <x:v>0.1237733513116836</x:v>
      </x:c>
      <x:c r="I478" s="11" t="n">
        <x:v>0.1308591961860656</x:v>
      </x:c>
      <x:c r="J478" s="24" t="n">
        <x:v>134.86067120172083</x:v>
      </x:c>
      <x:c r="K478" s="24" t="n">
        <x:v>148.51591205596924</x:v>
      </x:c>
      <x:c r="L478" s="11" t="n">
        <x:v>0.6435643434524536</x:v>
      </x:c>
      <x:c r="M478" s="11" t="n">
        <x:v>0.0999393239617347</x:v>
      </x:c>
    </x:row>
    <x:row r="479" ht="22" customHeight="1">
      <x:c r="A479" s="17" t="str">
        <x:f>"05584500"</x:f>
        <x:v>05584500</x:v>
      </x:c>
      <x:c r="B479" s="13" t="n">
        <x:v>42</x:v>
      </x:c>
      <x:c r="C479" s="22" t="b">
        <x:v>0</x:v>
      </x:c>
      <x:c r="D479" s="11" t="n">
        <x:v>0.025641025664905632</x:v>
      </x:c>
      <x:c r="E479" s="11" t="n">
        <x:v>0.00024287564398639997</x:v>
      </x:c>
      <x:c r="F479" s="11" t="n">
        <x:v>0.4590570628643036</x:v>
      </x:c>
      <x:c r="G479" s="13" t="n">
        <x:v>5</x:v>
      </x:c>
      <x:c r="H479" s="11" t="n">
        <x:v>0.2485919296741485</x:v>
      </x:c>
      <x:c r="I479" s="11" t="n">
        <x:v>0.2637688517570495</x:v>
      </x:c>
      <x:c r="J479" s="24" t="n">
        <x:v>140.90782895032316</x:v>
      </x:c>
      <x:c r="K479" s="24" t="n">
        <x:v>161.56384778022766</x:v>
      </x:c>
      <x:c r="L479" s="11" t="n">
        <x:v>0.6774193644523621</x:v>
      </x:c>
      <x:c r="M479" s="11" t="n">
        <x:v>0.0999332070350647</x:v>
      </x:c>
    </x:row>
    <x:row r="480" ht="22" customHeight="1">
      <x:c r="A480" s="17" t="str">
        <x:f>"05585000"</x:f>
        <x:v>05585000</x:v>
      </x:c>
      <x:c r="B480" s="13" t="n">
        <x:v>42</x:v>
      </x:c>
      <x:c r="C480" s="22" t="b">
        <x:v>1</x:v>
      </x:c>
      <x:c r="D480" s="11" t="n">
        <x:v>0.04042904327313097</x:v>
      </x:c>
      <x:c r="E480" s="11" t="n">
        <x:v>0.0003775620377078667</x:v>
      </x:c>
      <x:c r="F480" s="11" t="n">
        <x:v>0.4752475321292877</x:v>
      </x:c>
      <x:c r="G480" s="13" t="n">
        <x:v>1</x:v>
      </x:c>
      <x:c r="H480" s="11" t="n">
        <x:v>0.0803766846656799</x:v>
      </x:c>
      <x:c r="I480" s="11" t="n">
        <x:v>0.0847527459263801</x:v>
      </x:c>
      <x:c r="J480" s="24" t="n">
        <x:v>139.24015785939991</x:v>
      </x:c>
      <x:c r="K480" s="24" t="n">
        <x:v>172.33117198944092</x:v>
      </x:c>
      <x:c r="L480" s="11" t="n">
        <x:v>0.9232673048973083</x:v>
      </x:c>
      <x:c r="M480" s="11" t="n">
        <x:v>0.0999393239617347</x:v>
      </x:c>
    </x:row>
    <x:row r="481" ht="22" customHeight="1">
      <x:c r="A481" s="17" t="str">
        <x:f>"05585000"</x:f>
        <x:v>05585000</x:v>
      </x:c>
      <x:c r="B481" s="13" t="n">
        <x:v>42</x:v>
      </x:c>
      <x:c r="C481" s="22" t="b">
        <x:v>0</x:v>
      </x:c>
      <x:c r="D481" s="11" t="n">
        <x:v>0.03308519410590323</x:v>
      </x:c>
      <x:c r="E481" s="11" t="n">
        <x:v>0.00034407383645880003</x:v>
      </x:c>
      <x:c r="F481" s="11" t="n">
        <x:v>0.4069478809833526</x:v>
      </x:c>
      <x:c r="G481" s="13" t="n">
        <x:v>1</x:v>
      </x:c>
      <x:c r="H481" s="11" t="n">
        <x:v>0.264553815126419</x:v>
      </x:c>
      <x:c r="I481" s="11" t="n">
        <x:v>0.2761845886707306</x:v>
      </x:c>
      <x:c r="J481" s="24" t="n">
        <x:v>142.35941795725375</x:v>
      </x:c>
      <x:c r="K481" s="24" t="n">
        <x:v>162.47515726089478</x:v>
      </x:c>
      <x:c r="L481" s="11" t="n">
        <x:v>0.96277916431427</x:v>
      </x:c>
      <x:c r="M481" s="11" t="n">
        <x:v>0.0999332070350647</x:v>
      </x:c>
    </x:row>
    <x:row r="482" ht="22" customHeight="1">
      <x:c r="A482" s="17" t="str">
        <x:f>"05591550"</x:f>
        <x:v>05591550</x:v>
      </x:c>
      <x:c r="B482" s="13" t="n">
        <x:v>42</x:v>
      </x:c>
      <x:c r="C482" s="22" t="b">
        <x:v>1</x:v>
      </x:c>
      <x:c r="D482" s="11" t="n">
        <x:v>0.0231023098652561</x:v>
      </x:c>
      <x:c r="E482" s="11" t="n">
        <x:v>0.0005393743340390999</x:v>
      </x:c>
      <x:c r="F482" s="11" t="n">
        <x:v>0.292079210281372</x:v>
      </x:c>
      <x:c r="G482" s="13" t="n">
        <x:v>7</x:v>
      </x:c>
      <x:c r="H482" s="11" t="n">
        <x:v>1.367440104484558</x:v>
      </x:c>
      <x:c r="I482" s="11" t="n">
        <x:v>1.391615390777588</x:v>
      </x:c>
      <x:c r="J482" s="24" t="n">
        <x:v>139.8004894843325</x:v>
      </x:c>
      <x:c r="K482" s="24" t="n">
        <x:v>152.44483017921448</x:v>
      </x:c>
      <x:c r="L482" s="11" t="n">
        <x:v>0.4034653604030609</x:v>
      </x:c>
      <x:c r="M482" s="11" t="n">
        <x:v>0.0999393239617347</x:v>
      </x:c>
    </x:row>
    <x:row r="483" ht="22" customHeight="1">
      <x:c r="A483" s="17" t="str">
        <x:f>"05591550"</x:f>
        <x:v>05591550</x:v>
      </x:c>
      <x:c r="B483" s="13" t="n">
        <x:v>42</x:v>
      </x:c>
      <x:c r="C483" s="22" t="b">
        <x:v>0</x:v>
      </x:c>
      <x:c r="D483" s="11" t="n">
        <x:v>0.028122415145238167</x:v>
      </x:c>
      <x:c r="E483" s="11" t="n">
        <x:v>0.00028335492243053336</x:v>
      </x:c>
      <x:c r="F483" s="11" t="n">
        <x:v>0.4565756916999817</x:v>
      </x:c>
      <x:c r="G483" s="13" t="n">
        <x:v>1</x:v>
      </x:c>
      <x:c r="H483" s="11" t="n">
        <x:v>1.6305183172225952</x:v>
      </x:c>
      <x:c r="I483" s="11" t="n">
        <x:v>1.7187316417694092</x:v>
      </x:c>
      <x:c r="J483" s="24" t="n">
        <x:v>142.01340175420046</x:v>
      </x:c>
      <x:c r="K483" s="24" t="n">
        <x:v>164.36842012405396</x:v>
      </x:c>
      <x:c r="L483" s="11" t="n">
        <x:v>0.92555832862854</x:v>
      </x:c>
      <x:c r="M483" s="11" t="n">
        <x:v>0.0999332070350647</x:v>
      </x:c>
    </x:row>
    <x:row r="484" ht="22" customHeight="1">
      <x:c r="A484" s="17" t="str">
        <x:f>"05592050"</x:f>
        <x:v>05592050</x:v>
      </x:c>
      <x:c r="B484" s="13" t="n">
        <x:v>42</x:v>
      </x:c>
      <x:c r="C484" s="22" t="b">
        <x:v>1</x:v>
      </x:c>
      <x:c r="D484" s="11" t="n">
        <x:v>0.030528052399555805</x:v>
      </x:c>
      <x:c r="E484" s="11" t="n">
        <x:v>0.0006202804797794334</x:v>
      </x:c>
      <x:c r="F484" s="11" t="n">
        <x:v>0.3663366436958313</x:v>
      </x:c>
      <x:c r="G484" s="13" t="n">
        <x:v>6</x:v>
      </x:c>
      <x:c r="H484" s="11" t="n">
        <x:v>0.4024769961833954</x:v>
      </x:c>
      <x:c r="I484" s="11" t="n">
        <x:v>0.4086653888225555</x:v>
      </x:c>
      <x:c r="J484" s="24" t="n">
        <x:v>142.66784356255084</x:v>
      </x:c>
      <x:c r="K484" s="24" t="n">
        <x:v>158.05502772331238</x:v>
      </x:c>
      <x:c r="L484" s="11" t="n">
        <x:v>0.5148515105247498</x:v>
      </x:c>
      <x:c r="M484" s="11" t="n">
        <x:v>0.0999393239617347</x:v>
      </x:c>
    </x:row>
    <x:row r="485" ht="22" customHeight="1">
      <x:c r="A485" s="17" t="str">
        <x:f>"05592050"</x:f>
        <x:v>05592050</x:v>
      </x:c>
      <x:c r="B485" s="13" t="n">
        <x:v>42</x:v>
      </x:c>
      <x:c r="C485" s="22" t="b">
        <x:v>0</x:v>
      </x:c>
      <x:c r="D485" s="11" t="n">
        <x:v>0.0355665832757949</x:v>
      </x:c>
      <x:c r="E485" s="11" t="n">
        <x:v>0.0002766083731936333</x:v>
      </x:c>
      <x:c r="F485" s="11" t="n">
        <x:v>0.4119106829166412</x:v>
      </x:c>
      <x:c r="G485" s="13" t="n">
        <x:v>5</x:v>
      </x:c>
      <x:c r="H485" s="11" t="n">
        <x:v>0.5398570895195007</x:v>
      </x:c>
      <x:c r="I485" s="11" t="n">
        <x:v>0.6033129096031189</x:v>
      </x:c>
      <x:c r="J485" s="24" t="n">
        <x:v>139.7578686363995</x:v>
      </x:c>
      <x:c r="K485" s="24" t="n">
        <x:v>159.76846194267273</x:v>
      </x:c>
      <x:c r="L485" s="11" t="n">
        <x:v>0.5682381987571716</x:v>
      </x:c>
      <x:c r="M485" s="11" t="n">
        <x:v>0.0999332070350647</x:v>
      </x:c>
    </x:row>
    <x:row r="486" ht="22" customHeight="1">
      <x:c r="A486" s="17" t="str">
        <x:f>"05593575"</x:f>
        <x:v>05593575</x:v>
      </x:c>
      <x:c r="B486" s="13" t="n">
        <x:v>42</x:v>
      </x:c>
      <x:c r="C486" s="22" t="b">
        <x:v>1</x:v>
      </x:c>
      <x:c r="D486" s="11" t="n">
        <x:v>0.0354785484572251</x:v>
      </x:c>
      <x:c r="E486" s="11" t="n">
        <x:v>0.0007214131571041667</x:v>
      </x:c>
      <x:c r="F486" s="11" t="n">
        <x:v>0.3910891115665436</x:v>
      </x:c>
      <x:c r="G486" s="13" t="n">
        <x:v>2</x:v>
      </x:c>
      <x:c r="H486" s="11" t="n">
        <x:v>0.6156899333000183</x:v>
      </x:c>
      <x:c r="I486" s="11" t="n">
        <x:v>0.6659896373748779</x:v>
      </x:c>
      <x:c r="J486" s="24" t="n">
        <x:v>141.12789980042726</x:v>
      </x:c>
      <x:c r="K486" s="24" t="n">
        <x:v>160.52264261245728</x:v>
      </x:c>
      <x:c r="L486" s="11" t="n">
        <x:v>0.8044554591178894</x:v>
      </x:c>
      <x:c r="M486" s="11" t="n">
        <x:v>0.0999393239617347</x:v>
      </x:c>
    </x:row>
    <x:row r="487" ht="22" customHeight="1">
      <x:c r="A487" s="17" t="str">
        <x:f>"05593575"</x:f>
        <x:v>05593575</x:v>
      </x:c>
      <x:c r="B487" s="13" t="n">
        <x:v>42</x:v>
      </x:c>
      <x:c r="C487" s="22" t="b">
        <x:v>0</x:v>
      </x:c>
      <x:c r="D487" s="11" t="n">
        <x:v>0.033085194105903236</x:v>
      </x:c>
      <x:c r="E487" s="11" t="n">
        <x:v>0.00016191710164996666</x:v>
      </x:c>
      <x:c r="F487" s="11" t="n">
        <x:v>0.4044665098190307</x:v>
      </x:c>
      <x:c r="G487" s="13" t="n">
        <x:v>2</x:v>
      </x:c>
      <x:c r="H487" s="11" t="n">
        <x:v>0.663300633430481</x:v>
      </x:c>
      <x:c r="I487" s="11" t="n">
        <x:v>0.694321870803833</x:v>
      </x:c>
      <x:c r="J487" s="24" t="n">
        <x:v>136.83407216798514</x:v>
      </x:c>
      <x:c r="K487" s="24" t="n">
        <x:v>154.2714388370514</x:v>
      </x:c>
      <x:c r="L487" s="11" t="n">
        <x:v>0.7766749262809753</x:v>
      </x:c>
      <x:c r="M487" s="11" t="n">
        <x:v>0.0999332070350647</x:v>
      </x:c>
    </x:row>
    <x:row r="488" ht="22" customHeight="1">
      <x:c r="A488" s="17" t="str">
        <x:f>"05593900"</x:f>
        <x:v>05593900</x:v>
      </x:c>
      <x:c r="B488" s="13" t="n">
        <x:v>42</x:v>
      </x:c>
      <x:c r="C488" s="22" t="b">
        <x:v>1</x:v>
      </x:c>
      <x:c r="D488" s="11" t="n">
        <x:v>0.029702970137198702</x:v>
      </x:c>
      <x:c r="E488" s="11" t="n">
        <x:v>0.0002966558822663</x:v>
      </x:c>
      <x:c r="F488" s="11" t="n">
        <x:v>0.4356435537338257</x:v>
      </x:c>
      <x:c r="G488" s="13" t="n">
        <x:v>9</x:v>
      </x:c>
      <x:c r="H488" s="11" t="n">
        <x:v>0.9783019423484802</x:v>
      </x:c>
      <x:c r="I488" s="11" t="n">
        <x:v>1.0055313110351562</x:v>
      </x:c>
      <x:c r="J488" s="24" t="n">
        <x:v>138.7082482157275</x:v>
      </x:c>
      <x:c r="K488" s="24" t="n">
        <x:v>151.2383804321289</x:v>
      </x:c>
      <x:c r="L488" s="11" t="n">
        <x:v>0.4727722704410553</x:v>
      </x:c>
      <x:c r="M488" s="11" t="n">
        <x:v>0.0999393239617347</x:v>
      </x:c>
    </x:row>
    <x:row r="489" ht="22" customHeight="1">
      <x:c r="A489" s="17" t="str">
        <x:f>"05593900"</x:f>
        <x:v>05593900</x:v>
      </x:c>
      <x:c r="B489" s="13" t="n">
        <x:v>42</x:v>
      </x:c>
      <x:c r="C489" s="22" t="b">
        <x:v>0</x:v>
      </x:c>
      <x:c r="D489" s="11" t="n">
        <x:v>0.03391232403616103</x:v>
      </x:c>
      <x:c r="E489" s="11" t="n">
        <x:v>0.00023612910202543334</x:v>
      </x:c>
      <x:c r="F489" s="11" t="n">
        <x:v>0.3920595645904541</x:v>
      </x:c>
      <x:c r="G489" s="13" t="n">
        <x:v>1</x:v>
      </x:c>
      <x:c r="H489" s="11" t="n">
        <x:v>1.249472975730896</x:v>
      </x:c>
      <x:c r="I489" s="11" t="n">
        <x:v>1.411394119262695</x:v>
      </x:c>
      <x:c r="J489" s="24" t="n">
        <x:v>139.50277733802795</x:v>
      </x:c>
      <x:c r="K489" s="24" t="n">
        <x:v>158.19599676132202</x:v>
      </x:c>
      <x:c r="L489" s="11" t="n">
        <x:v>0.8337469100952148</x:v>
      </x:c>
      <x:c r="M489" s="11" t="n">
        <x:v>0.0999332070350647</x:v>
      </x:c>
    </x:row>
    <x:row r="490" ht="22" customHeight="1">
      <x:c r="A490" s="17" t="str">
        <x:f>"05595730"</x:f>
        <x:v>05595730</x:v>
      </x:c>
      <x:c r="B490" s="13" t="n">
        <x:v>42</x:v>
      </x:c>
      <x:c r="C490" s="22" t="b">
        <x:v>1</x:v>
      </x:c>
      <x:c r="D490" s="11" t="n">
        <x:v>0.020627063388625733</x:v>
      </x:c>
      <x:c r="E490" s="11" t="n">
        <x:v>0.0006877022678963667</x:v>
      </x:c>
      <x:c r="F490" s="11" t="n">
        <x:v>0.3143564462661743</x:v>
      </x:c>
      <x:c r="G490" s="13" t="n">
        <x:v>2</x:v>
      </x:c>
      <x:c r="H490" s="11" t="n">
        <x:v>0.7303723692893982</x:v>
      </x:c>
      <x:c r="I490" s="11" t="n">
        <x:v>0.7993655800819397</x:v>
      </x:c>
      <x:c r="J490" s="24" t="n">
        <x:v>136.3159417854622</x:v>
      </x:c>
      <x:c r="K490" s="24" t="n">
        <x:v>152.33430743217468</x:v>
      </x:c>
      <x:c r="L490" s="11" t="n">
        <x:v>0.7277227640151978</x:v>
      </x:c>
      <x:c r="M490" s="11" t="n">
        <x:v>0.0999393239617347</x:v>
      </x:c>
    </x:row>
    <x:row r="491" ht="22" customHeight="1">
      <x:c r="A491" s="17" t="str">
        <x:f>"05595730"</x:f>
        <x:v>05595730</x:v>
      </x:c>
      <x:c r="B491" s="13" t="n">
        <x:v>42</x:v>
      </x:c>
      <x:c r="C491" s="22" t="b">
        <x:v>0</x:v>
      </x:c>
      <x:c r="D491" s="11" t="n">
        <x:v>0.0413564927875995</x:v>
      </x:c>
      <x:c r="E491" s="11" t="n">
        <x:v>0.00029010146196613334</x:v>
      </x:c>
      <x:c r="F491" s="11" t="n">
        <x:v>0.4119106829166412</x:v>
      </x:c>
      <x:c r="G491" s="13" t="n">
        <x:v>2</x:v>
      </x:c>
      <x:c r="H491" s="11" t="n">
        <x:v>0.7570527195930481</x:v>
      </x:c>
      <x:c r="I491" s="11" t="n">
        <x:v>0.795785129070282</x:v>
      </x:c>
      <x:c r="J491" s="24" t="n">
        <x:v>138.16875759046525</x:v>
      </x:c>
      <x:c r="K491" s="24" t="n">
        <x:v>155.58145403862</x:v>
      </x:c>
      <x:c r="L491" s="11" t="n">
        <x:v>0.7766749262809753</x:v>
      </x:c>
      <x:c r="M491" s="11" t="n">
        <x:v>0.0999332070350647</x:v>
      </x:c>
    </x:row>
    <x:row r="492" ht="22" customHeight="1">
      <x:c r="A492" s="17" t="str">
        <x:f>"06191500"</x:f>
        <x:v>06191500</x:v>
      </x:c>
      <x:c r="B492" s="13" t="n">
        <x:v>42</x:v>
      </x:c>
      <x:c r="C492" s="22" t="b">
        <x:v>1</x:v>
      </x:c>
      <x:c r="D492" s="11" t="n">
        <x:v>0.012376237505425965</x:v>
      </x:c>
      <x:c r="E492" s="11" t="n">
        <x:v>0.0004989212708702667</x:v>
      </x:c>
      <x:c r="F492" s="11" t="n">
        <x:v>0.220297023653984</x:v>
      </x:c>
      <x:c r="G492" s="13" t="n">
        <x:v>10</x:v>
      </x:c>
      <x:c r="H492" s="11" t="n">
        <x:v>0.0051589962095022</x:v>
      </x:c>
      <x:c r="I492" s="11" t="n">
        <x:v>0.0051589962095022</x:v>
      </x:c>
      <x:c r="J492" s="24" t="n">
        <x:v>136.65572845656425</x:v>
      </x:c>
      <x:c r="K492" s="24" t="n">
        <x:v>145.92138409614563</x:v>
      </x:c>
      <x:c r="L492" s="11" t="n">
        <x:v>0.220297023653984</x:v>
      </x:c>
      <x:c r="M492" s="11" t="n">
        <x:v>0.0999393239617347</x:v>
      </x:c>
    </x:row>
    <x:row r="493" ht="22" customHeight="1">
      <x:c r="A493" s="17" t="str">
        <x:f>"06191500"</x:f>
        <x:v>06191500</x:v>
      </x:c>
      <x:c r="B493" s="13" t="n">
        <x:v>42</x:v>
      </x:c>
      <x:c r="C493" s="22" t="b">
        <x:v>0</x:v>
      </x:c>
      <x:c r="D493" s="11" t="n">
        <x:v>0.033085194105903236</x:v>
      </x:c>
      <x:c r="E493" s="11" t="n">
        <x:v>0.0006071891208799333</x:v>
      </x:c>
      <x:c r="F493" s="11" t="n">
        <x:v>0.4590570628643036</x:v>
      </x:c>
      <x:c r="G493" s="13" t="n">
        <x:v>1</x:v>
      </x:c>
      <x:c r="H493" s="11" t="n">
        <x:v>0.0976481065154075</x:v>
      </x:c>
      <x:c r="I493" s="11" t="n">
        <x:v>0.1610531061887741</x:v>
      </x:c>
      <x:c r="J493" s="24" t="n">
        <x:v>141.87840334698558</x:v>
      </x:c>
      <x:c r="K493" s="24" t="n">
        <x:v>174.9016215801239</x:v>
      </x:c>
      <x:c r="L493" s="11" t="n">
        <x:v>0.9826302528381348</x:v>
      </x:c>
      <x:c r="M493" s="11" t="n">
        <x:v>0.0999332070350647</x:v>
      </x:c>
    </x:row>
    <x:row r="494" ht="22" customHeight="1">
      <x:c r="A494" s="17" t="str">
        <x:f>"06224000"</x:f>
        <x:v>06224000</x:v>
      </x:c>
      <x:c r="B494" s="13" t="n">
        <x:v>42</x:v>
      </x:c>
      <x:c r="C494" s="22" t="b">
        <x:v>1</x:v>
      </x:c>
      <x:c r="D494" s="11" t="n">
        <x:v>0.013201320233444334</x:v>
      </x:c>
      <x:c r="E494" s="11" t="n">
        <x:v>0.0003843042068183</x:v>
      </x:c>
      <x:c r="F494" s="11" t="n">
        <x:v>0.2549504935741424</x:v>
      </x:c>
      <x:c r="G494" s="13" t="n">
        <x:v>10</x:v>
      </x:c>
      <x:c r="H494" s="11" t="n">
        <x:v>0.0069270161911845</x:v>
      </x:c>
      <x:c r="I494" s="11" t="n">
        <x:v>0.0069270161911845</x:v>
      </x:c>
      <x:c r="J494" s="24" t="n">
        <x:v>141.11851290147752</x:v>
      </x:c>
      <x:c r="K494" s="24" t="n">
        <x:v>149.92107963562012</x:v>
      </x:c>
      <x:c r="L494" s="11" t="n">
        <x:v>0.2549504935741424</x:v>
      </x:c>
      <x:c r="M494" s="11" t="n">
        <x:v>0.0999393239617347</x:v>
      </x:c>
    </x:row>
    <x:row r="495" ht="22" customHeight="1">
      <x:c r="A495" s="17" t="str">
        <x:f>"06224000"</x:f>
        <x:v>06224000</x:v>
      </x:c>
      <x:c r="B495" s="13" t="n">
        <x:v>42</x:v>
      </x:c>
      <x:c r="C495" s="22" t="b">
        <x:v>0</x:v>
      </x:c>
      <x:c r="D495" s="11" t="n">
        <x:v>0.03639371444781617</x:v>
      </x:c>
      <x:c r="E495" s="11" t="n">
        <x:v>0.00047225820405096664</x:v>
      </x:c>
      <x:c r="F495" s="11" t="n">
        <x:v>0.4317618012428283</x:v>
      </x:c>
      <x:c r="G495" s="13" t="n">
        <x:v>2</x:v>
      </x:c>
      <x:c r="H495" s="11" t="n">
        <x:v>0.1053230017423629</x:v>
      </x:c>
      <x:c r="I495" s="11" t="n">
        <x:v>0.1243244335055351</x:v>
      </x:c>
      <x:c r="J495" s="24" t="n">
        <x:v>138.65793863590807</x:v>
      </x:c>
      <x:c r="K495" s="24" t="n">
        <x:v>157.76285982131958</x:v>
      </x:c>
      <x:c r="L495" s="11" t="n">
        <x:v>0.8486352562904358</x:v>
      </x:c>
      <x:c r="M495" s="11" t="n">
        <x:v>0.0999332070350647</x:v>
      </x:c>
    </x:row>
    <x:row r="496" ht="22" customHeight="1">
      <x:c r="A496" s="17" t="str">
        <x:f>"06278300"</x:f>
        <x:v>06278300</x:v>
      </x:c>
      <x:c r="B496" s="13" t="n">
        <x:v>42</x:v>
      </x:c>
      <x:c r="C496" s="22" t="b">
        <x:v>1</x:v>
      </x:c>
      <x:c r="D496" s="11" t="n">
        <x:v>0.029702970137198702</x:v>
      </x:c>
      <x:c r="E496" s="11" t="n">
        <x:v>0.0002359762584091667</x:v>
      </x:c>
      <x:c r="F496" s="11" t="n">
        <x:v>0.3069306910037994</x:v>
      </x:c>
      <x:c r="G496" s="13" t="n">
        <x:v>2</x:v>
      </x:c>
      <x:c r="H496" s="11" t="n">
        <x:v>0.0566230043768882</x:v>
      </x:c>
      <x:c r="I496" s="11" t="n">
        <x:v>0.0598464384675025</x:v>
      </x:c>
      <x:c r="J496" s="24" t="n">
        <x:v>140.09104984719306</x:v>
      </x:c>
      <x:c r="K496" s="24" t="n">
        <x:v>156.3693733215332</x:v>
      </x:c>
      <x:c r="L496" s="11" t="n">
        <x:v>0.8712871074676514</x:v>
      </x:c>
      <x:c r="M496" s="11" t="n">
        <x:v>0.0999393239617347</x:v>
      </x:c>
    </x:row>
    <x:row r="497" ht="22" customHeight="1">
      <x:c r="A497" s="17" t="str">
        <x:f>"06278300"</x:f>
        <x:v>06278300</x:v>
      </x:c>
      <x:c r="B497" s="13" t="n">
        <x:v>42</x:v>
      </x:c>
      <x:c r="C497" s="22" t="b">
        <x:v>0</x:v>
      </x:c>
      <x:c r="D497" s="11" t="n">
        <x:v>0.07030604034662243</x:v>
      </x:c>
      <x:c r="E497" s="11" t="n">
        <x:v>0.0002226360035516333</x:v>
      </x:c>
      <x:c r="F497" s="11" t="n">
        <x:v>0.6352357268333435</x:v>
      </x:c>
      <x:c r="G497" s="13" t="n">
        <x:v>6</x:v>
      </x:c>
      <x:c r="H497" s="11" t="n">
        <x:v>0.3506548702716827</x:v>
      </x:c>
      <x:c r="I497" s="11" t="n">
        <x:v>0.4607525467872619</x:v>
      </x:c>
      <x:c r="J497" s="24" t="n">
        <x:v>139.7696500318125</x:v>
      </x:c>
      <x:c r="K497" s="24" t="n">
        <x:v>167.55565476417542</x:v>
      </x:c>
      <x:c r="L497" s="11" t="n">
        <x:v>0.7568238377571106</x:v>
      </x:c>
      <x:c r="M497" s="11" t="n">
        <x:v>0.0999332070350647</x:v>
      </x:c>
    </x:row>
    <x:row r="498" ht="22" customHeight="1">
      <x:c r="A498" s="17" t="str">
        <x:f>"06280300"</x:f>
        <x:v>06280300</x:v>
      </x:c>
      <x:c r="B498" s="13" t="n">
        <x:v>42</x:v>
      </x:c>
      <x:c r="C498" s="22" t="b">
        <x:v>1</x:v>
      </x:c>
      <x:c r="D498" s="11" t="n">
        <x:v>0.0165016502141952</x:v>
      </x:c>
      <x:c r="E498" s="11" t="n">
        <x:v>0.0002629449785065667</x:v>
      </x:c>
      <x:c r="F498" s="11" t="n">
        <x:v>0.2896039485931396</x:v>
      </x:c>
      <x:c r="G498" s="13" t="n">
        <x:v>10</x:v>
      </x:c>
      <x:c r="H498" s="11" t="n">
        <x:v>0.0139364814385771</x:v>
      </x:c>
      <x:c r="I498" s="11" t="n">
        <x:v>0.0139364814385771</x:v>
      </x:c>
      <x:c r="J498" s="24" t="n">
        <x:v>138.99323888123035</x:v>
      </x:c>
      <x:c r="K498" s="24" t="n">
        <x:v>147.8590030670166</x:v>
      </x:c>
      <x:c r="L498" s="11" t="n">
        <x:v>0.2896039485931396</x:v>
      </x:c>
      <x:c r="M498" s="11" t="n">
        <x:v>0.0999393239617347</x:v>
      </x:c>
    </x:row>
    <x:row r="499" ht="22" customHeight="1">
      <x:c r="A499" s="17" t="str">
        <x:f>"06280300"</x:f>
        <x:v>06280300</x:v>
      </x:c>
      <x:c r="B499" s="13" t="n">
        <x:v>42</x:v>
      </x:c>
      <x:c r="C499" s="22" t="b">
        <x:v>0</x:v>
      </x:c>
      <x:c r="D499" s="11" t="n">
        <x:v>0.030603804315129834</x:v>
      </x:c>
      <x:c r="E499" s="11" t="n">
        <x:v>0.0003508203759944333</x:v>
      </x:c>
      <x:c r="F499" s="11" t="n">
        <x:v>0.4789081811904907</x:v>
      </x:c>
      <x:c r="G499" s="13" t="n">
        <x:v>4</x:v>
      </x:c>
      <x:c r="H499" s="11" t="n">
        <x:v>0.1964574307203292</x:v>
      </x:c>
      <x:c r="I499" s="11" t="n">
        <x:v>0.2267658114433288</x:v>
      </x:c>
      <x:c r="J499" s="24" t="n">
        <x:v>137.98014675825834</x:v>
      </x:c>
      <x:c r="K499" s="24" t="n">
        <x:v>161.42289972305298</x:v>
      </x:c>
      <x:c r="L499" s="11" t="n">
        <x:v>0.729528546333313</x:v>
      </x:c>
      <x:c r="M499" s="11" t="n">
        <x:v>0.0999332070350647</x:v>
      </x:c>
    </x:row>
    <x:row r="500" ht="22" customHeight="1">
      <x:c r="A500" s="17" t="str">
        <x:f>"06289000"</x:f>
        <x:v>06289000</x:v>
      </x:c>
      <x:c r="B500" s="13" t="n">
        <x:v>42</x:v>
      </x:c>
      <x:c r="C500" s="22" t="b">
        <x:v>1</x:v>
      </x:c>
      <x:c r="D500" s="11" t="n">
        <x:v>0.014026402651021834</x:v>
      </x:c>
      <x:c r="E500" s="11" t="n">
        <x:v>0.00046521036225986666</x:v>
      </x:c>
      <x:c r="F500" s="11" t="n">
        <x:v>0.2623762488365173</x:v>
      </x:c>
      <x:c r="G500" s="13" t="n">
        <x:v>8</x:v>
      </x:c>
      <x:c r="H500" s="11" t="n">
        <x:v>0.0239862855523824</x:v>
      </x:c>
      <x:c r="I500" s="11" t="n">
        <x:v>0.0241627898067235</x:v>
      </x:c>
      <x:c r="J500" s="24" t="n">
        <x:v>137.2548460988328</x:v>
      </x:c>
      <x:c r="K500" s="24" t="n">
        <x:v>148.0790205001831</x:v>
      </x:c>
      <x:c r="L500" s="11" t="n">
        <x:v>0.301980197429657</x:v>
      </x:c>
      <x:c r="M500" s="11" t="n">
        <x:v>0.0999393239617347</x:v>
      </x:c>
    </x:row>
    <x:row r="501" ht="22" customHeight="1">
      <x:c r="A501" s="17" t="str">
        <x:f>"06289000"</x:f>
        <x:v>06289000</x:v>
      </x:c>
      <x:c r="B501" s="13" t="n">
        <x:v>42</x:v>
      </x:c>
      <x:c r="C501" s="22" t="b">
        <x:v>0</x:v>
      </x:c>
      <x:c r="D501" s="11" t="n">
        <x:v>0.047146402299404096</x:v>
      </x:c>
      <x:c r="E501" s="11" t="n">
        <x:v>0.00037106001400383335</x:v>
      </x:c>
      <x:c r="F501" s="11" t="n">
        <x:v>0.5086848735809326</x:v>
      </x:c>
      <x:c r="G501" s="13" t="n">
        <x:v>8</x:v>
      </x:c>
      <x:c r="H501" s="11" t="n">
        <x:v>0.4150709807872772</x:v>
      </x:c>
      <x:c r="I501" s="11" t="n">
        <x:v>0.5397676825523376</x:v>
      </x:c>
      <x:c r="J501" s="24" t="n">
        <x:v>135.19740137457848</x:v>
      </x:c>
      <x:c r="K501" s="24" t="n">
        <x:v>159.5733621120453</x:v>
      </x:c>
      <x:c r="L501" s="11" t="n">
        <x:v>0.5707195997238159</x:v>
      </x:c>
      <x:c r="M501" s="11" t="n">
        <x:v>0.0999332070350647</x:v>
      </x:c>
    </x:row>
    <x:row r="502" ht="22" customHeight="1">
      <x:c r="A502" s="17" t="str">
        <x:f>"06311000"</x:f>
        <x:v>06311000</x:v>
      </x:c>
      <x:c r="B502" s="13" t="n">
        <x:v>42</x:v>
      </x:c>
      <x:c r="C502" s="22" t="b">
        <x:v>1</x:v>
      </x:c>
      <x:c r="D502" s="11" t="n">
        <x:v>0.0214521456509828</x:v>
      </x:c>
      <x:c r="E502" s="11" t="n">
        <x:v>0.0006742179102729668</x:v>
      </x:c>
      <x:c r="F502" s="11" t="n">
        <x:v>0.344059407711029</x:v>
      </x:c>
      <x:c r="G502" s="13" t="n">
        <x:v>1</x:v>
      </x:c>
      <x:c r="H502" s="11" t="n">
        <x:v>0.1154723465442657</x:v>
      </x:c>
      <x:c r="I502" s="11" t="n">
        <x:v>0.1167745664715766</x:v>
      </x:c>
      <x:c r="J502" s="24" t="n">
        <x:v>136.18549663946033</x:v>
      </x:c>
      <x:c r="K502" s="24" t="n">
        <x:v>160.74175834655762</x:v>
      </x:c>
      <x:c r="L502" s="11" t="n">
        <x:v>0.9554455280303956</x:v>
      </x:c>
      <x:c r="M502" s="11" t="n">
        <x:v>0.0999393239617347</x:v>
      </x:c>
    </x:row>
    <x:row r="503" ht="22" customHeight="1">
      <x:c r="A503" s="17" t="str">
        <x:f>"06311000"</x:f>
        <x:v>06311000</x:v>
      </x:c>
      <x:c r="B503" s="13" t="n">
        <x:v>42</x:v>
      </x:c>
      <x:c r="C503" s="22" t="b">
        <x:v>0</x:v>
      </x:c>
      <x:c r="D503" s="11" t="n">
        <x:v>0.0463192723691463</x:v>
      </x:c>
      <x:c r="E503" s="11" t="n">
        <x:v>0.00023612910687606666</x:v>
      </x:c>
      <x:c r="F503" s="11" t="n">
        <x:v>0.5682381987571716</x:v>
      </x:c>
      <x:c r="G503" s="13" t="n">
        <x:v>6</x:v>
      </x:c>
      <x:c r="H503" s="11" t="n">
        <x:v>0.3819928169250488</x:v>
      </x:c>
      <x:c r="I503" s="11" t="n">
        <x:v>0.4122414290904999</x:v>
      </x:c>
      <x:c r="J503" s="24" t="n">
        <x:v>139.95947135332972</x:v>
      </x:c>
      <x:c r="K503" s="24" t="n">
        <x:v>168.80532956123352</x:v>
      </x:c>
      <x:c r="L503" s="11" t="n">
        <x:v>0.7196030020713806</x:v>
      </x:c>
      <x:c r="M503" s="11" t="n">
        <x:v>0.0999332070350647</x:v>
      </x:c>
    </x:row>
    <x:row r="504" ht="22" customHeight="1">
      <x:c r="A504" s="17" t="str">
        <x:f>"06332515"</x:f>
        <x:v>06332515</x:v>
      </x:c>
      <x:c r="B504" s="13" t="n">
        <x:v>42</x:v>
      </x:c>
      <x:c r="C504" s="22" t="b">
        <x:v>1</x:v>
      </x:c>
      <x:c r="D504" s="11" t="n">
        <x:v>0.022277228223780737</x:v>
      </x:c>
      <x:c r="E504" s="11" t="n">
        <x:v>0.0006000539287924333</x:v>
      </x:c>
      <x:c r="F504" s="11" t="n">
        <x:v>0.3143564462661743</x:v>
      </x:c>
      <x:c r="G504" s="13" t="n">
        <x:v>8</x:v>
      </x:c>
      <x:c r="H504" s="11" t="n">
        <x:v>0.0554484501481056</x:v>
      </x:c>
      <x:c r="I504" s="11" t="n">
        <x:v>0.0744307711720466</x:v>
      </x:c>
      <x:c r="J504" s="24" t="n">
        <x:v>136.38439882546663</x:v>
      </x:c>
      <x:c r="K504" s="24" t="n">
        <x:v>154.95155215263367</x:v>
      </x:c>
      <x:c r="L504" s="11" t="n">
        <x:v>0.4084158539772033</x:v>
      </x:c>
      <x:c r="M504" s="11" t="n">
        <x:v>0.0999393239617347</x:v>
      </x:c>
    </x:row>
    <x:row r="505" ht="22" customHeight="1">
      <x:c r="A505" s="17" t="str">
        <x:f>"06332515"</x:f>
        <x:v>06332515</x:v>
      </x:c>
      <x:c r="B505" s="13" t="n">
        <x:v>42</x:v>
      </x:c>
      <x:c r="C505" s="22" t="b">
        <x:v>0</x:v>
      </x:c>
      <x:c r="D505" s="11" t="n">
        <x:v>0.0496277920901775</x:v>
      </x:c>
      <x:c r="E505" s="11" t="n">
        <x:v>0.0008028389420359666</x:v>
      </x:c>
      <x:c r="F505" s="11" t="n">
        <x:v>0.5136476159095764</x:v>
      </x:c>
      <x:c r="G505" s="13" t="n">
        <x:v>1</x:v>
      </x:c>
      <x:c r="H505" s="11" t="n">
        <x:v>0.1231697127223014</x:v>
      </x:c>
      <x:c r="I505" s="11" t="n">
        <x:v>0.767977774143219</x:v>
      </x:c>
      <x:c r="J505" s="24" t="n">
        <x:v>136.163198441267</x:v>
      </x:c>
      <x:c r="K505" s="24" t="n">
        <x:v>164.78081512451172</x:v>
      </x:c>
      <x:c r="L505" s="11" t="n">
        <x:v>0.9751861095428468</x:v>
      </x:c>
      <x:c r="M505" s="11" t="n">
        <x:v>0.0999332070350647</x:v>
      </x:c>
    </x:row>
    <x:row r="506" ht="22" customHeight="1">
      <x:c r="A506" s="17" t="str">
        <x:f>"06339100"</x:f>
        <x:v>06339100</x:v>
      </x:c>
      <x:c r="B506" s="13" t="n">
        <x:v>42</x:v>
      </x:c>
      <x:c r="C506" s="22" t="b">
        <x:v>1</x:v>
      </x:c>
      <x:c r="D506" s="11" t="n">
        <x:v>0.047029702613751063</x:v>
      </x:c>
      <x:c r="E506" s="11" t="n">
        <x:v>0.0005528587013637999</x:v>
      </x:c>
      <x:c r="F506" s="11" t="n">
        <x:v>0.3861386179924011</x:v>
      </x:c>
      <x:c r="G506" s="13" t="n">
        <x:v>6</x:v>
      </x:c>
      <x:c r="H506" s="11" t="n">
        <x:v>0.1311375945806503</x:v>
      </x:c>
      <x:c r="I506" s="11" t="n">
        <x:v>0.1462824791669845</x:v>
      </x:c>
      <x:c r="J506" s="24" t="n">
        <x:v>139.41357886698097</x:v>
      </x:c>
      <x:c r="K506" s="24" t="n">
        <x:v>156.14920711517334</x:v>
      </x:c>
      <x:c r="L506" s="11" t="n">
        <x:v>0.5297029614448547</x:v>
      </x:c>
      <x:c r="M506" s="11" t="n">
        <x:v>0.0999393239617347</x:v>
      </x:c>
    </x:row>
    <x:row r="507" ht="22" customHeight="1">
      <x:c r="A507" s="17" t="str">
        <x:f>"06339100"</x:f>
        <x:v>06339100</x:v>
      </x:c>
      <x:c r="B507" s="13" t="n">
        <x:v>42</x:v>
      </x:c>
      <x:c r="C507" s="22" t="b">
        <x:v>0</x:v>
      </x:c>
      <x:c r="D507" s="11" t="n">
        <x:v>0.0504549220204353</x:v>
      </x:c>
      <x:c r="E507" s="11" t="n">
        <x:v>0.0003508203759944333</x:v>
      </x:c>
      <x:c r="F507" s="11" t="n">
        <x:v>0.5384615659713745</x:v>
      </x:c>
      <x:c r="G507" s="13" t="n">
        <x:v>2</x:v>
      </x:c>
      <x:c r="H507" s="11" t="n">
        <x:v>0.4041958153247833</x:v>
      </x:c>
      <x:c r="I507" s="11" t="n">
        <x:v>0.6308435201644897</x:v>
      </x:c>
      <x:c r="J507" s="24" t="n">
        <x:v>141.9586196122691</x:v>
      </x:c>
      <x:c r="K507" s="24" t="n">
        <x:v>168.75625228881836</x:v>
      </x:c>
      <x:c r="L507" s="11" t="n">
        <x:v>0.8858560919761658</x:v>
      </x:c>
      <x:c r="M507" s="11" t="n">
        <x:v>0.0999332070350647</x:v>
      </x:c>
    </x:row>
    <x:row r="508" ht="22" customHeight="1">
      <x:c r="A508" s="17" t="str">
        <x:f>"06339500"</x:f>
        <x:v>06339500</x:v>
      </x:c>
      <x:c r="B508" s="13" t="n">
        <x:v>42</x:v>
      </x:c>
      <x:c r="C508" s="22" t="b">
        <x:v>1</x:v>
      </x:c>
      <x:c r="D508" s="11" t="n">
        <x:v>0.034653464953104604</x:v>
      </x:c>
      <x:c r="E508" s="11" t="n">
        <x:v>0.0004247572893897</x:v>
      </x:c>
      <x:c r="F508" s="11" t="n">
        <x:v>0.4356435537338257</x:v>
      </x:c>
      <x:c r="G508" s="13" t="n">
        <x:v>7</x:v>
      </x:c>
      <x:c r="H508" s="11" t="n">
        <x:v>0.9656851291656494</x:v>
      </x:c>
      <x:c r="I508" s="11" t="n">
        <x:v>1.0617921352386477</x:v>
      </x:c>
      <x:c r="J508" s="24" t="n">
        <x:v>144.91369121149182</x:v>
      </x:c>
      <x:c r="K508" s="24" t="n">
        <x:v>159.3382077217102</x:v>
      </x:c>
      <x:c r="L508" s="11" t="n">
        <x:v>0.5618811845779419</x:v>
      </x:c>
      <x:c r="M508" s="11" t="n">
        <x:v>0.0999393239617347</x:v>
      </x:c>
    </x:row>
    <x:row r="509" ht="22" customHeight="1">
      <x:c r="A509" s="17" t="str">
        <x:f>"06339500"</x:f>
        <x:v>06339500</x:v>
      </x:c>
      <x:c r="B509" s="13" t="n">
        <x:v>42</x:v>
      </x:c>
      <x:c r="C509" s="22" t="b">
        <x:v>0</x:v>
      </x:c>
      <x:c r="D509" s="11" t="n">
        <x:v>0.040529362857341704</x:v>
      </x:c>
      <x:c r="E509" s="11" t="n">
        <x:v>0.00016191710164996666</x:v>
      </x:c>
      <x:c r="F509" s="11" t="n">
        <x:v>0.5806451439857483</x:v>
      </x:c>
      <x:c r="G509" s="13" t="n">
        <x:v>2</x:v>
      </x:c>
      <x:c r="H509" s="11" t="n">
        <x:v>2.521035671234131</x:v>
      </x:c>
      <x:c r="I509" s="11" t="n">
        <x:v>2.6476593017578125</x:v>
      </x:c>
      <x:c r="J509" s="24" t="n">
        <x:v>142.18855817522854</x:v>
      </x:c>
      <x:c r="K509" s="24" t="n">
        <x:v>169.52665424346924</x:v>
      </x:c>
      <x:c r="L509" s="11" t="n">
        <x:v>0.9230769276618958</x:v>
      </x:c>
      <x:c r="M509" s="11" t="n">
        <x:v>0.0999332070350647</x:v>
      </x:c>
    </x:row>
    <x:row r="510" ht="22" customHeight="1">
      <x:c r="A510" s="17" t="str">
        <x:f>"06344600"</x:f>
        <x:v>06344600</x:v>
      </x:c>
      <x:c r="B510" s="13" t="n">
        <x:v>42</x:v>
      </x:c>
      <x:c r="C510" s="22" t="b">
        <x:v>1</x:v>
      </x:c>
      <x:c r="D510" s="11" t="n">
        <x:v>0.0247524756317337</x:v>
      </x:c>
      <x:c r="E510" s="11" t="n">
        <x:v>0.00026294498335719996</x:v>
      </x:c>
      <x:c r="F510" s="11" t="n">
        <x:v>0.3589108884334564</x:v>
      </x:c>
      <x:c r="G510" s="13" t="n">
        <x:v>8</x:v>
      </x:c>
      <x:c r="H510" s="11" t="n">
        <x:v>0.1358169019222259</x:v>
      </x:c>
      <x:c r="I510" s="11" t="n">
        <x:v>0.1640303879976272</x:v>
      </x:c>
      <x:c r="J510" s="24" t="n">
        <x:v>143.46953690052032</x:v>
      </x:c>
      <x:c r="K510" s="24" t="n">
        <x:v>157.93617367744446</x:v>
      </x:c>
      <x:c r="L510" s="11" t="n">
        <x:v>0.4331683218479156</x:v>
      </x:c>
      <x:c r="M510" s="11" t="n">
        <x:v>0.0999393239617347</x:v>
      </x:c>
    </x:row>
    <x:row r="511" ht="22" customHeight="1">
      <x:c r="A511" s="17" t="str">
        <x:f>"06344600"</x:f>
        <x:v>06344600</x:v>
      </x:c>
      <x:c r="B511" s="13" t="n">
        <x:v>42</x:v>
      </x:c>
      <x:c r="C511" s="22" t="b">
        <x:v>0</x:v>
      </x:c>
      <x:c r="D511" s="11" t="n">
        <x:v>0.033085194105903236</x:v>
      </x:c>
      <x:c r="E511" s="11" t="n">
        <x:v>0.0010119818616657666</x:v>
      </x:c>
      <x:c r="F511" s="11" t="n">
        <x:v>0.4094292819499969</x:v>
      </x:c>
      <x:c r="G511" s="13" t="n">
        <x:v>1</x:v>
      </x:c>
      <x:c r="H511" s="11" t="n">
        <x:v>0.3101099729537964</x:v>
      </x:c>
      <x:c r="I511" s="11" t="n">
        <x:v>0.5682148337364197</x:v>
      </x:c>
      <x:c r="J511" s="24" t="n">
        <x:v>141.44428012799472</x:v>
      </x:c>
      <x:c r="K511" s="24" t="n">
        <x:v>156.60380959510803</x:v>
      </x:c>
      <x:c r="L511" s="11" t="n">
        <x:v>0.8511165976524353</x:v>
      </x:c>
      <x:c r="M511" s="11" t="n">
        <x:v>0.0999332070350647</x:v>
      </x:c>
    </x:row>
    <x:row r="512" ht="22" customHeight="1">
      <x:c r="A512" s="17" t="str">
        <x:f>"06350000"</x:f>
        <x:v>06350000</x:v>
      </x:c>
      <x:c r="B512" s="13" t="n">
        <x:v>42</x:v>
      </x:c>
      <x:c r="C512" s="22" t="b">
        <x:v>1</x:v>
      </x:c>
      <x:c r="D512" s="11" t="n">
        <x:v>0.024752475942174532</x:v>
      </x:c>
      <x:c r="E512" s="11" t="n">
        <x:v>0.0003236245926624333</x:v>
      </x:c>
      <x:c r="F512" s="11" t="n">
        <x:v>0.3737623691558838</x:v>
      </x:c>
      <x:c r="G512" s="13" t="n">
        <x:v>9</x:v>
      </x:c>
      <x:c r="H512" s="11" t="n">
        <x:v>0.8510094881057739</x:v>
      </x:c>
      <x:c r="I512" s="11" t="n">
        <x:v>0.9792495965957642</x:v>
      </x:c>
      <x:c r="J512" s="24" t="n">
        <x:v>141.82267002854496</x:v>
      </x:c>
      <x:c r="K512" s="24" t="n">
        <x:v>159.08578157424927</x:v>
      </x:c>
      <x:c r="L512" s="11" t="n">
        <x:v>0.396039605140686</x:v>
      </x:c>
      <x:c r="M512" s="11" t="n">
        <x:v>0.0999393239617347</x:v>
      </x:c>
    </x:row>
    <x:row r="513" ht="22" customHeight="1">
      <x:c r="A513" s="17" t="str">
        <x:f>"06350000"</x:f>
        <x:v>06350000</x:v>
      </x:c>
      <x:c r="B513" s="13" t="n">
        <x:v>42</x:v>
      </x:c>
      <x:c r="C513" s="22" t="b">
        <x:v>0</x:v>
      </x:c>
      <x:c r="D513" s="11" t="n">
        <x:v>0.05210918063918744</x:v>
      </x:c>
      <x:c r="E513" s="11" t="n">
        <x:v>0.0002563687351842</x:v>
      </x:c>
      <x:c r="F513" s="11" t="n">
        <x:v>0.5210918188095093</x:v>
      </x:c>
      <x:c r="G513" s="13" t="n">
        <x:v>2</x:v>
      </x:c>
      <x:c r="H513" s="11" t="n">
        <x:v>2.395128011703491</x:v>
      </x:c>
      <x:c r="I513" s="11" t="n">
        <x:v>2.6387650966644287</x:v>
      </x:c>
      <x:c r="J513" s="24" t="n">
        <x:v>140.2056794995442</x:v>
      </x:c>
      <x:c r="K513" s="24" t="n">
        <x:v>161.4367117881775</x:v>
      </x:c>
      <x:c r="L513" s="11" t="n">
        <x:v>0.8585608005523682</x:v>
      </x:c>
      <x:c r="M513" s="11" t="n">
        <x:v>0.0999332070350647</x:v>
      </x:c>
    </x:row>
    <x:row r="514" ht="22" customHeight="1">
      <x:c r="A514" s="17" t="str">
        <x:f>"06352000"</x:f>
        <x:v>06352000</x:v>
      </x:c>
      <x:c r="B514" s="13" t="n">
        <x:v>42</x:v>
      </x:c>
      <x:c r="C514" s="22" t="b">
        <x:v>1</x:v>
      </x:c>
      <x:c r="D514" s="11" t="n">
        <x:v>0.028877887874841666</x:v>
      </x:c>
      <x:c r="E514" s="11" t="n">
        <x:v>0.0003303667763247667</x:v>
      </x:c>
      <x:c r="F514" s="11" t="n">
        <x:v>0.3292079269886017</x:v>
      </x:c>
      <x:c r="G514" s="13" t="n">
        <x:v>9</x:v>
      </x:c>
      <x:c r="H514" s="11" t="n">
        <x:v>1.5168558359146118</x:v>
      </x:c>
      <x:c r="I514" s="11" t="n">
        <x:v>1.6504770517349243</x:v>
      </x:c>
      <x:c r="J514" s="24" t="n">
        <x:v>138.41480606328696</x:v>
      </x:c>
      <x:c r="K514" s="24" t="n">
        <x:v>154.54184293746948</x:v>
      </x:c>
      <x:c r="L514" s="11" t="n">
        <x:v>0.3688118755817413</x:v>
      </x:c>
      <x:c r="M514" s="11" t="n">
        <x:v>0.0999393239617347</x:v>
      </x:c>
    </x:row>
    <x:row r="515" ht="22" customHeight="1">
      <x:c r="A515" s="17" t="str">
        <x:f>"06352000"</x:f>
        <x:v>06352000</x:v>
      </x:c>
      <x:c r="B515" s="13" t="n">
        <x:v>42</x:v>
      </x:c>
      <x:c r="C515" s="22" t="b">
        <x:v>0</x:v>
      </x:c>
      <x:c r="D515" s="11" t="n">
        <x:v>0.0397022329270839</x:v>
      </x:c>
      <x:c r="E515" s="11" t="n">
        <x:v>0.00043852546756773333</x:v>
      </x:c>
      <x:c r="F515" s="11" t="n">
        <x:v>0.4888337552547455</x:v>
      </x:c>
      <x:c r="G515" s="13" t="n">
        <x:v>10</x:v>
      </x:c>
      <x:c r="H515" s="11" t="n">
        <x:v>3.2284324169158936</x:v>
      </x:c>
      <x:c r="I515" s="11" t="n">
        <x:v>3.2284324169158936</x:v>
      </x:c>
      <x:c r="J515" s="24" t="n">
        <x:v>136.44264964479953</x:v>
      </x:c>
      <x:c r="K515" s="24" t="n">
        <x:v>150.78442668914795</x:v>
      </x:c>
      <x:c r="L515" s="11" t="n">
        <x:v>0.4888337552547455</x:v>
      </x:c>
      <x:c r="M515" s="11" t="n">
        <x:v>0.0999332070350647</x:v>
      </x:c>
    </x:row>
    <x:row r="516" ht="22" customHeight="1">
      <x:c r="A516" s="17" t="str">
        <x:f>"06353000"</x:f>
        <x:v>06353000</x:v>
      </x:c>
      <x:c r="B516" s="13" t="n">
        <x:v>42</x:v>
      </x:c>
      <x:c r="C516" s="22" t="b">
        <x:v>1</x:v>
      </x:c>
      <x:c r="D516" s="11" t="n">
        <x:v>0.03052805302043753</x:v>
      </x:c>
      <x:c r="E516" s="11" t="n">
        <x:v>0.0002966558774156333</x:v>
      </x:c>
      <x:c r="F516" s="11" t="n">
        <x:v>0.3589108884334564</x:v>
      </x:c>
      <x:c r="G516" s="13" t="n">
        <x:v>10</x:v>
      </x:c>
      <x:c r="H516" s="11" t="n">
        <x:v>0.3064635097980499</x:v>
      </x:c>
      <x:c r="I516" s="11" t="n">
        <x:v>0.3064635097980499</x:v>
      </x:c>
      <x:c r="J516" s="24" t="n">
        <x:v>137.23954471945763</x:v>
      </x:c>
      <x:c r="K516" s="24" t="n">
        <x:v>151.92290902137756</x:v>
      </x:c>
      <x:c r="L516" s="11" t="n">
        <x:v>0.3589108884334564</x:v>
      </x:c>
      <x:c r="M516" s="11" t="n">
        <x:v>0.0999393239617347</x:v>
      </x:c>
    </x:row>
    <x:row r="517" ht="22" customHeight="1">
      <x:c r="A517" s="17" t="str">
        <x:f>"06353000"</x:f>
        <x:v>06353000</x:v>
      </x:c>
      <x:c r="B517" s="13" t="n">
        <x:v>42</x:v>
      </x:c>
      <x:c r="C517" s="22" t="b">
        <x:v>0</x:v>
      </x:c>
      <x:c r="D517" s="11" t="n">
        <x:v>0.045492142438888494</x:v>
      </x:c>
      <x:c r="E517" s="11" t="n">
        <x:v>0.00022938255763916668</x:v>
      </x:c>
      <x:c r="F517" s="11" t="n">
        <x:v>0.4714640080928802</x:v>
      </x:c>
      <x:c r="G517" s="13" t="n">
        <x:v>7</x:v>
      </x:c>
      <x:c r="H517" s="11" t="n">
        <x:v>2.2250864505767822</x:v>
      </x:c>
      <x:c r="I517" s="11" t="n">
        <x:v>2.772115707397461</x:v>
      </x:c>
      <x:c r="J517" s="24" t="n">
        <x:v>136.311226204969</x:v>
      </x:c>
      <x:c r="K517" s="24" t="n">
        <x:v>155.75408482551575</x:v>
      </x:c>
      <x:c r="L517" s="11" t="n">
        <x:v>0.555831253528595</x:v>
      </x:c>
      <x:c r="M517" s="11" t="n">
        <x:v>0.0999332070350647</x:v>
      </x:c>
    </x:row>
    <x:row r="518" ht="22" customHeight="1">
      <x:c r="A518" s="17" t="str">
        <x:f>"06354000"</x:f>
        <x:v>06354000</x:v>
      </x:c>
      <x:c r="B518" s="13" t="n">
        <x:v>42</x:v>
      </x:c>
      <x:c r="C518" s="22" t="b">
        <x:v>1</x:v>
      </x:c>
      <x:c r="D518" s="11" t="n">
        <x:v>0.028877887874841635</x:v>
      </x:c>
      <x:c r="E518" s="11" t="n">
        <x:v>0.00043149944394823333</x:v>
      </x:c>
      <x:c r="F518" s="11" t="n">
        <x:v>0.4133663475513458</x:v>
      </x:c>
      <x:c r="G518" s="13" t="n">
        <x:v>8</x:v>
      </x:c>
      <x:c r="H518" s="11" t="n">
        <x:v>0.3948186337947845</x:v>
      </x:c>
      <x:c r="I518" s="11" t="n">
        <x:v>0.4140763878822326</x:v>
      </x:c>
      <x:c r="J518" s="24" t="n">
        <x:v>138.75587545428425</x:v>
      </x:c>
      <x:c r="K518" s="24" t="n">
        <x:v>156.5412266254425</x:v>
      </x:c>
      <x:c r="L518" s="11" t="n">
        <x:v>0.5123762488365173</x:v>
      </x:c>
      <x:c r="M518" s="11" t="n">
        <x:v>0.0999393239617347</x:v>
      </x:c>
    </x:row>
    <x:row r="519" ht="22" customHeight="1">
      <x:c r="A519" s="17" t="str">
        <x:f>"06354000"</x:f>
        <x:v>06354000</x:v>
      </x:c>
      <x:c r="B519" s="13" t="n">
        <x:v>42</x:v>
      </x:c>
      <x:c r="C519" s="22" t="b">
        <x:v>0</x:v>
      </x:c>
      <x:c r="D519" s="11" t="n">
        <x:v>0.0272952858358621</x:v>
      </x:c>
      <x:c r="E519" s="11" t="n">
        <x:v>0.0002968480160537</x:v>
      </x:c>
      <x:c r="F519" s="11" t="n">
        <x:v>0.3846153914928436</x:v>
      </x:c>
      <x:c r="G519" s="13" t="n">
        <x:v>7</x:v>
      </x:c>
      <x:c r="H519" s="11" t="n">
        <x:v>2.394806385040283</x:v>
      </x:c>
      <x:c r="I519" s="11" t="n">
        <x:v>2.40964412689209</x:v>
      </x:c>
      <x:c r="J519" s="24" t="n">
        <x:v>136.90980863943696</x:v>
      </x:c>
      <x:c r="K519" s="24" t="n">
        <x:v>153.42693996429443</x:v>
      </x:c>
      <x:c r="L519" s="11" t="n">
        <x:v>0.4640198647975921</x:v>
      </x:c>
      <x:c r="M519" s="11" t="n">
        <x:v>0.0999332070350647</x:v>
      </x:c>
    </x:row>
    <x:row r="520" ht="22" customHeight="1">
      <x:c r="A520" s="17" t="str">
        <x:f>"06360500"</x:f>
        <x:v>06360500</x:v>
      </x:c>
      <x:c r="B520" s="13" t="n">
        <x:v>42</x:v>
      </x:c>
      <x:c r="C520" s="22" t="b">
        <x:v>1</x:v>
      </x:c>
      <x:c r="D520" s="11" t="n">
        <x:v>0.014851485068599334</x:v>
      </x:c>
      <x:c r="E520" s="11" t="n">
        <x:v>0.000498921261169</x:v>
      </x:c>
      <x:c r="F520" s="11" t="n">
        <x:v>0.3292079269886017</x:v>
      </x:c>
      <x:c r="G520" s="13" t="n">
        <x:v>6</x:v>
      </x:c>
      <x:c r="H520" s="11" t="n">
        <x:v>0.4179008305072784</x:v>
      </x:c>
      <x:c r="I520" s="11" t="n">
        <x:v>0.4724657833576202</x:v>
      </x:c>
      <x:c r="J520" s="24" t="n">
        <x:v>135.9655125932768</x:v>
      </x:c>
      <x:c r="K520" s="24" t="n">
        <x:v>151.22574973106384</x:v>
      </x:c>
      <x:c r="L520" s="11" t="n">
        <x:v>0.4950495064258575</x:v>
      </x:c>
      <x:c r="M520" s="11" t="n">
        <x:v>0.0999393239617347</x:v>
      </x:c>
    </x:row>
    <x:row r="521" ht="22" customHeight="1">
      <x:c r="A521" s="17" t="str">
        <x:f>"06360500"</x:f>
        <x:v>06360500</x:v>
      </x:c>
      <x:c r="B521" s="13" t="n">
        <x:v>42</x:v>
      </x:c>
      <x:c r="C521" s="22" t="b">
        <x:v>0</x:v>
      </x:c>
      <x:c r="D521" s="11" t="n">
        <x:v>0.03722084375719223</x:v>
      </x:c>
      <x:c r="E521" s="11" t="n">
        <x:v>0.00020914291962976668</x:v>
      </x:c>
      <x:c r="F521" s="11" t="n">
        <x:v>0.4689826369285583</x:v>
      </x:c>
      <x:c r="G521" s="13" t="n">
        <x:v>6</x:v>
      </x:c>
      <x:c r="H521" s="11" t="n">
        <x:v>1.8102986812591555</x:v>
      </x:c>
      <x:c r="I521" s="11" t="n">
        <x:v>1.8393073081970213</x:v>
      </x:c>
      <x:c r="J521" s="24" t="n">
        <x:v>139.3869952475652</x:v>
      </x:c>
      <x:c r="K521" s="24" t="n">
        <x:v>157.3523509502411</x:v>
      </x:c>
      <x:c r="L521" s="11" t="n">
        <x:v>0.6352357268333435</x:v>
      </x:c>
      <x:c r="M521" s="11" t="n">
        <x:v>0.0999332070350647</x:v>
      </x:c>
    </x:row>
    <x:row r="522" ht="22" customHeight="1">
      <x:c r="A522" s="17" t="str">
        <x:f>"06404000"</x:f>
        <x:v>06404000</x:v>
      </x:c>
      <x:c r="B522" s="13" t="n">
        <x:v>42</x:v>
      </x:c>
      <x:c r="C522" s="22" t="b">
        <x:v>1</x:v>
      </x:c>
      <x:c r="D522" s="11" t="n">
        <x:v>0.0214521456509828</x:v>
      </x:c>
      <x:c r="E522" s="11" t="n">
        <x:v>0.0003033980513767333</x:v>
      </x:c>
      <x:c r="F522" s="11" t="n">
        <x:v>0.3366336524486542</x:v>
      </x:c>
      <x:c r="G522" s="13" t="n">
        <x:v>1</x:v>
      </x:c>
      <x:c r="H522" s="11" t="n">
        <x:v>0.0670800134539604</x:v>
      </x:c>
      <x:c r="I522" s="11" t="n">
        <x:v>0.2044488340616226</x:v>
      </x:c>
      <x:c r="J522" s="24" t="n">
        <x:v>141.71168736554682</x:v>
      </x:c>
      <x:c r="K522" s="24" t="n">
        <x:v>169.26248502731323</x:v>
      </x:c>
      <x:c r="L522" s="11" t="n">
        <x:v>0.952970325946808</x:v>
      </x:c>
      <x:c r="M522" s="11" t="n">
        <x:v>0.0999393239617347</x:v>
      </x:c>
    </x:row>
    <x:row r="523" ht="22" customHeight="1">
      <x:c r="A523" s="17" t="str">
        <x:f>"06404000"</x:f>
        <x:v>06404000</x:v>
      </x:c>
      <x:c r="B523" s="13" t="n">
        <x:v>42</x:v>
      </x:c>
      <x:c r="C523" s="22" t="b">
        <x:v>0</x:v>
      </x:c>
      <x:c r="D523" s="11" t="n">
        <x:v>0.033085194726784964</x:v>
      </x:c>
      <x:c r="E523" s="11" t="n">
        <x:v>0.00036431346476693333</x:v>
      </x:c>
      <x:c r="F523" s="11" t="n">
        <x:v>0.4416873455047607</x:v>
      </x:c>
      <x:c r="G523" s="13" t="n">
        <x:v>1</x:v>
      </x:c>
      <x:c r="H523" s="11" t="n">
        <x:v>0.1450279355049133</x:v>
      </x:c>
      <x:c r="I523" s="11" t="n">
        <x:v>0.1722162514925003</x:v>
      </x:c>
      <x:c r="J523" s="24" t="n">
        <x:v>142.39548733178526</x:v>
      </x:c>
      <x:c r="K523" s="24" t="n">
        <x:v>172.0973539352417</x:v>
      </x:c>
      <x:c r="L523" s="11" t="n">
        <x:v>0.9553349614143372</x:v>
      </x:c>
      <x:c r="M523" s="11" t="n">
        <x:v>0.0999332070350647</x:v>
      </x:c>
    </x:row>
    <x:row r="524" ht="22" customHeight="1">
      <x:c r="A524" s="17" t="str">
        <x:f>"06406000"</x:f>
        <x:v>06406000</x:v>
      </x:c>
      <x:c r="B524" s="13" t="n">
        <x:v>42</x:v>
      </x:c>
      <x:c r="C524" s="22" t="b">
        <x:v>1</x:v>
      </x:c>
      <x:c r="D524" s="11" t="n">
        <x:v>0.017326732786993135</x:v>
      </x:c>
      <x:c r="E524" s="11" t="n">
        <x:v>0.0007281553407665001</x:v>
      </x:c>
      <x:c r="F524" s="11" t="n">
        <x:v>0.3935643434524536</x:v>
      </x:c>
      <x:c r="G524" s="13" t="n">
        <x:v>1</x:v>
      </x:c>
      <x:c r="H524" s="11" t="n">
        <x:v>0.5409721732139587</x:v>
      </x:c>
      <x:c r="I524" s="11" t="n">
        <x:v>0.6687577366828918</x:v>
      </x:c>
      <x:c r="J524" s="24" t="n">
        <x:v>136.85920228529721</x:v>
      </x:c>
      <x:c r="K524" s="24" t="n">
        <x:v>173.05014991760254</x:v>
      </x:c>
      <x:c r="L524" s="11" t="n">
        <x:v>0.9430692791938782</x:v>
      </x:c>
      <x:c r="M524" s="11" t="n">
        <x:v>0.0999393239617347</x:v>
      </x:c>
    </x:row>
    <x:row r="525" ht="22" customHeight="1">
      <x:c r="A525" s="17" t="str">
        <x:f>"06406000"</x:f>
        <x:v>06406000</x:v>
      </x:c>
      <x:c r="B525" s="13" t="n">
        <x:v>42</x:v>
      </x:c>
      <x:c r="C525" s="22" t="b">
        <x:v>0</x:v>
      </x:c>
      <x:c r="D525" s="11" t="n">
        <x:v>0.03225806479652717</x:v>
      </x:c>
      <x:c r="E525" s="11" t="n">
        <x:v>0.0005127374800697667</x:v>
      </x:c>
      <x:c r="F525" s="11" t="n">
        <x:v>0.5508685111999512</x:v>
      </x:c>
      <x:c r="G525" s="13" t="n">
        <x:v>10</x:v>
      </x:c>
      <x:c r="H525" s="11" t="n">
        <x:v>0.6654143333435059</x:v>
      </x:c>
      <x:c r="I525" s="11" t="n">
        <x:v>0.6654143333435059</x:v>
      </x:c>
      <x:c r="J525" s="24" t="n">
        <x:v>141.74036018829793</x:v>
      </x:c>
      <x:c r="K525" s="24" t="n">
        <x:v>160.37869906425476</x:v>
      </x:c>
      <x:c r="L525" s="11" t="n">
        <x:v>0.5508685111999512</x:v>
      </x:c>
      <x:c r="M525" s="11" t="n">
        <x:v>0.0999332070350647</x:v>
      </x:c>
    </x:row>
    <x:row r="526" ht="22" customHeight="1">
      <x:c r="A526" s="17" t="str">
        <x:f>"06409000"</x:f>
        <x:v>06409000</x:v>
      </x:c>
      <x:c r="B526" s="13" t="n">
        <x:v>42</x:v>
      </x:c>
      <x:c r="C526" s="22" t="b">
        <x:v>1</x:v>
      </x:c>
      <x:c r="D526" s="11" t="n">
        <x:v>0.0189768977773686</x:v>
      </x:c>
      <x:c r="E526" s="11" t="n">
        <x:v>0.0005798274166105666</x:v>
      </x:c>
      <x:c r="F526" s="11" t="n">
        <x:v>0.3094059526920318</x:v>
      </x:c>
      <x:c r="G526" s="13" t="n">
        <x:v>5</x:v>
      </x:c>
      <x:c r="H526" s="11" t="n">
        <x:v>0.0190576948225498</x:v>
      </x:c>
      <x:c r="I526" s="11" t="n">
        <x:v>0.0194444749504327</x:v>
      </x:c>
      <x:c r="J526" s="24" t="n">
        <x:v>141.63579020556062</x:v>
      </x:c>
      <x:c r="K526" s="24" t="n">
        <x:v>154.9608759880066</x:v>
      </x:c>
      <x:c r="L526" s="11" t="n">
        <x:v>0.5544554591178894</x:v>
      </x:c>
      <x:c r="M526" s="11" t="n">
        <x:v>0.0999393239617347</x:v>
      </x:c>
    </x:row>
    <x:row r="527" ht="22" customHeight="1">
      <x:c r="A527" s="17" t="str">
        <x:f>"06409000"</x:f>
        <x:v>06409000</x:v>
      </x:c>
      <x:c r="B527" s="13" t="n">
        <x:v>42</x:v>
      </x:c>
      <x:c r="C527" s="22" t="b">
        <x:v>0</x:v>
      </x:c>
      <x:c r="D527" s="11" t="n">
        <x:v>0.054590571671724264</x:v>
      </x:c>
      <x:c r="E527" s="11" t="n">
        <x:v>0.0006206821902499</x:v>
      </x:c>
      <x:c r="F527" s="11" t="n">
        <x:v>0.5285359621047974</x:v>
      </x:c>
      <x:c r="G527" s="13" t="n">
        <x:v>1</x:v>
      </x:c>
      <x:c r="H527" s="11" t="n">
        <x:v>0.7309718132019043</x:v>
      </x:c>
      <x:c r="I527" s="11" t="n">
        <x:v>0.9620342254638672</x:v>
      </x:c>
      <x:c r="J527" s="24" t="n">
        <x:v>139.77458058297634</x:v>
      </x:c>
      <x:c r="K527" s="24" t="n">
        <x:v>157.79101014137268</x:v>
      </x:c>
      <x:c r="L527" s="11" t="n">
        <x:v>0.970223307609558</x:v>
      </x:c>
      <x:c r="M527" s="11" t="n">
        <x:v>0.0999332070350647</x:v>
      </x:c>
    </x:row>
    <x:row r="528" ht="22" customHeight="1">
      <x:c r="A528" s="17" t="str">
        <x:f>"06431500"</x:f>
        <x:v>06431500</x:v>
      </x:c>
      <x:c r="B528" s="13" t="n">
        <x:v>42</x:v>
      </x:c>
      <x:c r="C528" s="22" t="b">
        <x:v>1</x:v>
      </x:c>
      <x:c r="D528" s="11" t="n">
        <x:v>0.014851485301429967</x:v>
      </x:c>
      <x:c r="E528" s="11" t="n">
        <x:v>0.0008495145593769333</x:v>
      </x:c>
      <x:c r="F528" s="11" t="n">
        <x:v>0.2475247532129287</x:v>
      </x:c>
      <x:c r="G528" s="13" t="n">
        <x:v>8</x:v>
      </x:c>
      <x:c r="H528" s="11" t="n">
        <x:v>0.11570455878973</x:v>
      </x:c>
      <x:c r="I528" s="11" t="n">
        <x:v>0.119397796690464</x:v>
      </x:c>
      <x:c r="J528" s="24" t="n">
        <x:v>138.68357968796045</x:v>
      </x:c>
      <x:c r="K528" s="24" t="n">
        <x:v>152.0659396648407</x:v>
      </x:c>
      <x:c r="L528" s="11" t="n">
        <x:v>0.2970297038555145</x:v>
      </x:c>
      <x:c r="M528" s="11" t="n">
        <x:v>0.0999393239617347</x:v>
      </x:c>
    </x:row>
    <x:row r="529" ht="22" customHeight="1">
      <x:c r="A529" s="17" t="str">
        <x:f>"06431500"</x:f>
        <x:v>06431500</x:v>
      </x:c>
      <x:c r="B529" s="13" t="n">
        <x:v>42</x:v>
      </x:c>
      <x:c r="C529" s="22" t="b">
        <x:v>0</x:v>
      </x:c>
      <x:c r="D529" s="11" t="n">
        <x:v>0.02646815528472257</x:v>
      </x:c>
      <x:c r="E529" s="11" t="n">
        <x:v>0.0005194840099041334</x:v>
      </x:c>
      <x:c r="F529" s="11" t="n">
        <x:v>0.4243176281452179</x:v>
      </x:c>
      <x:c r="G529" s="13" t="n">
        <x:v>7</x:v>
      </x:c>
      <x:c r="H529" s="11" t="n">
        <x:v>0.3113236427307129</x:v>
      </x:c>
      <x:c r="I529" s="11" t="n">
        <x:v>0.3738465905189514</x:v>
      </x:c>
      <x:c r="J529" s="24" t="n">
        <x:v>139.1030224179849</x:v>
      </x:c>
      <x:c r="K529" s="24" t="n">
        <x:v>154.71180081367493</x:v>
      </x:c>
      <x:c r="L529" s="11" t="n">
        <x:v>0.5210918188095093</x:v>
      </x:c>
      <x:c r="M529" s="11" t="n">
        <x:v>0.0999332070350647</x:v>
      </x:c>
    </x:row>
    <x:row r="530" ht="22" customHeight="1">
      <x:c r="A530" s="17" t="str">
        <x:f>"06447000"</x:f>
        <x:v>06447000</x:v>
      </x:c>
      <x:c r="B530" s="13" t="n">
        <x:v>42</x:v>
      </x:c>
      <x:c r="C530" s="22" t="b">
        <x:v>1</x:v>
      </x:c>
      <x:c r="D530" s="11" t="n">
        <x:v>0.03217821816603337</x:v>
      </x:c>
      <x:c r="E530" s="11" t="n">
        <x:v>0.0006944444612599334</x:v>
      </x:c>
      <x:c r="F530" s="11" t="n">
        <x:v>0.4504950642585754</x:v>
      </x:c>
      <x:c r="G530" s="13" t="n">
        <x:v>7</x:v>
      </x:c>
      <x:c r="H530" s="11" t="n">
        <x:v>0.2542954385280609</x:v>
      </x:c>
      <x:c r="I530" s="11" t="n">
        <x:v>0.2658468782901764</x:v>
      </x:c>
      <x:c r="J530" s="24" t="n">
        <x:v>137.79486057069153</x:v>
      </x:c>
      <x:c r="K530" s="24" t="n">
        <x:v>153.862322807312</x:v>
      </x:c>
      <x:c r="L530" s="11" t="n">
        <x:v>0.5445544719696045</x:v>
      </x:c>
      <x:c r="M530" s="11" t="n">
        <x:v>0.0999393239617347</x:v>
      </x:c>
    </x:row>
    <x:row r="531" ht="22" customHeight="1">
      <x:c r="A531" s="17" t="str">
        <x:f>"06447000"</x:f>
        <x:v>06447000</x:v>
      </x:c>
      <x:c r="B531" s="13" t="n">
        <x:v>42</x:v>
      </x:c>
      <x:c r="C531" s="22" t="b">
        <x:v>0</x:v>
      </x:c>
      <x:c r="D531" s="11" t="n">
        <x:v>0.0438378825783729</x:v>
      </x:c>
      <x:c r="E531" s="11" t="n">
        <x:v>0.0003980462012501667</x:v>
      </x:c>
      <x:c r="F531" s="11" t="n">
        <x:v>0.5607940554618835</x:v>
      </x:c>
      <x:c r="G531" s="13" t="n">
        <x:v>7</x:v>
      </x:c>
      <x:c r="H531" s="11" t="n">
        <x:v>0.4167309403419494</x:v>
      </x:c>
      <x:c r="I531" s="11" t="n">
        <x:v>0.4175010621547699</x:v>
      </x:c>
      <x:c r="J531" s="24" t="n">
        <x:v>138.59045966807753</x:v>
      </x:c>
      <x:c r="K531" s="24" t="n">
        <x:v>156.7871961593628</x:v>
      </x:c>
      <x:c r="L531" s="11" t="n">
        <x:v>0.6501240730285645</x:v>
      </x:c>
      <x:c r="M531" s="11" t="n">
        <x:v>0.0999332070350647</x:v>
      </x:c>
    </x:row>
    <x:row r="532" ht="22" customHeight="1">
      <x:c r="A532" s="17" t="str">
        <x:f>"06447500"</x:f>
        <x:v>06447500</x:v>
      </x:c>
      <x:c r="B532" s="13" t="n">
        <x:v>42</x:v>
      </x:c>
      <x:c r="C532" s="22" t="b">
        <x:v>1</x:v>
      </x:c>
      <x:c r="D532" s="11" t="n">
        <x:v>0.02557755820453163</x:v>
      </x:c>
      <x:c r="E532" s="11" t="n">
        <x:v>0.0005798274069093</x:v>
      </x:c>
      <x:c r="F532" s="11" t="n">
        <x:v>0.5123762488365173</x:v>
      </x:c>
      <x:c r="G532" s="13" t="n">
        <x:v>4</x:v>
      </x:c>
      <x:c r="H532" s="11" t="n">
        <x:v>0.0163787920027971</x:v>
      </x:c>
      <x:c r="I532" s="11" t="n">
        <x:v>0.0167329292744398</x:v>
      </x:c>
      <x:c r="J532" s="24" t="n">
        <x:v>142.09417540952563</x:v>
      </x:c>
      <x:c r="K532" s="24" t="n">
        <x:v>172.92684960365295</x:v>
      </x:c>
      <x:c r="L532" s="11" t="n">
        <x:v>0.7351484894752502</x:v>
      </x:c>
      <x:c r="M532" s="11" t="n">
        <x:v>0.0999393239617347</x:v>
      </x:c>
    </x:row>
    <x:row r="533" ht="22" customHeight="1">
      <x:c r="A533" s="17" t="str">
        <x:f>"06447500"</x:f>
        <x:v>06447500</x:v>
      </x:c>
      <x:c r="B533" s="13" t="n">
        <x:v>42</x:v>
      </x:c>
      <x:c r="C533" s="22" t="b">
        <x:v>0</x:v>
      </x:c>
      <x:c r="D533" s="11" t="n">
        <x:v>0.028949545075495967</x:v>
      </x:c>
      <x:c r="E533" s="11" t="n">
        <x:v>0.0005734563843967667</x:v>
      </x:c>
      <x:c r="F533" s="11" t="n">
        <x:v>0.4491315186023712</x:v>
      </x:c>
      <x:c r="G533" s="13" t="n">
        <x:v>10</x:v>
      </x:c>
      <x:c r="H533" s="11" t="n">
        <x:v>0.0903597250580787</x:v>
      </x:c>
      <x:c r="I533" s="11" t="n">
        <x:v>0.0903597250580787</x:v>
      </x:c>
      <x:c r="J533" s="24" t="n">
        <x:v>139.56093706283718</x:v>
      </x:c>
      <x:c r="K533" s="24" t="n">
        <x:v>156.0003719329834</x:v>
      </x:c>
      <x:c r="L533" s="11" t="n">
        <x:v>0.4491315186023712</x:v>
      </x:c>
      <x:c r="M533" s="11" t="n">
        <x:v>0.0999332070350647</x:v>
      </x:c>
    </x:row>
    <x:row r="534" ht="22" customHeight="1">
      <x:c r="A534" s="17" t="str">
        <x:f>"06450500"</x:f>
        <x:v>06450500</x:v>
      </x:c>
      <x:c r="B534" s="13" t="n">
        <x:v>42</x:v>
      </x:c>
      <x:c r="C534" s="22" t="b">
        <x:v>1</x:v>
      </x:c>
      <x:c r="D534" s="11" t="n">
        <x:v>0.02392739243805403</x:v>
      </x:c>
      <x:c r="E534" s="11" t="n">
        <x:v>0.0005663430589871667</x:v>
      </x:c>
      <x:c r="F534" s="11" t="n">
        <x:v>0.3069306910037994</x:v>
      </x:c>
      <x:c r="G534" s="13" t="n">
        <x:v>6</x:v>
      </x:c>
      <x:c r="H534" s="11" t="n">
        <x:v>0.1305104941129684</x:v>
      </x:c>
      <x:c r="I534" s="11" t="n">
        <x:v>0.1467979699373245</x:v>
      </x:c>
      <x:c r="J534" s="24" t="n">
        <x:v>146.72587069217116</x:v>
      </x:c>
      <x:c r="K534" s="24" t="n">
        <x:v>159.03172159194946</x:v>
      </x:c>
      <x:c r="L534" s="11" t="n">
        <x:v>0.4702970385551452</x:v>
      </x:c>
      <x:c r="M534" s="11" t="n">
        <x:v>0.0999393239617347</x:v>
      </x:c>
    </x:row>
    <x:row r="535" ht="22" customHeight="1">
      <x:c r="A535" s="17" t="str">
        <x:f>"06450500"</x:f>
        <x:v>06450500</x:v>
      </x:c>
      <x:c r="B535" s="13" t="n">
        <x:v>42</x:v>
      </x:c>
      <x:c r="C535" s="22" t="b">
        <x:v>0</x:v>
      </x:c>
      <x:c r="D535" s="11" t="n">
        <x:v>0.048800662159919704</x:v>
      </x:c>
      <x:c r="E535" s="11" t="n">
        <x:v>0.0006139356604156</x:v>
      </x:c>
      <x:c r="F535" s="11" t="n">
        <x:v>0.4640198647975921</x:v>
      </x:c>
      <x:c r="G535" s="13" t="n">
        <x:v>1</x:v>
      </x:c>
      <x:c r="H535" s="11" t="n">
        <x:v>0.2533377408981323</x:v>
      </x:c>
      <x:c r="I535" s="11" t="n">
        <x:v>0.2692497074604034</x:v>
      </x:c>
      <x:c r="J535" s="24" t="n">
        <x:v>142.97124244831502</x:v>
      </x:c>
      <x:c r="K535" s="24" t="n">
        <x:v>161.1060950756073</x:v>
      </x:c>
      <x:c r="L535" s="11" t="n">
        <x:v>0.8982630372047424</x:v>
      </x:c>
      <x:c r="M535" s="11" t="n">
        <x:v>0.0999332070350647</x:v>
      </x:c>
    </x:row>
    <x:row r="536" ht="22" customHeight="1">
      <x:c r="A536" s="17" t="str">
        <x:f>"06452000"</x:f>
        <x:v>06452000</x:v>
      </x:c>
      <x:c r="B536" s="13" t="n">
        <x:v>42</x:v>
      </x:c>
      <x:c r="C536" s="22" t="b">
        <x:v>1</x:v>
      </x:c>
      <x:c r="D536" s="11" t="n">
        <x:v>0.0346534649531046</x:v>
      </x:c>
      <x:c r="E536" s="11" t="n">
        <x:v>0.00026294498820786665</x:v>
      </x:c>
      <x:c r="F536" s="11" t="n">
        <x:v>0.4653465449810028</x:v>
      </x:c>
      <x:c r="G536" s="13" t="n">
        <x:v>3</x:v>
      </x:c>
      <x:c r="H536" s="11" t="n">
        <x:v>0.1003255918622016</x:v>
      </x:c>
      <x:c r="I536" s="11" t="n">
        <x:v>0.1135569885373115</x:v>
      </x:c>
      <x:c r="J536" s="24" t="n">
        <x:v>142.16373262181878</x:v>
      </x:c>
      <x:c r="K536" s="24" t="n">
        <x:v>163.98418426513672</x:v>
      </x:c>
      <x:c r="L536" s="11" t="n">
        <x:v>0.8143564462661743</x:v>
      </x:c>
      <x:c r="M536" s="11" t="n">
        <x:v>0.0999393239617347</x:v>
      </x:c>
    </x:row>
    <x:row r="537" ht="22" customHeight="1">
      <x:c r="A537" s="17" t="str">
        <x:f>"06452000"</x:f>
        <x:v>06452000</x:v>
      </x:c>
      <x:c r="B537" s="13" t="n">
        <x:v>42</x:v>
      </x:c>
      <x:c r="C537" s="22" t="b">
        <x:v>0</x:v>
      </x:c>
      <x:c r="D537" s="11" t="n">
        <x:v>0.0463192723691463</x:v>
      </x:c>
      <x:c r="E537" s="11" t="n">
        <x:v>0.00035756692523133336</x:v>
      </x:c>
      <x:c r="F537" s="11" t="n">
        <x:v>0.4714640080928802</x:v>
      </x:c>
      <x:c r="G537" s="13" t="n">
        <x:v>3</x:v>
      </x:c>
      <x:c r="H537" s="11" t="n">
        <x:v>0.2526795268058777</x:v>
      </x:c>
      <x:c r="I537" s="11" t="n">
        <x:v>0.334916889667511</x:v>
      </x:c>
      <x:c r="J537" s="24" t="n">
        <x:v>139.45826372038573</x:v>
      </x:c>
      <x:c r="K537" s="24" t="n">
        <x:v>161.24280405044556</x:v>
      </x:c>
      <x:c r="L537" s="11" t="n">
        <x:v>0.8014888167381287</x:v>
      </x:c>
      <x:c r="M537" s="11" t="n">
        <x:v>0.0999332070350647</x:v>
      </x:c>
    </x:row>
    <x:row r="538" ht="22" customHeight="1">
      <x:c r="A538" s="17" t="str">
        <x:f>"06453600"</x:f>
        <x:v>06453600</x:v>
      </x:c>
      <x:c r="B538" s="13" t="n">
        <x:v>42</x:v>
      </x:c>
      <x:c r="C538" s="22" t="b">
        <x:v>1</x:v>
      </x:c>
      <x:c r="D538" s="11" t="n">
        <x:v>0.01897689762214813</x:v>
      </x:c>
      <x:c r="E538" s="11" t="n">
        <x:v>0.0006000539384937</x:v>
      </x:c>
      <x:c r="F538" s="11" t="n">
        <x:v>0.3094059526920318</x:v>
      </x:c>
      <x:c r="G538" s="13" t="n">
        <x:v>2</x:v>
      </x:c>
      <x:c r="H538" s="11" t="n">
        <x:v>0.2827745079994201</x:v>
      </x:c>
      <x:c r="I538" s="11" t="n">
        <x:v>0.3191648721694946</x:v>
      </x:c>
      <x:c r="J538" s="24" t="n">
        <x:v>139.1496702451259</x:v>
      </x:c>
      <x:c r="K538" s="24" t="n">
        <x:v>158.69542407989502</x:v>
      </x:c>
      <x:c r="L538" s="11" t="n">
        <x:v>0.8415841460227966</x:v>
      </x:c>
      <x:c r="M538" s="11" t="n">
        <x:v>0.0999393239617347</x:v>
      </x:c>
    </x:row>
    <x:row r="539" ht="22" customHeight="1">
      <x:c r="A539" s="17" t="str">
        <x:f>"06453600"</x:f>
        <x:v>06453600</x:v>
      </x:c>
      <x:c r="B539" s="13" t="n">
        <x:v>42</x:v>
      </x:c>
      <x:c r="C539" s="22" t="b">
        <x:v>0</x:v>
      </x:c>
      <x:c r="D539" s="11" t="n">
        <x:v>0.02729528521498037</x:v>
      </x:c>
      <x:c r="E539" s="11" t="n">
        <x:v>0.0003845531027763666</x:v>
      </x:c>
      <x:c r="F539" s="11" t="n">
        <x:v>0.503722071647644</x:v>
      </x:c>
      <x:c r="G539" s="13" t="n">
        <x:v>2</x:v>
      </x:c>
      <x:c r="H539" s="11" t="n">
        <x:v>0.4619768857955932</x:v>
      </x:c>
      <x:c r="I539" s="11" t="n">
        <x:v>0.4892854392528534</x:v>
      </x:c>
      <x:c r="J539" s="24" t="n">
        <x:v>135.90245662722737</x:v>
      </x:c>
      <x:c r="K539" s="24" t="n">
        <x:v>159.08891654014587</x:v>
      </x:c>
      <x:c r="L539" s="11" t="n">
        <x:v>0.8982630372047424</x:v>
      </x:c>
      <x:c r="M539" s="11" t="n">
        <x:v>0.0999332070350647</x:v>
      </x:c>
    </x:row>
    <x:row r="540" ht="22" customHeight="1">
      <x:c r="A540" s="17" t="str">
        <x:f>"06464500"</x:f>
        <x:v>06464500</x:v>
      </x:c>
      <x:c r="B540" s="13" t="n">
        <x:v>42</x:v>
      </x:c>
      <x:c r="C540" s="22" t="b">
        <x:v>1</x:v>
      </x:c>
      <x:c r="D540" s="11" t="n">
        <x:v>0.0181518150493502</x:v>
      </x:c>
      <x:c r="E540" s="11" t="n">
        <x:v>0.0002764293409806</x:v>
      </x:c>
      <x:c r="F540" s="11" t="n">
        <x:v>0.4133663475513458</x:v>
      </x:c>
      <x:c r="G540" s="13" t="n">
        <x:v>3</x:v>
      </x:c>
      <x:c r="H540" s="11" t="n">
        <x:v>0.077865295112133</x:v>
      </x:c>
      <x:c r="I540" s="11" t="n">
        <x:v>0.0829904377460479</x:v>
      </x:c>
      <x:c r="J540" s="24" t="n">
        <x:v>140.01989468373358</x:v>
      </x:c>
      <x:c r="K540" s="24" t="n">
        <x:v>164.76763033866882</x:v>
      </x:c>
      <x:c r="L540" s="11" t="n">
        <x:v>0.7995049357414246</x:v>
      </x:c>
      <x:c r="M540" s="11" t="n">
        <x:v>0.0999393239617347</x:v>
      </x:c>
    </x:row>
    <x:row r="541" ht="22" customHeight="1">
      <x:c r="A541" s="17" t="str">
        <x:f>"06464500"</x:f>
        <x:v>06464500</x:v>
      </x:c>
      <x:c r="B541" s="13" t="n">
        <x:v>42</x:v>
      </x:c>
      <x:c r="C541" s="22" t="b">
        <x:v>0</x:v>
      </x:c>
      <x:c r="D541" s="11" t="n">
        <x:v>0.0372208431363105</x:v>
      </x:c>
      <x:c r="E541" s="11" t="n">
        <x:v>0.0003035945652906</x:v>
      </x:c>
      <x:c r="F541" s="11" t="n">
        <x:v>0.5483871102333069</x:v>
      </x:c>
      <x:c r="G541" s="13" t="n">
        <x:v>8</x:v>
      </x:c>
      <x:c r="H541" s="11" t="n">
        <x:v>0.6542959213256836</x:v>
      </x:c>
      <x:c r="I541" s="11" t="n">
        <x:v>0.7146634459495544</x:v>
      </x:c>
      <x:c r="J541" s="24" t="n">
        <x:v>137.32532765809447</x:v>
      </x:c>
      <x:c r="K541" s="24" t="n">
        <x:v>158.11995005607605</x:v>
      </x:c>
      <x:c r="L541" s="11" t="n">
        <x:v>0.6129032373428345</x:v>
      </x:c>
      <x:c r="M541" s="11" t="n">
        <x:v>0.0999332070350647</x:v>
      </x:c>
    </x:row>
    <x:row r="542" ht="22" customHeight="1">
      <x:c r="A542" s="17" t="str">
        <x:f>"06468170"</x:f>
        <x:v>06468170</x:v>
      </x:c>
      <x:c r="B542" s="13" t="n">
        <x:v>42</x:v>
      </x:c>
      <x:c r="C542" s="22" t="b">
        <x:v>1</x:v>
      </x:c>
      <x:c r="D542" s="11" t="n">
        <x:v>0.023927392438054033</x:v>
      </x:c>
      <x:c r="E542" s="11" t="n">
        <x:v>0.0006270226440392</x:v>
      </x:c>
      <x:c r="F542" s="11" t="n">
        <x:v>0.3910891115665436</x:v>
      </x:c>
      <x:c r="G542" s="13" t="n">
        <x:v>10</x:v>
      </x:c>
      <x:c r="H542" s="11" t="n">
        <x:v>0.7050347924232483</x:v>
      </x:c>
      <x:c r="I542" s="11" t="n">
        <x:v>0.7050347924232483</x:v>
      </x:c>
      <x:c r="J542" s="24" t="n">
        <x:v>139.7605492081493</x:v>
      </x:c>
      <x:c r="K542" s="24" t="n">
        <x:v>152.11168265342712</x:v>
      </x:c>
      <x:c r="L542" s="11" t="n">
        <x:v>0.3910891115665436</x:v>
      </x:c>
      <x:c r="M542" s="11" t="n">
        <x:v>0.0999393239617347</x:v>
      </x:c>
    </x:row>
    <x:row r="543" ht="22" customHeight="1">
      <x:c r="A543" s="17" t="str">
        <x:f>"06468170"</x:f>
        <x:v>06468170</x:v>
      </x:c>
      <x:c r="B543" s="13" t="n">
        <x:v>42</x:v>
      </x:c>
      <x:c r="C543" s="22" t="b">
        <x:v>0</x:v>
      </x:c>
      <x:c r="D543" s="11" t="n">
        <x:v>0.0438378825783729</x:v>
      </x:c>
      <x:c r="E543" s="11" t="n">
        <x:v>0.0002226360132529</x:v>
      </x:c>
      <x:c r="F543" s="11" t="n">
        <x:v>0.503722071647644</x:v>
      </x:c>
      <x:c r="G543" s="13" t="n">
        <x:v>9</x:v>
      </x:c>
      <x:c r="H543" s="11" t="n">
        <x:v>1.7105685472488403</x:v>
      </x:c>
      <x:c r="I543" s="11" t="n">
        <x:v>1.9377763271331787</x:v>
      </x:c>
      <x:c r="J543" s="24" t="n">
        <x:v>136.39791538752615</x:v>
      </x:c>
      <x:c r="K543" s="24" t="n">
        <x:v>160.97200965881348</x:v>
      </x:c>
      <x:c r="L543" s="11" t="n">
        <x:v>0.5111662745475769</x:v>
      </x:c>
      <x:c r="M543" s="11" t="n">
        <x:v>0.0999332070350647</x:v>
      </x:c>
    </x:row>
    <x:row r="544" ht="22" customHeight="1">
      <x:c r="A544" s="17" t="str">
        <x:f>"06470800"</x:f>
        <x:v>06470800</x:v>
      </x:c>
      <x:c r="B544" s="13" t="n">
        <x:v>42</x:v>
      </x:c>
      <x:c r="C544" s="22" t="b">
        <x:v>1</x:v>
      </x:c>
      <x:c r="D544" s="11" t="n">
        <x:v>0.020627062767744</x:v>
      </x:c>
      <x:c r="E544" s="11" t="n">
        <x:v>0.0008562567333379667</x:v>
      </x:c>
      <x:c r="F544" s="11" t="n">
        <x:v>0.3143564462661743</x:v>
      </x:c>
      <x:c r="G544" s="13" t="n">
        <x:v>10</x:v>
      </x:c>
      <x:c r="H544" s="11" t="n">
        <x:v>0.2851185202598572</x:v>
      </x:c>
      <x:c r="I544" s="11" t="n">
        <x:v>0.2851185202598572</x:v>
      </x:c>
      <x:c r="J544" s="24" t="n">
        <x:v>140.49310327507555</x:v>
      </x:c>
      <x:c r="K544" s="24" t="n">
        <x:v>153.12038707733154</x:v>
      </x:c>
      <x:c r="L544" s="11" t="n">
        <x:v>0.3143564462661743</x:v>
      </x:c>
      <x:c r="M544" s="11" t="n">
        <x:v>0.0999393239617347</x:v>
      </x:c>
    </x:row>
    <x:row r="545" ht="22" customHeight="1">
      <x:c r="A545" s="17" t="str">
        <x:f>"06470800"</x:f>
        <x:v>06470800</x:v>
      </x:c>
      <x:c r="B545" s="13" t="n">
        <x:v>42</x:v>
      </x:c>
      <x:c r="C545" s="22" t="b">
        <x:v>0</x:v>
      </x:c>
      <x:c r="D545" s="11" t="n">
        <x:v>0.03639371382693443</x:v>
      </x:c>
      <x:c r="E545" s="11" t="n">
        <x:v>0.0002631152844211333</x:v>
      </x:c>
      <x:c r="F545" s="11" t="n">
        <x:v>0.5111662745475769</x:v>
      </x:c>
      <x:c r="G545" s="13" t="n">
        <x:v>10</x:v>
      </x:c>
      <x:c r="H545" s="11" t="n">
        <x:v>2.0828096866607666</x:v>
      </x:c>
      <x:c r="I545" s="11" t="n">
        <x:v>2.0828096866607666</x:v>
      </x:c>
      <x:c r="J545" s="24" t="n">
        <x:v>138.7796162609011</x:v>
      </x:c>
      <x:c r="K545" s="24" t="n">
        <x:v>156.3518888950348</x:v>
      </x:c>
      <x:c r="L545" s="11" t="n">
        <x:v>0.5111662745475769</x:v>
      </x:c>
      <x:c r="M545" s="11" t="n">
        <x:v>0.0999332070350647</x:v>
      </x:c>
    </x:row>
    <x:row r="546" ht="22" customHeight="1">
      <x:c r="A546" s="17" t="str">
        <x:f>"06477500"</x:f>
        <x:v>06477500</x:v>
      </x:c>
      <x:c r="B546" s="13" t="n">
        <x:v>42</x:v>
      </x:c>
      <x:c r="C546" s="22" t="b">
        <x:v>1</x:v>
      </x:c>
      <x:c r="D546" s="11" t="n">
        <x:v>0.02805280499160287</x:v>
      </x:c>
      <x:c r="E546" s="11" t="n">
        <x:v>0.00031688242597736665</x:v>
      </x:c>
      <x:c r="F546" s="11" t="n">
        <x:v>0.3564356565475464</x:v>
      </x:c>
      <x:c r="G546" s="13" t="n">
        <x:v>2</x:v>
      </x:c>
      <x:c r="H546" s="11" t="n">
        <x:v>0.0199149325489997</x:v>
      </x:c>
      <x:c r="I546" s="11" t="n">
        <x:v>0.0202624332159757</x:v>
      </x:c>
      <x:c r="J546" s="24" t="n">
        <x:v>141.3774244664237</x:v>
      </x:c>
      <x:c r="K546" s="24" t="n">
        <x:v>159.80098676681519</x:v>
      </x:c>
      <x:c r="L546" s="11" t="n">
        <x:v>0.8638613820075989</x:v>
      </x:c>
      <x:c r="M546" s="11" t="n">
        <x:v>0.0999393239617347</x:v>
      </x:c>
    </x:row>
    <x:row r="547" ht="22" customHeight="1">
      <x:c r="A547" s="17" t="str">
        <x:f>"06477500"</x:f>
        <x:v>06477500</x:v>
      </x:c>
      <x:c r="B547" s="13" t="n">
        <x:v>42</x:v>
      </x:c>
      <x:c r="C547" s="22" t="b">
        <x:v>0</x:v>
      </x:c>
      <x:c r="D547" s="11" t="n">
        <x:v>0.023159635874132233</x:v>
      </x:c>
      <x:c r="E547" s="11" t="n">
        <x:v>0.0004520185660415333</x:v>
      </x:c>
      <x:c r="F547" s="11" t="n">
        <x:v>0.4491315186023712</x:v>
      </x:c>
      <x:c r="G547" s="13" t="n">
        <x:v>1</x:v>
      </x:c>
      <x:c r="H547" s="11" t="n">
        <x:v>0.2741686105728149</x:v>
      </x:c>
      <x:c r="I547" s="11" t="n">
        <x:v>0.5146220326423645</x:v>
      </x:c>
      <x:c r="J547" s="24" t="n">
        <x:v>144.77500202134252</x:v>
      </x:c>
      <x:c r="K547" s="24" t="n">
        <x:v>167.49050402641296</x:v>
      </x:c>
      <x:c r="L547" s="11" t="n">
        <x:v>0.96277916431427</x:v>
      </x:c>
      <x:c r="M547" s="11" t="n">
        <x:v>0.0999332070350647</x:v>
      </x:c>
    </x:row>
    <x:row r="548" ht="22" customHeight="1">
      <x:c r="A548" s="17" t="str">
        <x:f>"06479438"</x:f>
        <x:v>06479438</x:v>
      </x:c>
      <x:c r="B548" s="13" t="n">
        <x:v>42</x:v>
      </x:c>
      <x:c r="C548" s="22" t="b">
        <x:v>1</x:v>
      </x:c>
      <x:c r="D548" s="11" t="n">
        <x:v>0.0354785484572251</x:v>
      </x:c>
      <x:c r="E548" s="11" t="n">
        <x:v>0.000755124046312</x:v>
      </x:c>
      <x:c r="F548" s="11" t="n">
        <x:v>0.3564356565475464</x:v>
      </x:c>
      <x:c r="G548" s="13" t="n">
        <x:v>2</x:v>
      </x:c>
      <x:c r="H548" s="11" t="n">
        <x:v>0.0640833228826522</x:v>
      </x:c>
      <x:c r="I548" s="11" t="n">
        <x:v>0.0735941529273986</x:v>
      </x:c>
      <x:c r="J548" s="24" t="n">
        <x:v>142.565358126536</x:v>
      </x:c>
      <x:c r="K548" s="24" t="n">
        <x:v>161.35602927207947</x:v>
      </x:c>
      <x:c r="L548" s="11" t="n">
        <x:v>0.8118811845779419</x:v>
      </x:c>
      <x:c r="M548" s="11" t="n">
        <x:v>0.0999393239617347</x:v>
      </x:c>
    </x:row>
    <x:row r="549" ht="22" customHeight="1">
      <x:c r="A549" s="17" t="str">
        <x:f>"06479438"</x:f>
        <x:v>06479438</x:v>
      </x:c>
      <x:c r="B549" s="13" t="n">
        <x:v>42</x:v>
      </x:c>
      <x:c r="C549" s="22" t="b">
        <x:v>0</x:v>
      </x:c>
      <x:c r="D549" s="11" t="n">
        <x:v>0.03225806417564544</x:v>
      </x:c>
      <x:c r="E549" s="11" t="n">
        <x:v>0.00045201856604150007</x:v>
      </x:c>
      <x:c r="F549" s="11" t="n">
        <x:v>0.5210918188095093</x:v>
      </x:c>
      <x:c r="G549" s="13" t="n">
        <x:v>6</x:v>
      </x:c>
      <x:c r="H549" s="11" t="n">
        <x:v>0.1493854969739914</x:v>
      </x:c>
      <x:c r="I549" s="11" t="n">
        <x:v>0.2898959219455719</x:v>
      </x:c>
      <x:c r="J549" s="24" t="n">
        <x:v>143.4241899214685</x:v>
      </x:c>
      <x:c r="K549" s="24" t="n">
        <x:v>162.3720781803131</x:v>
      </x:c>
      <x:c r="L549" s="11" t="n">
        <x:v>0.6526054739952087</x:v>
      </x:c>
      <x:c r="M549" s="11" t="n">
        <x:v>0.0999332070350647</x:v>
      </x:c>
    </x:row>
    <x:row r="550" ht="22" customHeight="1">
      <x:c r="A550" s="17" t="str">
        <x:f>"06601000"</x:f>
        <x:v>06601000</x:v>
      </x:c>
      <x:c r="B550" s="13" t="n">
        <x:v>42</x:v>
      </x:c>
      <x:c r="C550" s="22" t="b">
        <x:v>1</x:v>
      </x:c>
      <x:c r="D550" s="11" t="n">
        <x:v>0.014026402651021832</x:v>
      </x:c>
      <x:c r="E550" s="11" t="n">
        <x:v>0.0005258899764157333</x:v>
      </x:c>
      <x:c r="F550" s="11" t="n">
        <x:v>0.2846534550189972</x:v>
      </x:c>
      <x:c r="G550" s="13" t="n">
        <x:v>6</x:v>
      </x:c>
      <x:c r="H550" s="11" t="n">
        <x:v>0.082116313278675</x:v>
      </x:c>
      <x:c r="I550" s="11" t="n">
        <x:v>0.0957565084099769</x:v>
      </x:c>
      <x:c r="J550" s="24" t="n">
        <x:v>142.45237936638296</x:v>
      </x:c>
      <x:c r="K550" s="24" t="n">
        <x:v>153.15296721458435</x:v>
      </x:c>
      <x:c r="L550" s="11" t="n">
        <x:v>0.4430693089962005</x:v>
      </x:c>
      <x:c r="M550" s="11" t="n">
        <x:v>0.0999393239617347</x:v>
      </x:c>
    </x:row>
    <x:row r="551" ht="22" customHeight="1">
      <x:c r="A551" s="17" t="str">
        <x:f>"06601000"</x:f>
        <x:v>06601000</x:v>
      </x:c>
      <x:c r="B551" s="13" t="n">
        <x:v>42</x:v>
      </x:c>
      <x:c r="C551" s="22" t="b">
        <x:v>0</x:v>
      </x:c>
      <x:c r="D551" s="11" t="n">
        <x:v>0.019851116773982765</x:v>
      </x:c>
      <x:c r="E551" s="11" t="n">
        <x:v>0.0006139356701168668</x:v>
      </x:c>
      <x:c r="F551" s="11" t="n">
        <x:v>0.3796526193618774</x:v>
      </x:c>
      <x:c r="G551" s="13" t="n">
        <x:v>1</x:v>
      </x:c>
      <x:c r="H551" s="11" t="n">
        <x:v>0.1240014657378196</x:v>
      </x:c>
      <x:c r="I551" s="11" t="n">
        <x:v>0.1386248618364334</x:v>
      </x:c>
      <x:c r="J551" s="24" t="n">
        <x:v>136.52762888092548</x:v>
      </x:c>
      <x:c r="K551" s="24" t="n">
        <x:v>154.02302622795105</x:v>
      </x:c>
      <x:c r="L551" s="11" t="n">
        <x:v>0.8982630372047424</x:v>
      </x:c>
      <x:c r="M551" s="11" t="n">
        <x:v>0.0999332070350647</x:v>
      </x:c>
    </x:row>
    <x:row r="552" ht="22" customHeight="1">
      <x:c r="A552" s="17" t="str">
        <x:f>"06614800"</x:f>
        <x:v>06614800</x:v>
      </x:c>
      <x:c r="B552" s="13" t="n">
        <x:v>42</x:v>
      </x:c>
      <x:c r="C552" s="22" t="b">
        <x:v>1</x:v>
      </x:c>
      <x:c r="D552" s="11" t="n">
        <x:v>0.0115511552430689</x:v>
      </x:c>
      <x:c r="E552" s="11" t="n">
        <x:v>0.0005933117645326333</x:v>
      </x:c>
      <x:c r="F552" s="11" t="n">
        <x:v>0.3118811845779419</x:v>
      </x:c>
      <x:c r="G552" s="13" t="n">
        <x:v>6</x:v>
      </x:c>
      <x:c r="H552" s="11" t="n">
        <x:v>0.0130419610068202</x:v>
      </x:c>
      <x:c r="I552" s="11" t="n">
        <x:v>0.0136267999187111</x:v>
      </x:c>
      <x:c r="J552" s="24" t="n">
        <x:v>136.7535644378513</x:v>
      </x:c>
      <x:c r="K552" s="24" t="n">
        <x:v>148.77214312553406</x:v>
      </x:c>
      <x:c r="L552" s="11" t="n">
        <x:v>0.4628712832927704</x:v>
      </x:c>
      <x:c r="M552" s="11" t="n">
        <x:v>0.0999393239617347</x:v>
      </x:c>
    </x:row>
    <x:row r="553" ht="22" customHeight="1">
      <x:c r="A553" s="17" t="str">
        <x:f>"06614800"</x:f>
        <x:v>06614800</x:v>
      </x:c>
      <x:c r="B553" s="13" t="n">
        <x:v>42</x:v>
      </x:c>
      <x:c r="C553" s="22" t="b">
        <x:v>0</x:v>
      </x:c>
      <x:c r="D553" s="11" t="n">
        <x:v>0.05541770160198206</x:v>
      </x:c>
      <x:c r="E553" s="11" t="n">
        <x:v>0.00037780656324073336</x:v>
      </x:c>
      <x:c r="F553" s="11" t="n">
        <x:v>0.5607940554618835</x:v>
      </x:c>
      <x:c r="G553" s="13" t="n">
        <x:v>3</x:v>
      </x:c>
      <x:c r="H553" s="11" t="n">
        <x:v>0.1631842255592346</x:v>
      </x:c>
      <x:c r="I553" s="11" t="n">
        <x:v>0.2832410037517547</x:v>
      </x:c>
      <x:c r="J553" s="24" t="n">
        <x:v>133.85522768925875</x:v>
      </x:c>
      <x:c r="K553" s="24" t="n">
        <x:v>163.20965051651</x:v>
      </x:c>
      <x:c r="L553" s="11" t="n">
        <x:v>0.9057071805000304</x:v>
      </x:c>
      <x:c r="M553" s="11" t="n">
        <x:v>0.0999332070350647</x:v>
      </x:c>
    </x:row>
    <x:row r="554" ht="22" customHeight="1">
      <x:c r="A554" s="17" t="str">
        <x:f>"06622700"</x:f>
        <x:v>06622700</x:v>
      </x:c>
      <x:c r="B554" s="13" t="n">
        <x:v>42</x:v>
      </x:c>
      <x:c r="C554" s="22" t="b">
        <x:v>1</x:v>
      </x:c>
      <x:c r="D554" s="11" t="n">
        <x:v>0.012376237660646399</x:v>
      </x:c>
      <x:c r="E554" s="11" t="n">
        <x:v>0.0006135382961171</x:v>
      </x:c>
      <x:c r="F554" s="11" t="n">
        <x:v>0.2623762488365173</x:v>
      </x:c>
      <x:c r="G554" s="13" t="n">
        <x:v>6</x:v>
      </x:c>
      <x:c r="H554" s="11" t="n">
        <x:v>0.0205421652644872</x:v>
      </x:c>
      <x:c r="I554" s="11" t="n">
        <x:v>0.0212573911994695</x:v>
      </x:c>
      <x:c r="J554" s="24" t="n">
        <x:v>135.91086894832551</x:v>
      </x:c>
      <x:c r="K554" s="24" t="n">
        <x:v>148.0420253276825</x:v>
      </x:c>
      <x:c r="L554" s="11" t="n">
        <x:v>0.3886138498783111</x:v>
      </x:c>
      <x:c r="M554" s="11" t="n">
        <x:v>0.0999393239617347</x:v>
      </x:c>
    </x:row>
    <x:row r="555" ht="22" customHeight="1">
      <x:c r="A555" s="17" t="str">
        <x:f>"06622700"</x:f>
        <x:v>06622700</x:v>
      </x:c>
      <x:c r="B555" s="13" t="n">
        <x:v>42</x:v>
      </x:c>
      <x:c r="C555" s="22" t="b">
        <x:v>0</x:v>
      </x:c>
      <x:c r="D555" s="11" t="n">
        <x:v>0.0438378825783729</x:v>
      </x:c>
      <x:c r="E555" s="11" t="n">
        <x:v>0.00036431346476693333</x:v>
      </x:c>
      <x:c r="F555" s="11" t="n">
        <x:v>0.5260545611381531</x:v>
      </x:c>
      <x:c r="G555" s="13" t="n">
        <x:v>7</x:v>
      </x:c>
      <x:c r="H555" s="11" t="n">
        <x:v>0.1987814754247665</x:v>
      </x:c>
      <x:c r="I555" s="11" t="n">
        <x:v>0.2122353017330169</x:v>
      </x:c>
      <x:c r="J555" s="24" t="n">
        <x:v>136.11810200568289</x:v>
      </x:c>
      <x:c r="K555" s="24" t="n">
        <x:v>162.57500648498535</x:v>
      </x:c>
      <x:c r="L555" s="11" t="n">
        <x:v>0.6476426720619202</x:v>
      </x:c>
      <x:c r="M555" s="11" t="n">
        <x:v>0.0999332070350647</x:v>
      </x:c>
    </x:row>
    <x:row r="556" ht="22" customHeight="1">
      <x:c r="A556" s="17" t="str">
        <x:f>"06623800"</x:f>
        <x:v>06623800</x:v>
      </x:c>
      <x:c r="B556" s="13" t="n">
        <x:v>42</x:v>
      </x:c>
      <x:c r="C556" s="22" t="b">
        <x:v>1</x:v>
      </x:c>
      <x:c r="D556" s="11" t="n">
        <x:v>0.0082508251070976</x:v>
      </x:c>
      <x:c r="E556" s="11" t="n">
        <x:v>0.00023597626811043331</x:v>
      </x:c>
      <x:c r="F556" s="11" t="n">
        <x:v>0.2103960365056991</x:v>
      </x:c>
      <x:c r="G556" s="13" t="n">
        <x:v>8</x:v>
      </x:c>
      <x:c r="H556" s="11" t="n">
        <x:v>0.0110957873985171</x:v>
      </x:c>
      <x:c r="I556" s="11" t="n">
        <x:v>0.0114790881052613</x:v>
      </x:c>
      <x:c r="J556" s="24" t="n">
        <x:v>139.61717399396002</x:v>
      </x:c>
      <x:c r="K556" s="24" t="n">
        <x:v>148.06144666671753</x:v>
      </x:c>
      <x:c r="L556" s="11" t="n">
        <x:v>0.2425742596387863</x:v>
      </x:c>
      <x:c r="M556" s="11" t="n">
        <x:v>0.0999393239617347</x:v>
      </x:c>
    </x:row>
    <x:row r="557" ht="22" customHeight="1">
      <x:c r="A557" s="17" t="str">
        <x:f>"06623800"</x:f>
        <x:v>06623800</x:v>
      </x:c>
      <x:c r="B557" s="13" t="n">
        <x:v>42</x:v>
      </x:c>
      <x:c r="C557" s="22" t="b">
        <x:v>0</x:v>
      </x:c>
      <x:c r="D557" s="11" t="n">
        <x:v>0.03887510361770783</x:v>
      </x:c>
      <x:c r="E557" s="11" t="n">
        <x:v>0.0004790047435865666</x:v>
      </x:c>
      <x:c r="F557" s="11" t="n">
        <x:v>0.4119106829166412</x:v>
      </x:c>
      <x:c r="G557" s="13" t="n">
        <x:v>9</x:v>
      </x:c>
      <x:c r="H557" s="11" t="n">
        <x:v>0.1549334824085235</x:v>
      </x:c>
      <x:c r="I557" s="11" t="n">
        <x:v>0.1840837746858596</x:v>
      </x:c>
      <x:c r="J557" s="24" t="n">
        <x:v>136.86268814187497</x:v>
      </x:c>
      <x:c r="K557" s="24" t="n">
        <x:v>155.6316318511963</x:v>
      </x:c>
      <x:c r="L557" s="11" t="n">
        <x:v>0.4590570628643036</x:v>
      </x:c>
      <x:c r="M557" s="11" t="n">
        <x:v>0.0999332070350647</x:v>
      </x:c>
    </x:row>
    <x:row r="558" ht="22" customHeight="1">
      <x:c r="A558" s="17" t="str">
        <x:f>"06632400"</x:f>
        <x:v>06632400</x:v>
      </x:c>
      <x:c r="B558" s="13" t="n">
        <x:v>42</x:v>
      </x:c>
      <x:c r="C558" s="22" t="b">
        <x:v>1</x:v>
      </x:c>
      <x:c r="D558" s="11" t="n">
        <x:v>0.014851485068599334</x:v>
      </x:c>
      <x:c r="E558" s="11" t="n">
        <x:v>0.00023597626325980005</x:v>
      </x:c>
      <x:c r="F558" s="11" t="n">
        <x:v>0.2747524678707123</x:v>
      </x:c>
      <x:c r="G558" s="13" t="n">
        <x:v>10</x:v>
      </x:c>
      <x:c r="H558" s="11" t="n">
        <x:v>0.0239035133272409</x:v>
      </x:c>
      <x:c r="I558" s="11" t="n">
        <x:v>0.0239035133272409</x:v>
      </x:c>
      <x:c r="J558" s="24" t="n">
        <x:v>138.2571154916659</x:v>
      </x:c>
      <x:c r="K558" s="24" t="n">
        <x:v>148.03551030158997</x:v>
      </x:c>
      <x:c r="L558" s="11" t="n">
        <x:v>0.2747524678707123</x:v>
      </x:c>
      <x:c r="M558" s="11" t="n">
        <x:v>0.0999393239617347</x:v>
      </x:c>
    </x:row>
    <x:row r="559" ht="22" customHeight="1">
      <x:c r="A559" s="17" t="str">
        <x:f>"06632400"</x:f>
        <x:v>06632400</x:v>
      </x:c>
      <x:c r="B559" s="13" t="n">
        <x:v>42</x:v>
      </x:c>
      <x:c r="C559" s="22" t="b">
        <x:v>0</x:v>
      </x:c>
      <x:c r="D559" s="11" t="n">
        <x:v>0.04549214305977023</x:v>
      </x:c>
      <x:c r="E559" s="11" t="n">
        <x:v>0.0005059909308328666</x:v>
      </x:c>
      <x:c r="F559" s="11" t="n">
        <x:v>0.593052089214325</x:v>
      </x:c>
      <x:c r="G559" s="13" t="n">
        <x:v>6</x:v>
      </x:c>
      <x:c r="H559" s="11" t="n">
        <x:v>0.184411883354187</x:v>
      </x:c>
      <x:c r="I559" s="11" t="n">
        <x:v>0.2207227945327758</x:v>
      </x:c>
      <x:c r="J559" s="24" t="n">
        <x:v>137.75449411012232</x:v>
      </x:c>
      <x:c r="K559" s="24" t="n">
        <x:v>163.03151488304138</x:v>
      </x:c>
      <x:c r="L559" s="11" t="n">
        <x:v>0.729528546333313</x:v>
      </x:c>
      <x:c r="M559" s="11" t="n">
        <x:v>0.0999332070350647</x:v>
      </x:c>
    </x:row>
    <x:row r="560" ht="22" customHeight="1">
      <x:c r="A560" s="17" t="str">
        <x:f>"06746095"</x:f>
        <x:v>06746095</x:v>
      </x:c>
      <x:c r="B560" s="13" t="n">
        <x:v>42</x:v>
      </x:c>
      <x:c r="C560" s="22" t="b">
        <x:v>1</x:v>
      </x:c>
      <x:c r="D560" s="11" t="n">
        <x:v>0.0165016502141952</x:v>
      </x:c>
      <x:c r="E560" s="11" t="n">
        <x:v>0.00036407767038320005</x:v>
      </x:c>
      <x:c r="F560" s="11" t="n">
        <x:v>0.3044554591178894</x:v>
      </x:c>
      <x:c r="G560" s="13" t="n">
        <x:v>8</x:v>
      </x:c>
      <x:c r="H560" s="11" t="n">
        <x:v>0.0129623794928193</x:v>
      </x:c>
      <x:c r="I560" s="11" t="n">
        <x:v>0.0180186182260513</x:v>
      </x:c>
      <x:c r="J560" s="24" t="n">
        <x:v>135.34982212167233</x:v>
      </x:c>
      <x:c r="K560" s="24" t="n">
        <x:v>145.25305676460266</x:v>
      </x:c>
      <x:c r="L560" s="11" t="n">
        <x:v>0.3836633563041687</x:v>
      </x:c>
      <x:c r="M560" s="11" t="n">
        <x:v>0.0999393239617347</x:v>
      </x:c>
    </x:row>
    <x:row r="561" ht="22" customHeight="1">
      <x:c r="A561" s="17" t="str">
        <x:f>"06746095"</x:f>
        <x:v>06746095</x:v>
      </x:c>
      <x:c r="B561" s="13" t="n">
        <x:v>42</x:v>
      </x:c>
      <x:c r="C561" s="22" t="b">
        <x:v>0</x:v>
      </x:c>
      <x:c r="D561" s="11" t="n">
        <x:v>0.038875102996826096</x:v>
      </x:c>
      <x:c r="E561" s="11" t="n">
        <x:v>0.00026311527714513336</x:v>
      </x:c>
      <x:c r="F561" s="11" t="n">
        <x:v>0.4615384638309479</x:v>
      </x:c>
      <x:c r="G561" s="13" t="n">
        <x:v>9</x:v>
      </x:c>
      <x:c r="H561" s="11" t="n">
        <x:v>0.3653318285942077</x:v>
      </x:c>
      <x:c r="I561" s="11" t="n">
        <x:v>0.4562857747077942</x:v>
      </x:c>
      <x:c r="J561" s="24" t="n">
        <x:v>142.9193798052147</x:v>
      </x:c>
      <x:c r="K561" s="24" t="n">
        <x:v>160.9257390499115</x:v>
      </x:c>
      <x:c r="L561" s="11" t="n">
        <x:v>0.4962779283523559</x:v>
      </x:c>
      <x:c r="M561" s="11" t="n">
        <x:v>0.0999332070350647</x:v>
      </x:c>
    </x:row>
    <x:row r="562" ht="22" customHeight="1">
      <x:c r="A562" s="17" t="str">
        <x:f>"06784000"</x:f>
        <x:v>06784000</x:v>
      </x:c>
      <x:c r="B562" s="13" t="n">
        <x:v>42</x:v>
      </x:c>
      <x:c r="C562" s="22" t="b">
        <x:v>1</x:v>
      </x:c>
      <x:c r="D562" s="11" t="n">
        <x:v>0.01732673278699313</x:v>
      </x:c>
      <x:c r="E562" s="11" t="n">
        <x:v>0.0009169363377926</x:v>
      </x:c>
      <x:c r="F562" s="11" t="n">
        <x:v>0.2871287167072296</x:v>
      </x:c>
      <x:c r="G562" s="13" t="n">
        <x:v>8</x:v>
      </x:c>
      <x:c r="H562" s="11" t="n">
        <x:v>0.308041512966156</x:v>
      </x:c>
      <x:c r="I562" s="11" t="n">
        <x:v>0.3230742812156677</x:v>
      </x:c>
      <x:c r="J562" s="24" t="n">
        <x:v>140.28317954111844</x:v>
      </x:c>
      <x:c r="K562" s="24" t="n">
        <x:v>154.72351813316345</x:v>
      </x:c>
      <x:c r="L562" s="11" t="n">
        <x:v>0.3811881244182586</x:v>
      </x:c>
      <x:c r="M562" s="11" t="n">
        <x:v>0.0999393239617347</x:v>
      </x:c>
    </x:row>
    <x:row r="563" ht="22" customHeight="1">
      <x:c r="A563" s="17" t="str">
        <x:f>"06784000"</x:f>
        <x:v>06784000</x:v>
      </x:c>
      <x:c r="B563" s="13" t="n">
        <x:v>42</x:v>
      </x:c>
      <x:c r="C563" s="22" t="b">
        <x:v>0</x:v>
      </x:c>
      <x:c r="D563" s="11" t="n">
        <x:v>0.02646815528472256</x:v>
      </x:c>
      <x:c r="E563" s="11" t="n">
        <x:v>0.0004047927504870666</x:v>
      </x:c>
      <x:c r="F563" s="11" t="n">
        <x:v>0.3796526193618774</x:v>
      </x:c>
      <x:c r="G563" s="13" t="n">
        <x:v>2</x:v>
      </x:c>
      <x:c r="H563" s="11" t="n">
        <x:v>0.9421700835227966</x:v>
      </x:c>
      <x:c r="I563" s="11" t="n">
        <x:v>0.984586775302887</x:v>
      </x:c>
      <x:c r="J563" s="24" t="n">
        <x:v>139.24480953626335</x:v>
      </x:c>
      <x:c r="K563" s="24" t="n">
        <x:v>152.6841881275177</x:v>
      </x:c>
      <x:c r="L563" s="11" t="n">
        <x:v>0.7543424367904663</x:v>
      </x:c>
      <x:c r="M563" s="11" t="n">
        <x:v>0.0999332070350647</x:v>
      </x:c>
    </x:row>
    <x:row r="564" ht="22" customHeight="1">
      <x:c r="A564" s="17" t="str">
        <x:f>"06803510"</x:f>
        <x:v>06803510</x:v>
      </x:c>
      <x:c r="B564" s="13" t="n">
        <x:v>42</x:v>
      </x:c>
      <x:c r="C564" s="22" t="b">
        <x:v>1</x:v>
      </x:c>
      <x:c r="D564" s="11" t="n">
        <x:v>0.02227722791333987</x:v>
      </x:c>
      <x:c r="E564" s="11" t="n">
        <x:v>0.0004449838209741666</x:v>
      </x:c>
      <x:c r="F564" s="11" t="n">
        <x:v>0.3292079269886017</x:v>
      </x:c>
      <x:c r="G564" s="13" t="n">
        <x:v>4</x:v>
      </x:c>
      <x:c r="H564" s="11" t="n">
        <x:v>0.2611354887485504</x:v>
      </x:c>
      <x:c r="I564" s="11" t="n">
        <x:v>0.2658805549144745</x:v>
      </x:c>
      <x:c r="J564" s="24" t="n">
        <x:v>139.181947956793</x:v>
      </x:c>
      <x:c r="K564" s="24" t="n">
        <x:v>154.73847341537476</x:v>
      </x:c>
      <x:c r="L564" s="11" t="n">
        <x:v>0.4950495064258575</x:v>
      </x:c>
      <x:c r="M564" s="11" t="n">
        <x:v>0.0999393239617347</x:v>
      </x:c>
    </x:row>
    <x:row r="565" ht="22" customHeight="1">
      <x:c r="A565" s="17" t="str">
        <x:f>"06803510"</x:f>
        <x:v>06803510</x:v>
      </x:c>
      <x:c r="B565" s="13" t="n">
        <x:v>42</x:v>
      </x:c>
      <x:c r="C565" s="22" t="b">
        <x:v>0</x:v>
      </x:c>
      <x:c r="D565" s="11" t="n">
        <x:v>0.0099255582317709</x:v>
      </x:c>
      <x:c r="E565" s="11" t="n">
        <x:v>0.0010727007950965999</x:v>
      </x:c>
      <x:c r="F565" s="11" t="n">
        <x:v>0.1513647586107254</x:v>
      </x:c>
      <x:c r="G565" s="13" t="n">
        <x:v>7</x:v>
      </x:c>
      <x:c r="H565" s="11" t="n">
        <x:v>0.3280306458473205</x:v>
      </x:c>
      <x:c r="I565" s="11" t="n">
        <x:v>0.3329659104347229</x:v>
      </x:c>
      <x:c r="J565" s="24" t="n">
        <x:v>135.57890065480024</x:v>
      </x:c>
      <x:c r="K565" s="24" t="n">
        <x:v>142.80434155464172</x:v>
      </x:c>
      <x:c r="L565" s="11" t="n">
        <x:v>0.1811414361000061</x:v>
      </x:c>
      <x:c r="M565" s="11" t="n">
        <x:v>0.0999332070350647</x:v>
      </x:c>
    </x:row>
    <x:row r="566" ht="22" customHeight="1">
      <x:c r="A566" s="17" t="str">
        <x:f>"06803530"</x:f>
        <x:v>06803530</x:v>
      </x:c>
      <x:c r="B566" s="13" t="n">
        <x:v>42</x:v>
      </x:c>
      <x:c r="C566" s="22" t="b">
        <x:v>1</x:v>
      </x:c>
      <x:c r="D566" s="11" t="n">
        <x:v>0.0264026404668887</x:v>
      </x:c>
      <x:c r="E566" s="11" t="n">
        <x:v>0.0005730852232469333</x:v>
      </x:c>
      <x:c r="F566" s="11" t="n">
        <x:v>0.2524752616882324</x:v>
      </x:c>
      <x:c r="G566" s="13" t="n">
        <x:v>10</x:v>
      </x:c>
      <x:c r="H566" s="11" t="n">
        <x:v>0.3240652084350586</x:v>
      </x:c>
      <x:c r="I566" s="11" t="n">
        <x:v>0.3240652084350586</x:v>
      </x:c>
      <x:c r="J566" s="24" t="n">
        <x:v>134.85145181417465</x:v>
      </x:c>
      <x:c r="K566" s="24" t="n">
        <x:v>146.1088101863861</x:v>
      </x:c>
      <x:c r="L566" s="11" t="n">
        <x:v>0.2524752616882324</x:v>
      </x:c>
      <x:c r="M566" s="11" t="n">
        <x:v>0.0999393239617347</x:v>
      </x:c>
    </x:row>
    <x:row r="567" ht="22" customHeight="1">
      <x:c r="A567" s="17" t="str">
        <x:f>"06803530"</x:f>
        <x:v>06803530</x:v>
      </x:c>
      <x:c r="B567" s="13" t="n">
        <x:v>42</x:v>
      </x:c>
      <x:c r="C567" s="22" t="b">
        <x:v>0</x:v>
      </x:c>
      <x:c r="D567" s="11" t="n">
        <x:v>0.017369726983209367</x:v>
      </x:c>
      <x:c r="E567" s="11" t="n">
        <x:v>0.0003710600140038</x:v>
      </x:c>
      <x:c r="F567" s="11" t="n">
        <x:v>0.2853597998619079</x:v>
      </x:c>
      <x:c r="G567" s="13" t="n">
        <x:v>5</x:v>
      </x:c>
      <x:c r="H567" s="11" t="n">
        <x:v>0.3946961760520935</x:v>
      </x:c>
      <x:c r="I567" s="11" t="n">
        <x:v>0.4280368983745575</x:v>
      </x:c>
      <x:c r="J567" s="24" t="n">
        <x:v>132.61638316698372</x:v>
      </x:c>
      <x:c r="K567" s="24" t="n">
        <x:v>144.62842512130737</x:v>
      </x:c>
      <x:c r="L567" s="11" t="n">
        <x:v>0.4218362271785736</x:v>
      </x:c>
      <x:c r="M567" s="11" t="n">
        <x:v>0.0999332070350647</x:v>
      </x:c>
    </x:row>
    <x:row r="568" ht="22" customHeight="1">
      <x:c r="A568" s="17" t="str">
        <x:f>"06814000"</x:f>
        <x:v>06814000</x:v>
      </x:c>
      <x:c r="B568" s="13" t="n">
        <x:v>42</x:v>
      </x:c>
      <x:c r="C568" s="22" t="b">
        <x:v>1</x:v>
      </x:c>
      <x:c r="D568" s="11" t="n">
        <x:v>0.02310231048613783</x:v>
      </x:c>
      <x:c r="E568" s="11" t="n">
        <x:v>0.0003033980513767333</x:v>
      </x:c>
      <x:c r="F568" s="11" t="n">
        <x:v>0.3787128627300262</x:v>
      </x:c>
      <x:c r="G568" s="13" t="n">
        <x:v>6</x:v>
      </x:c>
      <x:c r="H568" s="11" t="n">
        <x:v>0.4799046218395233</x:v>
      </x:c>
      <x:c r="I568" s="11" t="n">
        <x:v>0.4894129335880279</x:v>
      </x:c>
      <x:c r="J568" s="24" t="n">
        <x:v>135.7990201972425</x:v>
      </x:c>
      <x:c r="K568" s="24" t="n">
        <x:v>153.5945417881012</x:v>
      </x:c>
      <x:c r="L568" s="11" t="n">
        <x:v>0.5247524976730347</x:v>
      </x:c>
      <x:c r="M568" s="11" t="n">
        <x:v>0.0999393239617347</x:v>
      </x:c>
    </x:row>
    <x:row r="569" ht="22" customHeight="1">
      <x:c r="A569" s="17" t="str">
        <x:f>"06814000"</x:f>
        <x:v>06814000</x:v>
      </x:c>
      <x:c r="B569" s="13" t="n">
        <x:v>42</x:v>
      </x:c>
      <x:c r="C569" s="22" t="b">
        <x:v>0</x:v>
      </x:c>
      <x:c r="D569" s="11" t="n">
        <x:v>0.03391232465704277</x:v>
      </x:c>
      <x:c r="E569" s="11" t="n">
        <x:v>0.0006206822193537667</x:v>
      </x:c>
      <x:c r="F569" s="11" t="n">
        <x:v>0.3995037078857422</x:v>
      </x:c>
      <x:c r="G569" s="13" t="n">
        <x:v>6</x:v>
      </x:c>
      <x:c r="H569" s="11" t="n">
        <x:v>0.5521552562713623</x:v>
      </x:c>
      <x:c r="I569" s="11" t="n">
        <x:v>0.5678746700286865</x:v>
      </x:c>
      <x:c r="J569" s="24" t="n">
        <x:v>132.81856786925346</x:v>
      </x:c>
      <x:c r="K569" s="24" t="n">
        <x:v>145.03864097595215</x:v>
      </x:c>
      <x:c r="L569" s="11" t="n">
        <x:v>0.5136476159095764</x:v>
      </x:c>
      <x:c r="M569" s="11" t="n">
        <x:v>0.0999332070350647</x:v>
      </x:c>
    </x:row>
    <x:row r="570" ht="22" customHeight="1">
      <x:c r="A570" s="17" t="str">
        <x:f>"06847900"</x:f>
        <x:v>06847900</x:v>
      </x:c>
      <x:c r="B570" s="13" t="n">
        <x:v>42</x:v>
      </x:c>
      <x:c r="C570" s="22" t="b">
        <x:v>1</x:v>
      </x:c>
      <x:c r="D570" s="11" t="n">
        <x:v>0.0148514853790402</x:v>
      </x:c>
      <x:c r="E570" s="11" t="n">
        <x:v>0.0003843042165195667</x:v>
      </x:c>
      <x:c r="F570" s="11" t="n">
        <x:v>0.2400990128517151</x:v>
      </x:c>
      <x:c r="G570" s="13" t="n">
        <x:v>1</x:v>
      </x:c>
      <x:c r="H570" s="11" t="n">
        <x:v>0.2776206433773041</x:v>
      </x:c>
      <x:c r="I570" s="11" t="n">
        <x:v>0.3073562979698181</x:v>
      </x:c>
      <x:c r="J570" s="24" t="n">
        <x:v>135.76339860912412</x:v>
      </x:c>
      <x:c r="K570" s="24" t="n">
        <x:v>149.44833779335022</x:v>
      </x:c>
      <x:c r="L570" s="11" t="n">
        <x:v>0.7648515105247498</x:v>
      </x:c>
      <x:c r="M570" s="11" t="n">
        <x:v>0.0999393239617347</x:v>
      </x:c>
    </x:row>
    <x:row r="571" ht="22" customHeight="1">
      <x:c r="A571" s="17" t="str">
        <x:f>"06847900"</x:f>
        <x:v>06847900</x:v>
      </x:c>
      <x:c r="B571" s="13" t="n">
        <x:v>42</x:v>
      </x:c>
      <x:c r="C571" s="22" t="b">
        <x:v>0</x:v>
      </x:c>
      <x:c r="D571" s="11" t="n">
        <x:v>0.03391232465704277</x:v>
      </x:c>
      <x:c r="E571" s="11" t="n">
        <x:v>0.0006341752984249999</x:v>
      </x:c>
      <x:c r="F571" s="11" t="n">
        <x:v>0.2655086815357208</x:v>
      </x:c>
      <x:c r="G571" s="13" t="n">
        <x:v>8</x:v>
      </x:c>
      <x:c r="H571" s="11" t="n">
        <x:v>0.2885954976081848</x:v>
      </x:c>
      <x:c r="I571" s="11" t="n">
        <x:v>0.3053429126739502</x:v>
      </x:c>
      <x:c r="J571" s="24" t="n">
        <x:v>131.88235001638532</x:v>
      </x:c>
      <x:c r="K571" s="24" t="n">
        <x:v>143.44465017318726</x:v>
      </x:c>
      <x:c r="L571" s="11" t="n">
        <x:v>0.3101736903190613</x:v>
      </x:c>
      <x:c r="M571" s="11" t="n">
        <x:v>0.0999332070350647</x:v>
      </x:c>
    </x:row>
    <x:row r="572" ht="22" customHeight="1">
      <x:c r="A572" s="17" t="str">
        <x:f>"06853800"</x:f>
        <x:v>06853800</x:v>
      </x:c>
      <x:c r="B572" s="13" t="n">
        <x:v>42</x:v>
      </x:c>
      <x:c r="C572" s="22" t="b">
        <x:v>1</x:v>
      </x:c>
      <x:c r="D572" s="11" t="n">
        <x:v>0.0165016502141952</x:v>
      </x:c>
      <x:c r="E572" s="11" t="n">
        <x:v>0.0005056634254287333</x:v>
      </x:c>
      <x:c r="F572" s="11" t="n">
        <x:v>0.3415841460227966</x:v>
      </x:c>
      <x:c r="G572" s="13" t="n">
        <x:v>8</x:v>
      </x:c>
      <x:c r="H572" s="11" t="n">
        <x:v>0.3265151083469391</x:v>
      </x:c>
      <x:c r="I572" s="11" t="n">
        <x:v>0.3479334712028503</x:v>
      </x:c>
      <x:c r="J572" s="24" t="n">
        <x:v>135.2964484905824</x:v>
      </x:c>
      <x:c r="K572" s="24" t="n">
        <x:v>150.89506483078003</x:v>
      </x:c>
      <x:c r="L572" s="11" t="n">
        <x:v>0.3811881244182586</x:v>
      </x:c>
      <x:c r="M572" s="11" t="n">
        <x:v>0.0999393239617347</x:v>
      </x:c>
    </x:row>
    <x:row r="573" ht="22" customHeight="1">
      <x:c r="A573" s="17" t="str">
        <x:f>"06853800"</x:f>
        <x:v>06853800</x:v>
      </x:c>
      <x:c r="B573" s="13" t="n">
        <x:v>42</x:v>
      </x:c>
      <x:c r="C573" s="22" t="b">
        <x:v>0</x:v>
      </x:c>
      <x:c r="D573" s="11" t="n">
        <x:v>0.027295285214980366</x:v>
      </x:c>
      <x:c r="E573" s="11" t="n">
        <x:v>0.0003373272872219</x:v>
      </x:c>
      <x:c r="F573" s="11" t="n">
        <x:v>0.4218362271785736</x:v>
      </x:c>
      <x:c r="G573" s="13" t="n">
        <x:v>8</x:v>
      </x:c>
      <x:c r="H573" s="11" t="n">
        <x:v>0.4300744831562042</x:v>
      </x:c>
      <x:c r="I573" s="11" t="n">
        <x:v>0.4550982713699341</x:v>
      </x:c>
      <x:c r="J573" s="24" t="n">
        <x:v>134.9798033097759</x:v>
      </x:c>
      <x:c r="K573" s="24" t="n">
        <x:v>151.77734851837158</x:v>
      </x:c>
      <x:c r="L573" s="11" t="n">
        <x:v>0.4714640080928802</x:v>
      </x:c>
      <x:c r="M573" s="11" t="n">
        <x:v>0.0999332070350647</x:v>
      </x:c>
    </x:row>
    <x:row r="574" ht="22" customHeight="1">
      <x:c r="A574" s="17" t="str">
        <x:f>"06876700"</x:f>
        <x:v>06876700</x:v>
      </x:c>
      <x:c r="B574" s="13" t="n">
        <x:v>42</x:v>
      </x:c>
      <x:c r="C574" s="22" t="b">
        <x:v>1</x:v>
      </x:c>
      <x:c r="D574" s="11" t="n">
        <x:v>0.0255775582045316</x:v>
      </x:c>
      <x:c r="E574" s="11" t="n">
        <x:v>0.000404530748104</x:v>
      </x:c>
      <x:c r="F574" s="11" t="n">
        <x:v>0.3910891115665436</x:v>
      </x:c>
      <x:c r="G574" s="13" t="n">
        <x:v>5</x:v>
      </x:c>
      <x:c r="H574" s="11" t="n">
        <x:v>0.0294060930609703</x:v>
      </x:c>
      <x:c r="I574" s="11" t="n">
        <x:v>0.0296498835086822</x:v>
      </x:c>
      <x:c r="J574" s="24" t="n">
        <x:v>135.5965805342421</x:v>
      </x:c>
      <x:c r="K574" s="24" t="n">
        <x:v>152.82247400283813</x:v>
      </x:c>
      <x:c r="L574" s="11" t="n">
        <x:v>0.6163366436958313</x:v>
      </x:c>
      <x:c r="M574" s="11" t="n">
        <x:v>0.0999393239617347</x:v>
      </x:c>
    </x:row>
    <x:row r="575" ht="22" customHeight="1">
      <x:c r="A575" s="17" t="str">
        <x:f>"06876700"</x:f>
        <x:v>06876700</x:v>
      </x:c>
      <x:c r="B575" s="13" t="n">
        <x:v>42</x:v>
      </x:c>
      <x:c r="C575" s="22" t="b">
        <x:v>0</x:v>
      </x:c>
      <x:c r="D575" s="11" t="n">
        <x:v>0.03143093486626937</x:v>
      </x:c>
      <x:c r="E575" s="11" t="n">
        <x:v>0.00023612910687606666</x:v>
      </x:c>
      <x:c r="F575" s="11" t="n">
        <x:v>0.4888337552547455</x:v>
      </x:c>
      <x:c r="G575" s="13" t="n">
        <x:v>10</x:v>
      </x:c>
      <x:c r="H575" s="11" t="n">
        <x:v>0.055322591215372</x:v>
      </x:c>
      <x:c r="I575" s="11" t="n">
        <x:v>0.055322591215372</x:v>
      </x:c>
      <x:c r="J575" s="24" t="n">
        <x:v>136.0911389887333</x:v>
      </x:c>
      <x:c r="K575" s="24" t="n">
        <x:v>150.08553409576416</x:v>
      </x:c>
      <x:c r="L575" s="11" t="n">
        <x:v>0.4888337552547455</x:v>
      </x:c>
      <x:c r="M575" s="11" t="n">
        <x:v>0.0999332070350647</x:v>
      </x:c>
    </x:row>
    <x:row r="576" ht="22" customHeight="1">
      <x:c r="A576" s="17" t="str">
        <x:f>"06878000"</x:f>
        <x:v>06878000</x:v>
      </x:c>
      <x:c r="B576" s="13" t="n">
        <x:v>42</x:v>
      </x:c>
      <x:c r="C576" s="22" t="b">
        <x:v>1</x:v>
      </x:c>
      <x:c r="D576" s="11" t="n">
        <x:v>0.0363036307195822</x:v>
      </x:c>
      <x:c r="E576" s="11" t="n">
        <x:v>0.00045172599493519997</x:v>
      </x:c>
      <x:c r="F576" s="11" t="n">
        <x:v>0.3811881244182586</x:v>
      </x:c>
      <x:c r="G576" s="13" t="n">
        <x:v>5</x:v>
      </x:c>
      <x:c r="H576" s="11" t="n">
        <x:v>0.3981356918811798</x:v>
      </x:c>
      <x:c r="I576" s="11" t="n">
        <x:v>0.3998027145862579</x:v>
      </x:c>
      <x:c r="J576" s="24" t="n">
        <x:v>139.85406905040145</x:v>
      </x:c>
      <x:c r="K576" s="24" t="n">
        <x:v>154.05053186416626</x:v>
      </x:c>
      <x:c r="L576" s="11" t="n">
        <x:v>0.6361386179924011</x:v>
      </x:c>
      <x:c r="M576" s="11" t="n">
        <x:v>0.0999393239617347</x:v>
      </x:c>
    </x:row>
    <x:row r="577" ht="22" customHeight="1">
      <x:c r="A577" s="17" t="str">
        <x:f>"06878000"</x:f>
        <x:v>06878000</x:v>
      </x:c>
      <x:c r="B577" s="13" t="n">
        <x:v>42</x:v>
      </x:c>
      <x:c r="C577" s="22" t="b">
        <x:v>0</x:v>
      </x:c>
      <x:c r="D577" s="11" t="n">
        <x:v>0.0281224148347973</x:v>
      </x:c>
      <x:c r="E577" s="11" t="n">
        <x:v>0.0003238341887481</x:v>
      </x:c>
      <x:c r="F577" s="11" t="n">
        <x:v>0.4367245733737945</x:v>
      </x:c>
      <x:c r="G577" s="13" t="n">
        <x:v>10</x:v>
      </x:c>
      <x:c r="H577" s="11" t="n">
        <x:v>0.4845960438251495</x:v>
      </x:c>
      <x:c r="I577" s="11" t="n">
        <x:v>0.4845960438251495</x:v>
      </x:c>
      <x:c r="J577" s="24" t="n">
        <x:v>137.02708812709898</x:v>
      </x:c>
      <x:c r="K577" s="24" t="n">
        <x:v>150.24642205238342</x:v>
      </x:c>
      <x:c r="L577" s="11" t="n">
        <x:v>0.4367245733737945</x:v>
      </x:c>
      <x:c r="M577" s="11" t="n">
        <x:v>0.0999332070350647</x:v>
      </x:c>
    </x:row>
    <x:row r="578" ht="22" customHeight="1">
      <x:c r="A578" s="17" t="str">
        <x:f>"06879650"</x:f>
        <x:v>06879650</x:v>
      </x:c>
      <x:c r="B578" s="13" t="n">
        <x:v>42</x:v>
      </x:c>
      <x:c r="C578" s="22" t="b">
        <x:v>1</x:v>
      </x:c>
      <x:c r="D578" s="11" t="n">
        <x:v>0.005775577466313999</x:v>
      </x:c>
      <x:c r="E578" s="11" t="n">
        <x:v>0.0009371629178834</x:v>
      </x:c>
      <x:c r="F578" s="11" t="n">
        <x:v>0.1905940622091293</x:v>
      </x:c>
      <x:c r="G578" s="13" t="n">
        <x:v>1</x:v>
      </x:c>
      <x:c r="H578" s="11" t="n">
        <x:v>0.7586649060249329</x:v>
      </x:c>
      <x:c r="I578" s="11" t="n">
        <x:v>0.8654451370239258</x:v>
      </x:c>
      <x:c r="J578" s="24" t="n">
        <x:v>137.09723147843033</x:v>
      </x:c>
      <x:c r="K578" s="24" t="n">
        <x:v>151.82261085510254</x:v>
      </x:c>
      <x:c r="L578" s="11" t="n">
        <x:v>0.896039605140686</x:v>
      </x:c>
      <x:c r="M578" s="11" t="n">
        <x:v>0.0999393239617347</x:v>
      </x:c>
    </x:row>
    <x:row r="579" ht="22" customHeight="1">
      <x:c r="A579" s="17" t="str">
        <x:f>"06879650"</x:f>
        <x:v>06879650</x:v>
      </x:c>
      <x:c r="B579" s="13" t="n">
        <x:v>42</x:v>
      </x:c>
      <x:c r="C579" s="22" t="b">
        <x:v>0</x:v>
      </x:c>
      <x:c r="D579" s="11" t="n">
        <x:v>0.03391232403616103</x:v>
      </x:c>
      <x:c r="E579" s="11" t="n">
        <x:v>0.0005262305688423</x:v>
      </x:c>
      <x:c r="F579" s="11" t="n">
        <x:v>0.3002481460571289</x:v>
      </x:c>
      <x:c r="G579" s="13" t="n">
        <x:v>1</x:v>
      </x:c>
      <x:c r="H579" s="11" t="n">
        <x:v>0.8855876326560974</x:v>
      </x:c>
      <x:c r="I579" s="11" t="n">
        <x:v>0.8941978216171265</x:v>
      </x:c>
      <x:c r="J579" s="24" t="n">
        <x:v>136.45966812036932</x:v>
      </x:c>
      <x:c r="K579" s="24" t="n">
        <x:v>153.74739170074463</x:v>
      </x:c>
      <x:c r="L579" s="11" t="n">
        <x:v>0.8957816362380981</x:v>
      </x:c>
      <x:c r="M579" s="11" t="n">
        <x:v>0.0999332070350647</x:v>
      </x:c>
    </x:row>
    <x:row r="580" ht="22" customHeight="1">
      <x:c r="A580" s="17" t="str">
        <x:f>"06885500"</x:f>
        <x:v>06885500</x:v>
      </x:c>
      <x:c r="B580" s="13" t="n">
        <x:v>42</x:v>
      </x:c>
      <x:c r="C580" s="22" t="b">
        <x:v>1</x:v>
      </x:c>
      <x:c r="D580" s="11" t="n">
        <x:v>0.022277228223780737</x:v>
      </x:c>
      <x:c r="E580" s="11" t="n">
        <x:v>0.0003910463807793667</x:v>
      </x:c>
      <x:c r="F580" s="11" t="n">
        <x:v>0.4405940473079681</x:v>
      </x:c>
      <x:c r="G580" s="13" t="n">
        <x:v>9</x:v>
      </x:c>
      <x:c r="H580" s="11" t="n">
        <x:v>0.7020351886749268</x:v>
      </x:c>
      <x:c r="I580" s="11" t="n">
        <x:v>0.7027408480644226</x:v>
      </x:c>
      <x:c r="J580" s="24" t="n">
        <x:v>135.26639262586832</x:v>
      </x:c>
      <x:c r="K580" s="24" t="n">
        <x:v>151.62937927246094</x:v>
      </x:c>
      <x:c r="L580" s="11" t="n">
        <x:v>0.4702970385551452</x:v>
      </x:c>
      <x:c r="M580" s="11" t="n">
        <x:v>0.0999393239617347</x:v>
      </x:c>
    </x:row>
    <x:row r="581" ht="22" customHeight="1">
      <x:c r="A581" s="17" t="str">
        <x:f>"06885500"</x:f>
        <x:v>06885500</x:v>
      </x:c>
      <x:c r="B581" s="13" t="n">
        <x:v>42</x:v>
      </x:c>
      <x:c r="C581" s="22" t="b">
        <x:v>0</x:v>
      </x:c>
      <x:c r="D581" s="11" t="n">
        <x:v>0.024813895424206964</x:v>
      </x:c>
      <x:c r="E581" s="11" t="n">
        <x:v>0.00020239637039286666</x:v>
      </x:c>
      <x:c r="F581" s="11" t="n">
        <x:v>0.4714640080928802</x:v>
      </x:c>
      <x:c r="G581" s="13" t="n">
        <x:v>4</x:v>
      </x:c>
      <x:c r="H581" s="11" t="n">
        <x:v>0.7850944399833679</x:v>
      </x:c>
      <x:c r="I581" s="11" t="n">
        <x:v>0.789636492729187</x:v>
      </x:c>
      <x:c r="J581" s="24" t="n">
        <x:v>134.0764915412292</x:v>
      </x:c>
      <x:c r="K581" s="24" t="n">
        <x:v>150.04621839523315</x:v>
      </x:c>
      <x:c r="L581" s="11" t="n">
        <x:v>0.7121587991714478</x:v>
      </x:c>
      <x:c r="M581" s="11" t="n">
        <x:v>0.0999332070350647</x:v>
      </x:c>
    </x:row>
    <x:row r="582" ht="22" customHeight="1">
      <x:c r="A582" s="17" t="str">
        <x:f>"06888500"</x:f>
        <x:v>06888500</x:v>
      </x:c>
      <x:c r="B582" s="13" t="n">
        <x:v>42</x:v>
      </x:c>
      <x:c r="C582" s="22" t="b">
        <x:v>1</x:v>
      </x:c>
      <x:c r="D582" s="11" t="n">
        <x:v>0.03300329980750873</x:v>
      </x:c>
      <x:c r="E582" s="11" t="n">
        <x:v>0.0003708198491949</x:v>
      </x:c>
      <x:c r="F582" s="11" t="n">
        <x:v>0.3465346395969391</x:v>
      </x:c>
      <x:c r="G582" s="13" t="n">
        <x:v>1</x:v>
      </x:c>
      <x:c r="H582" s="11" t="n">
        <x:v>0.5465360879898071</x:v>
      </x:c>
      <x:c r="I582" s="11" t="n">
        <x:v>0.5922930836677551</x:v>
      </x:c>
      <x:c r="J582" s="24" t="n">
        <x:v>134.2457066932693</x:v>
      </x:c>
      <x:c r="K582" s="24" t="n">
        <x:v>149.94181537628174</x:v>
      </x:c>
      <x:c r="L582" s="11" t="n">
        <x:v>0.9851484894752502</x:v>
      </x:c>
      <x:c r="M582" s="11" t="n">
        <x:v>0.0999393239617347</x:v>
      </x:c>
    </x:row>
    <x:row r="583" ht="22" customHeight="1">
      <x:c r="A583" s="17" t="str">
        <x:f>"06888500"</x:f>
        <x:v>06888500</x:v>
      </x:c>
      <x:c r="B583" s="13" t="n">
        <x:v>42</x:v>
      </x:c>
      <x:c r="C583" s="22" t="b">
        <x:v>0</x:v>
      </x:c>
      <x:c r="D583" s="11" t="n">
        <x:v>0.02150537601361663</x:v>
      </x:c>
      <x:c r="E583" s="11" t="n">
        <x:v>0.00037780655353946666</x:v>
      </x:c>
      <x:c r="F583" s="11" t="n">
        <x:v>0.3176178634166717</x:v>
      </x:c>
      <x:c r="G583" s="13" t="n">
        <x:v>1</x:v>
      </x:c>
      <x:c r="H583" s="11" t="n">
        <x:v>0.6122937202453613</x:v>
      </x:c>
      <x:c r="I583" s="11" t="n">
        <x:v>0.6252862215042114</x:v>
      </x:c>
      <x:c r="J583" s="24" t="n">
        <x:v>133.2522924458608</x:v>
      </x:c>
      <x:c r="K583" s="24" t="n">
        <x:v>146.17525553703308</x:v>
      </x:c>
      <x:c r="L583" s="11" t="n">
        <x:v>0.8808932900428772</x:v>
      </x:c>
      <x:c r="M583" s="11" t="n">
        <x:v>0.0999332070350647</x:v>
      </x:c>
    </x:row>
    <x:row r="584" ht="22" customHeight="1">
      <x:c r="A584" s="17" t="str">
        <x:f>"06889200"</x:f>
        <x:v>06889200</x:v>
      </x:c>
      <x:c r="B584" s="13" t="n">
        <x:v>42</x:v>
      </x:c>
      <x:c r="C584" s="22" t="b">
        <x:v>1</x:v>
      </x:c>
      <x:c r="D584" s="11" t="n">
        <x:v>0.03217821816603336</x:v>
      </x:c>
      <x:c r="E584" s="11" t="n">
        <x:v>0.0008967098353119666</x:v>
      </x:c>
      <x:c r="F584" s="11" t="n">
        <x:v>0.3737623691558838</x:v>
      </x:c>
      <x:c r="G584" s="13" t="n">
        <x:v>6</x:v>
      </x:c>
      <x:c r="H584" s="11" t="n">
        <x:v>2.3796420097351074</x:v>
      </x:c>
      <x:c r="I584" s="11" t="n">
        <x:v>2.398045301437378</x:v>
      </x:c>
      <x:c r="J584" s="24" t="n">
        <x:v>139.32459598314017</x:v>
      </x:c>
      <x:c r="K584" s="24" t="n">
        <x:v>152.91923236846924</x:v>
      </x:c>
      <x:c r="L584" s="11" t="n">
        <x:v>0.5618811845779419</x:v>
      </x:c>
      <x:c r="M584" s="11" t="n">
        <x:v>0.0999393239617347</x:v>
      </x:c>
    </x:row>
    <x:row r="585" ht="22" customHeight="1">
      <x:c r="A585" s="17" t="str">
        <x:f>"06889200"</x:f>
        <x:v>06889200</x:v>
      </x:c>
      <x:c r="B585" s="13" t="n">
        <x:v>42</x:v>
      </x:c>
      <x:c r="C585" s="22" t="b">
        <x:v>0</x:v>
      </x:c>
      <x:c r="D585" s="11" t="n">
        <x:v>0.029776675005753764</x:v>
      </x:c>
      <x:c r="E585" s="11" t="n">
        <x:v>0.0003508203759944333</x:v>
      </x:c>
      <x:c r="F585" s="11" t="n">
        <x:v>0.3176178634166717</x:v>
      </x:c>
      <x:c r="G585" s="13" t="n">
        <x:v>4</x:v>
      </x:c>
      <x:c r="H585" s="11" t="n">
        <x:v>2.409522533416748</x:v>
      </x:c>
      <x:c r="I585" s="11" t="n">
        <x:v>2.476343870162964</x:v>
      </x:c>
      <x:c r="J585" s="24" t="n">
        <x:v>137.87947142776102</x:v>
      </x:c>
      <x:c r="K585" s="24" t="n">
        <x:v>152.54491186141968</x:v>
      </x:c>
      <x:c r="L585" s="11" t="n">
        <x:v>0.5583126544952393</x:v>
      </x:c>
      <x:c r="M585" s="11" t="n">
        <x:v>0.0999332070350647</x:v>
      </x:c>
    </x:row>
    <x:row r="586" ht="22" customHeight="1">
      <x:c r="A586" s="17" t="str">
        <x:f>"06889500"</x:f>
        <x:v>06889500</x:v>
      </x:c>
      <x:c r="B586" s="13" t="n">
        <x:v>42</x:v>
      </x:c>
      <x:c r="C586" s="22" t="b">
        <x:v>1</x:v>
      </x:c>
      <x:c r="D586" s="11" t="n">
        <x:v>0.0206270626125236</x:v>
      </x:c>
      <x:c r="E586" s="11" t="n">
        <x:v>0.00030339806592863335</x:v>
      </x:c>
      <x:c r="F586" s="11" t="n">
        <x:v>0.3787128627300262</x:v>
      </x:c>
      <x:c r="G586" s="13" t="n">
        <x:v>3</x:v>
      </x:c>
      <x:c r="H586" s="11" t="n">
        <x:v>1.761711597442627</x:v>
      </x:c>
      <x:c r="I586" s="11" t="n">
        <x:v>1.8113276958465576</x:v>
      </x:c>
      <x:c r="J586" s="24" t="n">
        <x:v>136.0959521215409</x:v>
      </x:c>
      <x:c r="K586" s="24" t="n">
        <x:v>154.77005052566528</x:v>
      </x:c>
      <x:c r="L586" s="11" t="n">
        <x:v>0.7648515105247498</x:v>
      </x:c>
      <x:c r="M586" s="11" t="n">
        <x:v>0.0999393239617347</x:v>
      </x:c>
    </x:row>
    <x:row r="587" ht="22" customHeight="1">
      <x:c r="A587" s="17" t="str">
        <x:f>"06889500"</x:f>
        <x:v>06889500</x:v>
      </x:c>
      <x:c r="B587" s="13" t="n">
        <x:v>42</x:v>
      </x:c>
      <x:c r="C587" s="22" t="b">
        <x:v>0</x:v>
      </x:c>
      <x:c r="D587" s="11" t="n">
        <x:v>0.035566583896676635</x:v>
      </x:c>
      <x:c r="E587" s="11" t="n">
        <x:v>0.00035756692523129997</x:v>
      </x:c>
      <x:c r="F587" s="11" t="n">
        <x:v>0.4143920540809631</x:v>
      </x:c>
      <x:c r="G587" s="13" t="n">
        <x:v>7</x:v>
      </x:c>
      <x:c r="H587" s="11" t="n">
        <x:v>1.7647418975830078</x:v>
      </x:c>
      <x:c r="I587" s="11" t="n">
        <x:v>1.7706248760223389</x:v>
      </x:c>
      <x:c r="J587" s="24" t="n">
        <x:v>137.7018669974059</x:v>
      </x:c>
      <x:c r="K587" s="24" t="n">
        <x:v>150.69992351531982</x:v>
      </x:c>
      <x:c r="L587" s="11" t="n">
        <x:v>0.5334987640380859</x:v>
      </x:c>
      <x:c r="M587" s="11" t="n">
        <x:v>0.0999332070350647</x:v>
      </x:c>
    </x:row>
    <x:row r="588" ht="22" customHeight="1">
      <x:c r="A588" s="17" t="str">
        <x:f>"06892000"</x:f>
        <x:v>06892000</x:v>
      </x:c>
      <x:c r="B588" s="13" t="n">
        <x:v>42</x:v>
      </x:c>
      <x:c r="C588" s="22" t="b">
        <x:v>1</x:v>
      </x:c>
      <x:c r="D588" s="11" t="n">
        <x:v>0.02310231017569697</x:v>
      </x:c>
      <x:c r="E588" s="11" t="n">
        <x:v>0.0006067961221560667</x:v>
      </x:c>
      <x:c r="F588" s="11" t="n">
        <x:v>0.396039605140686</x:v>
      </x:c>
      <x:c r="G588" s="13" t="n">
        <x:v>8</x:v>
      </x:c>
      <x:c r="H588" s="11" t="n">
        <x:v>0.4662114083766937</x:v>
      </x:c>
      <x:c r="I588" s="11" t="n">
        <x:v>0.473747968673706</x:v>
      </x:c>
      <x:c r="J588" s="24" t="n">
        <x:v>137.15833729226142</x:v>
      </x:c>
      <x:c r="K588" s="24" t="n">
        <x:v>151.53296995162964</x:v>
      </x:c>
      <x:c r="L588" s="11" t="n">
        <x:v>0.4801980257034302</x:v>
      </x:c>
      <x:c r="M588" s="11" t="n">
        <x:v>0.0999393239617347</x:v>
      </x:c>
    </x:row>
    <x:row r="589" ht="22" customHeight="1">
      <x:c r="A589" s="17" t="str">
        <x:f>"06892000"</x:f>
        <x:v>06892000</x:v>
      </x:c>
      <x:c r="B589" s="13" t="n">
        <x:v>42</x:v>
      </x:c>
      <x:c r="C589" s="22" t="b">
        <x:v>0</x:v>
      </x:c>
      <x:c r="D589" s="11" t="n">
        <x:v>0.03887510361770783</x:v>
      </x:c>
      <x:c r="E589" s="11" t="n">
        <x:v>0.00029684801120303335</x:v>
      </x:c>
      <x:c r="F589" s="11" t="n">
        <x:v>0.4987592995166778</x:v>
      </x:c>
      <x:c r="G589" s="13" t="n">
        <x:v>10</x:v>
      </x:c>
      <x:c r="H589" s="11" t="n">
        <x:v>0.6489796042442322</x:v>
      </x:c>
      <x:c r="I589" s="11" t="n">
        <x:v>0.6489796042442322</x:v>
      </x:c>
      <x:c r="J589" s="24" t="n">
        <x:v>138.71322298422456</x:v>
      </x:c>
      <x:c r="K589" s="24" t="n">
        <x:v>157.06027698516846</x:v>
      </x:c>
      <x:c r="L589" s="11" t="n">
        <x:v>0.4987592995166778</x:v>
      </x:c>
      <x:c r="M589" s="11" t="n">
        <x:v>0.0999332070350647</x:v>
      </x:c>
    </x:row>
    <x:row r="590" ht="22" customHeight="1">
      <x:c r="A590" s="17" t="str">
        <x:f>"06903400"</x:f>
        <x:v>06903400</x:v>
      </x:c>
      <x:c r="B590" s="13" t="n">
        <x:v>42</x:v>
      </x:c>
      <x:c r="C590" s="22" t="b">
        <x:v>1</x:v>
      </x:c>
      <x:c r="D590" s="11" t="n">
        <x:v>0.0264026404668887</x:v>
      </x:c>
      <x:c r="E590" s="11" t="n">
        <x:v>0.00041127292206503334</x:v>
      </x:c>
      <x:c r="F590" s="11" t="n">
        <x:v>0.3663366436958313</x:v>
      </x:c>
      <x:c r="G590" s="13" t="n">
        <x:v>1</x:v>
      </x:c>
      <x:c r="H590" s="11" t="n">
        <x:v>0.3316134810447693</x:v>
      </x:c>
      <x:c r="I590" s="11" t="n">
        <x:v>0.3448919951915741</x:v>
      </x:c>
      <x:c r="J590" s="24" t="n">
        <x:v>140.95659645274282</x:v>
      </x:c>
      <x:c r="K590" s="24" t="n">
        <x:v>164.64086937904358</x:v>
      </x:c>
      <x:c r="L590" s="11" t="n">
        <x:v>0.9232673048973083</x:v>
      </x:c>
      <x:c r="M590" s="11" t="n">
        <x:v>0.0999393239617347</x:v>
      </x:c>
    </x:row>
    <x:row r="591" ht="22" customHeight="1">
      <x:c r="A591" s="17" t="str">
        <x:f>"06903400"</x:f>
        <x:v>06903400</x:v>
      </x:c>
      <x:c r="B591" s="13" t="n">
        <x:v>42</x:v>
      </x:c>
      <x:c r="C591" s="22" t="b">
        <x:v>0</x:v>
      </x:c>
      <x:c r="D591" s="11" t="n">
        <x:v>0.023159635874132233</x:v>
      </x:c>
      <x:c r="E591" s="11" t="n">
        <x:v>0.0002833549321318</x:v>
      </x:c>
      <x:c r="F591" s="11" t="n">
        <x:v>0.3796526193618774</x:v>
      </x:c>
      <x:c r="G591" s="13" t="n">
        <x:v>5</x:v>
      </x:c>
      <x:c r="H591" s="11" t="n">
        <x:v>0.5232419371604919</x:v>
      </x:c>
      <x:c r="I591" s="11" t="n">
        <x:v>0.5445399880409241</x:v>
      </x:c>
      <x:c r="J591" s="24" t="n">
        <x:v>137.21228331327438</x:v>
      </x:c>
      <x:c r="K591" s="24" t="n">
        <x:v>151.3557562828064</x:v>
      </x:c>
      <x:c r="L591" s="11" t="n">
        <x:v>0.6104218363761902</x:v>
      </x:c>
      <x:c r="M591" s="11" t="n">
        <x:v>0.0999332070350647</x:v>
      </x:c>
    </x:row>
    <x:row r="592" ht="22" customHeight="1">
      <x:c r="A592" s="17" t="str">
        <x:f>"06910800"</x:f>
        <x:v>06910800</x:v>
      </x:c>
      <x:c r="B592" s="13" t="n">
        <x:v>42</x:v>
      </x:c>
      <x:c r="C592" s="22" t="b">
        <x:v>1</x:v>
      </x:c>
      <x:c r="D592" s="11" t="n">
        <x:v>0.05693069224556283</x:v>
      </x:c>
      <x:c r="E592" s="11" t="n">
        <x:v>0.0006674757266106334</x:v>
      </x:c>
      <x:c r="F592" s="11" t="n">
        <x:v>0.4603960514068603</x:v>
      </x:c>
      <x:c r="G592" s="13" t="n">
        <x:v>4</x:v>
      </x:c>
      <x:c r="H592" s="11" t="n">
        <x:v>0.752293050289154</x:v>
      </x:c>
      <x:c r="I592" s="11" t="n">
        <x:v>0.779628574848175</x:v>
      </x:c>
      <x:c r="J592" s="24" t="n">
        <x:v>138.9657033830881</x:v>
      </x:c>
      <x:c r="K592" s="24" t="n">
        <x:v>152.88051676750183</x:v>
      </x:c>
      <x:c r="L592" s="11" t="n">
        <x:v>0.7079207897186279</x:v>
      </x:c>
      <x:c r="M592" s="11" t="n">
        <x:v>0.0999393239617347</x:v>
      </x:c>
    </x:row>
    <x:row r="593" ht="22" customHeight="1">
      <x:c r="A593" s="17" t="str">
        <x:f>"06910800"</x:f>
        <x:v>06910800</x:v>
      </x:c>
      <x:c r="B593" s="13" t="n">
        <x:v>42</x:v>
      </x:c>
      <x:c r="C593" s="22" t="b">
        <x:v>0</x:v>
      </x:c>
      <x:c r="D593" s="11" t="n">
        <x:v>0.026468155905604297</x:v>
      </x:c>
      <x:c r="E593" s="11" t="n">
        <x:v>0.0004317789183308</x:v>
      </x:c>
      <x:c r="F593" s="11" t="n">
        <x:v>0.2803970277309418</x:v>
      </x:c>
      <x:c r="G593" s="13" t="n">
        <x:v>1</x:v>
      </x:c>
      <x:c r="H593" s="11" t="n">
        <x:v>0.8423111438751221</x:v>
      </x:c>
      <x:c r="I593" s="11" t="n">
        <x:v>0.8615279793739319</x:v>
      </x:c>
      <x:c r="J593" s="24" t="n">
        <x:v>137.31240322254598</x:v>
      </x:c>
      <x:c r="K593" s="24" t="n">
        <x:v>152.60143089294434</x:v>
      </x:c>
      <x:c r="L593" s="11" t="n">
        <x:v>0.8411910533905029</x:v>
      </x:c>
      <x:c r="M593" s="11" t="n">
        <x:v>0.0999332070350647</x:v>
      </x:c>
    </x:row>
    <x:row r="594" ht="22" customHeight="1">
      <x:c r="A594" s="17" t="str">
        <x:f>"06911900"</x:f>
        <x:v>06911900</x:v>
      </x:c>
      <x:c r="B594" s="13" t="n">
        <x:v>42</x:v>
      </x:c>
      <x:c r="C594" s="22" t="b">
        <x:v>1</x:v>
      </x:c>
      <x:c r="D594" s="11" t="n">
        <x:v>0.038778877506653396</x:v>
      </x:c>
      <x:c r="E594" s="11" t="n">
        <x:v>0.0009506472464029667</x:v>
      </x:c>
      <x:c r="F594" s="11" t="n">
        <x:v>0.3514851629734039</x:v>
      </x:c>
      <x:c r="G594" s="13" t="n">
        <x:v>4</x:v>
      </x:c>
      <x:c r="H594" s="11" t="n">
        <x:v>1.2104135751724243</x:v>
      </x:c>
      <x:c r="I594" s="11" t="n">
        <x:v>1.230886697769165</x:v>
      </x:c>
      <x:c r="J594" s="24" t="n">
        <x:v>135.06053963769227</x:v>
      </x:c>
      <x:c r="K594" s="24" t="n">
        <x:v>149.81210708618164</x:v>
      </x:c>
      <x:c r="L594" s="11" t="n">
        <x:v>0.5767326951026917</x:v>
      </x:c>
      <x:c r="M594" s="11" t="n">
        <x:v>0.0999393239617347</x:v>
      </x:c>
    </x:row>
    <x:row r="595" ht="22" customHeight="1">
      <x:c r="A595" s="17" t="str">
        <x:f>"06911900"</x:f>
        <x:v>06911900</x:v>
      </x:c>
      <x:c r="B595" s="13" t="n">
        <x:v>42</x:v>
      </x:c>
      <x:c r="C595" s="22" t="b">
        <x:v>0</x:v>
      </x:c>
      <x:c r="D595" s="11" t="n">
        <x:v>0.037220843136310494</x:v>
      </x:c>
      <x:c r="E595" s="11" t="n">
        <x:v>0.0004924978420603666</x:v>
      </x:c>
      <x:c r="F595" s="11" t="n">
        <x:v>0.3622828722000122</x:v>
      </x:c>
      <x:c r="G595" s="13" t="n">
        <x:v>8</x:v>
      </x:c>
      <x:c r="H595" s="11" t="n">
        <x:v>1.3084412813186646</x:v>
      </x:c>
      <x:c r="I595" s="11" t="n">
        <x:v>1.3182058334350586</x:v>
      </x:c>
      <x:c r="J595" s="24" t="n">
        <x:v>133.96302784234285</x:v>
      </x:c>
      <x:c r="K595" s="24" t="n">
        <x:v>146.06677317619324</x:v>
      </x:c>
      <x:c r="L595" s="11" t="n">
        <x:v>0.4317618012428283</x:v>
      </x:c>
      <x:c r="M595" s="11" t="n">
        <x:v>0.0999332070350647</x:v>
      </x:c>
    </x:row>
    <x:row r="596" ht="22" customHeight="1">
      <x:c r="A596" s="17" t="str">
        <x:f>"06917000"</x:f>
        <x:v>06917000</x:v>
      </x:c>
      <x:c r="B596" s="13" t="n">
        <x:v>42</x:v>
      </x:c>
      <x:c r="C596" s="22" t="b">
        <x:v>1</x:v>
      </x:c>
      <x:c r="D596" s="11" t="n">
        <x:v>0.0305280523995558</x:v>
      </x:c>
      <x:c r="E596" s="11" t="n">
        <x:v>0.00024271845177273335</x:v>
      </x:c>
      <x:c r="F596" s="11" t="n">
        <x:v>0.4183168411254883</x:v>
      </x:c>
      <x:c r="G596" s="13" t="n">
        <x:v>5</x:v>
      </x:c>
      <x:c r="H596" s="11" t="n">
        <x:v>0.8887654542922974</x:v>
      </x:c>
      <x:c r="I596" s="11" t="n">
        <x:v>0.8949546217918396</x:v>
      </x:c>
      <x:c r="J596" s="24" t="n">
        <x:v>135.21685465890914</x:v>
      </x:c>
      <x:c r="K596" s="24" t="n">
        <x:v>151.63916015625</x:v>
      </x:c>
      <x:c r="L596" s="11" t="n">
        <x:v>0.5990098714828491</x:v>
      </x:c>
      <x:c r="M596" s="11" t="n">
        <x:v>0.0999393239617347</x:v>
      </x:c>
    </x:row>
    <x:row r="597" ht="22" customHeight="1">
      <x:c r="A597" s="17" t="str">
        <x:f>"06917000"</x:f>
        <x:v>06917000</x:v>
      </x:c>
      <x:c r="B597" s="13" t="n">
        <x:v>42</x:v>
      </x:c>
      <x:c r="C597" s="22" t="b">
        <x:v>0</x:v>
      </x:c>
      <x:c r="D597" s="11" t="n">
        <x:v>0.03143093486626936</x:v>
      </x:c>
      <x:c r="E597" s="11" t="n">
        <x:v>0.0003845531124776333</x:v>
      </x:c>
      <x:c r="F597" s="11" t="n">
        <x:v>0.4193548262119293</x:v>
      </x:c>
      <x:c r="G597" s="13" t="n">
        <x:v>10</x:v>
      </x:c>
      <x:c r="H597" s="11" t="n">
        <x:v>0.9080244898796082</x:v>
      </x:c>
      <x:c r="I597" s="11" t="n">
        <x:v>0.9080244898796082</x:v>
      </x:c>
      <x:c r="J597" s="24" t="n">
        <x:v>134.73220625147223</x:v>
      </x:c>
      <x:c r="K597" s="24" t="n">
        <x:v>149.4369719028473</x:v>
      </x:c>
      <x:c r="L597" s="11" t="n">
        <x:v>0.4193548262119293</x:v>
      </x:c>
      <x:c r="M597" s="11" t="n">
        <x:v>0.0999332070350647</x:v>
      </x:c>
    </x:row>
    <x:row r="598" ht="22" customHeight="1">
      <x:c r="A598" s="17" t="str">
        <x:f>"06918460"</x:f>
        <x:v>06918460</x:v>
      </x:c>
      <x:c r="B598" s="13" t="n">
        <x:v>42</x:v>
      </x:c>
      <x:c r="C598" s="22" t="b">
        <x:v>1</x:v>
      </x:c>
      <x:c r="D598" s="11" t="n">
        <x:v>0.019801980505386934</x:v>
      </x:c>
      <x:c r="E598" s="11" t="n">
        <x:v>0.0006067961318573</x:v>
      </x:c>
      <x:c r="F598" s="11" t="n">
        <x:v>0.3465346395969391</x:v>
      </x:c>
      <x:c r="G598" s="13" t="n">
        <x:v>3</x:v>
      </x:c>
      <x:c r="H598" s="11" t="n">
        <x:v>0.5883703827857971</x:v>
      </x:c>
      <x:c r="I598" s="11" t="n">
        <x:v>0.6084741950035095</x:v>
      </x:c>
      <x:c r="J598" s="24" t="n">
        <x:v>139.875681521371</x:v>
      </x:c>
      <x:c r="K598" s="24" t="n">
        <x:v>158.4152181148529</x:v>
      </x:c>
      <x:c r="L598" s="11" t="n">
        <x:v>0.7722772359848022</x:v>
      </x:c>
      <x:c r="M598" s="11" t="n">
        <x:v>0.0999393239617347</x:v>
      </x:c>
    </x:row>
    <x:row r="599" ht="22" customHeight="1">
      <x:c r="A599" s="17" t="str">
        <x:f>"06918460"</x:f>
        <x:v>06918460</x:v>
      </x:c>
      <x:c r="B599" s="13" t="n">
        <x:v>42</x:v>
      </x:c>
      <x:c r="C599" s="22" t="b">
        <x:v>0</x:v>
      </x:c>
      <x:c r="D599" s="11" t="n">
        <x:v>0.020678246704240566</x:v>
      </x:c>
      <x:c r="E599" s="11" t="n">
        <x:v>0.0005802029336336333</x:v>
      </x:c>
      <x:c r="F599" s="11" t="n">
        <x:v>0.3846153914928436</x:v>
      </x:c>
      <x:c r="G599" s="13" t="n">
        <x:v>4</x:v>
      </x:c>
      <x:c r="H599" s="11" t="n">
        <x:v>0.6635949015617371</x:v>
      </x:c>
      <x:c r="I599" s="11" t="n">
        <x:v>0.7067260146141052</x:v>
      </x:c>
      <x:c r="J599" s="24" t="n">
        <x:v>138.04584592487663</x:v>
      </x:c>
      <x:c r="K599" s="24" t="n">
        <x:v>152.5913155078888</x:v>
      </x:c>
      <x:c r="L599" s="11" t="n">
        <x:v>0.6277915835380554</x:v>
      </x:c>
      <x:c r="M599" s="11" t="n">
        <x:v>0.0999332070350647</x:v>
      </x:c>
    </x:row>
    <x:row r="600" ht="22" customHeight="1">
      <x:c r="A600" s="17" t="str">
        <x:f>"06919500"</x:f>
        <x:v>06919500</x:v>
      </x:c>
      <x:c r="B600" s="13" t="n">
        <x:v>42</x:v>
      </x:c>
      <x:c r="C600" s="22" t="b">
        <x:v>1</x:v>
      </x:c>
      <x:c r="D600" s="11" t="n">
        <x:v>0.026402639846007003</x:v>
      </x:c>
      <x:c r="E600" s="11" t="n">
        <x:v>0.0005528586722599667</x:v>
      </x:c>
      <x:c r="F600" s="11" t="n">
        <x:v>0.3613861501216888</x:v>
      </x:c>
      <x:c r="G600" s="13" t="n">
        <x:v>1</x:v>
      </x:c>
      <x:c r="H600" s="11" t="n">
        <x:v>0.282726377248764</x:v>
      </x:c>
      <x:c r="I600" s="11" t="n">
        <x:v>0.3143292069435119</x:v>
      </x:c>
      <x:c r="J600" s="24" t="n">
        <x:v>137.83322713710368</x:v>
      </x:c>
      <x:c r="K600" s="24" t="n">
        <x:v>158.76581931114197</x:v>
      </x:c>
      <x:c r="L600" s="11" t="n">
        <x:v>0.8935643434524536</x:v>
      </x:c>
      <x:c r="M600" s="11" t="n">
        <x:v>0.0999393239617347</x:v>
      </x:c>
    </x:row>
    <x:row r="601" ht="22" customHeight="1">
      <x:c r="A601" s="17" t="str">
        <x:f>"06919500"</x:f>
        <x:v>06919500</x:v>
      </x:c>
      <x:c r="B601" s="13" t="n">
        <x:v>42</x:v>
      </x:c>
      <x:c r="C601" s="22" t="b">
        <x:v>0</x:v>
      </x:c>
      <x:c r="D601" s="11" t="n">
        <x:v>0.031430934245387634</x:v>
      </x:c>
      <x:c r="E601" s="11" t="n">
        <x:v>0.0004250323884964667</x:v>
      </x:c>
      <x:c r="F601" s="11" t="n">
        <x:v>0.4392059445381164</x:v>
      </x:c>
      <x:c r="G601" s="13" t="n">
        <x:v>4</x:v>
      </x:c>
      <x:c r="H601" s="11" t="n">
        <x:v>0.4884065091609955</x:v>
      </x:c>
      <x:c r="I601" s="11" t="n">
        <x:v>0.4991925358772278</x:v>
      </x:c>
      <x:c r="J601" s="24" t="n">
        <x:v>136.65728761907667</x:v>
      </x:c>
      <x:c r="K601" s="24" t="n">
        <x:v>159.872225522995</x:v>
      </x:c>
      <x:c r="L601" s="11" t="n">
        <x:v>0.7121587991714478</x:v>
      </x:c>
      <x:c r="M601" s="11" t="n">
        <x:v>0.0999332070350647</x:v>
      </x:c>
    </x:row>
    <x:row r="602" ht="22" customHeight="1">
      <x:c r="A602" s="17" t="str">
        <x:f>"06921070"</x:f>
        <x:v>06921070</x:v>
      </x:c>
      <x:c r="B602" s="13" t="n">
        <x:v>42</x:v>
      </x:c>
      <x:c r="C602" s="22" t="b">
        <x:v>1</x:v>
      </x:c>
      <x:c r="D602" s="11" t="n">
        <x:v>0.027227723350127464</x:v>
      </x:c>
      <x:c r="E602" s="11" t="n">
        <x:v>0.0005191477830521333</x:v>
      </x:c>
      <x:c r="F602" s="11" t="n">
        <x:v>0.3811881244182586</x:v>
      </x:c>
      <x:c r="G602" s="13" t="n">
        <x:v>2</x:v>
      </x:c>
      <x:c r="H602" s="11" t="n">
        <x:v>0.8233416080474854</x:v>
      </x:c>
      <x:c r="I602" s="11" t="n">
        <x:v>0.8500580191612244</x:v>
      </x:c>
      <x:c r="J602" s="24" t="n">
        <x:v>137.10984983388335</x:v>
      </x:c>
      <x:c r="K602" s="24" t="n">
        <x:v>159.3877091407776</x:v>
      </x:c>
      <x:c r="L602" s="11" t="n">
        <x:v>0.8663366436958313</x:v>
      </x:c>
      <x:c r="M602" s="11" t="n">
        <x:v>0.0999393239617347</x:v>
      </x:c>
    </x:row>
    <x:row r="603" ht="22" customHeight="1">
      <x:c r="A603" s="17" t="str">
        <x:f>"06921070"</x:f>
        <x:v>06921070</x:v>
      </x:c>
      <x:c r="B603" s="13" t="n">
        <x:v>42</x:v>
      </x:c>
      <x:c r="C603" s="22" t="b">
        <x:v>0</x:v>
      </x:c>
      <x:c r="D603" s="11" t="n">
        <x:v>0.024813896045088702</x:v>
      </x:c>
      <x:c r="E603" s="11" t="n">
        <x:v>0.00026311528442109997</x:v>
      </x:c>
      <x:c r="F603" s="11" t="n">
        <x:v>0.3821339905261993</x:v>
      </x:c>
      <x:c r="G603" s="13" t="n">
        <x:v>1</x:v>
      </x:c>
      <x:c r="H603" s="11" t="n">
        <x:v>0.8716232776641846</x:v>
      </x:c>
      <x:c r="I603" s="11" t="n">
        <x:v>1.0470046997070312</x:v>
      </x:c>
      <x:c r="J603" s="24" t="n">
        <x:v>139.76852682046592</x:v>
      </x:c>
      <x:c r="K603" s="24" t="n">
        <x:v>160.57665419578552</x:v>
      </x:c>
      <x:c r="L603" s="11" t="n">
        <x:v>0.9429280161857604</x:v>
      </x:c>
      <x:c r="M603" s="11" t="n">
        <x:v>0.0999332070350647</x:v>
      </x:c>
    </x:row>
    <x:row r="604" ht="22" customHeight="1">
      <x:c r="A604" s="17" t="str">
        <x:f>"06921200"</x:f>
        <x:v>06921200</x:v>
      </x:c>
      <x:c r="B604" s="13" t="n">
        <x:v>42</x:v>
      </x:c>
      <x:c r="C604" s="22" t="b">
        <x:v>1</x:v>
      </x:c>
      <x:c r="D604" s="11" t="n">
        <x:v>0.028052806233366267</x:v>
      </x:c>
      <x:c r="E604" s="11" t="n">
        <x:v>0.00031014023018843335</x:v>
      </x:c>
      <x:c r="F604" s="11" t="n">
        <x:v>0.3787128627300262</x:v>
      </x:c>
      <x:c r="G604" s="13" t="n">
        <x:v>1</x:v>
      </x:c>
      <x:c r="H604" s="11" t="n">
        <x:v>0.8157732486724854</x:v>
      </x:c>
      <x:c r="I604" s="11" t="n">
        <x:v>0.8842602968215942</x:v>
      </x:c>
      <x:c r="J604" s="24" t="n">
        <x:v>142.637124161236</x:v>
      </x:c>
      <x:c r="K604" s="24" t="n">
        <x:v>162.32850170135498</x:v>
      </x:c>
      <x:c r="L604" s="11" t="n">
        <x:v>0.9777227640151978</x:v>
      </x:c>
      <x:c r="M604" s="11" t="n">
        <x:v>0.0999393239617347</x:v>
      </x:c>
    </x:row>
    <x:row r="605" ht="22" customHeight="1">
      <x:c r="A605" s="17" t="str">
        <x:f>"06921200"</x:f>
        <x:v>06921200</x:v>
      </x:c>
      <x:c r="B605" s="13" t="n">
        <x:v>42</x:v>
      </x:c>
      <x:c r="C605" s="22" t="b">
        <x:v>0</x:v>
      </x:c>
      <x:c r="D605" s="11" t="n">
        <x:v>0.030603804315129834</x:v>
      </x:c>
      <x:c r="E605" s="11" t="n">
        <x:v>0.00044527202650589993</x:v>
      </x:c>
      <x:c r="F605" s="11" t="n">
        <x:v>0.3995037078857422</x:v>
      </x:c>
      <x:c r="G605" s="13" t="n">
        <x:v>1</x:v>
      </x:c>
      <x:c r="H605" s="11" t="n">
        <x:v>0.858614981174469</x:v>
      </x:c>
      <x:c r="I605" s="11" t="n">
        <x:v>0.944564938545227</x:v>
      </x:c>
      <x:c r="J605" s="24" t="n">
        <x:v>139.41110126208514</x:v>
      </x:c>
      <x:c r="K605" s="24" t="n">
        <x:v>158.59423422813416</x:v>
      </x:c>
      <x:c r="L605" s="11" t="n">
        <x:v>0.9181141257286072</x:v>
      </x:c>
      <x:c r="M605" s="11" t="n">
        <x:v>0.0999332070350647</x:v>
      </x:c>
    </x:row>
    <x:row r="606" ht="22" customHeight="1">
      <x:c r="A606" s="17" t="str">
        <x:f>"07014500"</x:f>
        <x:v>07014500</x:v>
      </x:c>
      <x:c r="B606" s="13" t="n">
        <x:v>42</x:v>
      </x:c>
      <x:c r="C606" s="22" t="b">
        <x:v>1</x:v>
      </x:c>
      <x:c r="D606" s="11" t="n">
        <x:v>0.019801980194946067</x:v>
      </x:c>
      <x:c r="E606" s="11" t="n">
        <x:v>0.0004382416470131</x:v>
      </x:c>
      <x:c r="F606" s="11" t="n">
        <x:v>0.3811881244182586</x:v>
      </x:c>
      <x:c r="G606" s="13" t="n">
        <x:v>9</x:v>
      </x:c>
      <x:c r="H606" s="11" t="n">
        <x:v>0.2016006708145141</x:v>
      </x:c>
      <x:c r="I606" s="11" t="n">
        <x:v>0.2061761915683746</x:v>
      </x:c>
      <x:c r="J606" s="24" t="n">
        <x:v>139.053284435533</x:v>
      </x:c>
      <x:c r="K606" s="24" t="n">
        <x:v>154.83491563796997</x:v>
      </x:c>
      <x:c r="L606" s="11" t="n">
        <x:v>0.4282178282737732</x:v>
      </x:c>
      <x:c r="M606" s="11" t="n">
        <x:v>0.0999393239617347</x:v>
      </x:c>
    </x:row>
    <x:row r="607" ht="22" customHeight="1">
      <x:c r="A607" s="17" t="str">
        <x:f>"07014500"</x:f>
        <x:v>07014500</x:v>
      </x:c>
      <x:c r="B607" s="13" t="n">
        <x:v>42</x:v>
      </x:c>
      <x:c r="C607" s="22" t="b">
        <x:v>0</x:v>
      </x:c>
      <x:c r="D607" s="11" t="n">
        <x:v>0.02977667531619463</x:v>
      </x:c>
      <x:c r="E607" s="11" t="n">
        <x:v>0.00041828582955829994</x:v>
      </x:c>
      <x:c r="F607" s="11" t="n">
        <x:v>0.4565756916999817</x:v>
      </x:c>
      <x:c r="G607" s="13" t="n">
        <x:v>10</x:v>
      </x:c>
      <x:c r="H607" s="11" t="n">
        <x:v>0.310225635766983</x:v>
      </x:c>
      <x:c r="I607" s="11" t="n">
        <x:v>0.310225635766983</x:v>
      </x:c>
      <x:c r="J607" s="24" t="n">
        <x:v>139.18160919006914</x:v>
      </x:c>
      <x:c r="K607" s="24" t="n">
        <x:v>159.46072340011597</x:v>
      </x:c>
      <x:c r="L607" s="11" t="n">
        <x:v>0.4565756916999817</x:v>
      </x:c>
      <x:c r="M607" s="11" t="n">
        <x:v>0.0999332070350647</x:v>
      </x:c>
    </x:row>
    <x:row r="608" ht="22" customHeight="1">
      <x:c r="A608" s="17" t="str">
        <x:f>"07056000"</x:f>
        <x:v>07056000</x:v>
      </x:c>
      <x:c r="B608" s="13" t="n">
        <x:v>42</x:v>
      </x:c>
      <x:c r="C608" s="22" t="b">
        <x:v>1</x:v>
      </x:c>
      <x:c r="D608" s="11" t="n">
        <x:v>0.03052805364131923</x:v>
      </x:c>
      <x:c r="E608" s="11" t="n">
        <x:v>0.00029665588226626666</x:v>
      </x:c>
      <x:c r="F608" s="11" t="n">
        <x:v>0.3217821717262268</x:v>
      </x:c>
      <x:c r="G608" s="13" t="n">
        <x:v>2</x:v>
      </x:c>
      <x:c r="H608" s="11" t="n">
        <x:v>0.8041903376579285</x:v>
      </x:c>
      <x:c r="I608" s="11" t="n">
        <x:v>0.8076798319816589</x:v>
      </x:c>
      <x:c r="J608" s="24" t="n">
        <x:v>137.85518927127123</x:v>
      </x:c>
      <x:c r="K608" s="24" t="n">
        <x:v>154.42934203147888</x:v>
      </x:c>
      <x:c r="L608" s="11" t="n">
        <x:v>0.75</x:v>
      </x:c>
      <x:c r="M608" s="11" t="n">
        <x:v>0.0999393239617347</x:v>
      </x:c>
    </x:row>
    <x:row r="609" ht="22" customHeight="1">
      <x:c r="A609" s="17" t="str">
        <x:f>"07056000"</x:f>
        <x:v>07056000</x:v>
      </x:c>
      <x:c r="B609" s="13" t="n">
        <x:v>42</x:v>
      </x:c>
      <x:c r="C609" s="22" t="b">
        <x:v>0</x:v>
      </x:c>
      <x:c r="D609" s="11" t="n">
        <x:v>0.040529362857341704</x:v>
      </x:c>
      <x:c r="E609" s="11" t="n">
        <x:v>0.00041153928032140004</x:v>
      </x:c>
      <x:c r="F609" s="11" t="n">
        <x:v>0.4292804002761841</x:v>
      </x:c>
      <x:c r="G609" s="13" t="n">
        <x:v>9</x:v>
      </x:c>
      <x:c r="H609" s="11" t="n">
        <x:v>0.737893283367157</x:v>
      </x:c>
      <x:c r="I609" s="11" t="n">
        <x:v>1.3620270490646362</x:v>
      </x:c>
      <x:c r="J609" s="24" t="n">
        <x:v>136.12840082589537</x:v>
      </x:c>
      <x:c r="K609" s="24" t="n">
        <x:v>157.30136346817017</x:v>
      </x:c>
      <x:c r="L609" s="11" t="n">
        <x:v>0.4615384638309479</x:v>
      </x:c>
      <x:c r="M609" s="11" t="n">
        <x:v>0.0999332070350647</x:v>
      </x:c>
    </x:row>
    <x:row r="610" ht="22" customHeight="1">
      <x:c r="A610" s="17" t="str">
        <x:f>"07057500"</x:f>
        <x:v>07057500</x:v>
      </x:c>
      <x:c r="B610" s="13" t="n">
        <x:v>42</x:v>
      </x:c>
      <x:c r="C610" s="22" t="b">
        <x:v>1</x:v>
      </x:c>
      <x:c r="D610" s="11" t="n">
        <x:v>0.024752474700411132</x:v>
      </x:c>
      <x:c r="E610" s="11" t="n">
        <x:v>0.0003573354964221333</x:v>
      </x:c>
      <x:c r="F610" s="11" t="n">
        <x:v>0.3267326653003692</x:v>
      </x:c>
      <x:c r="G610" s="13" t="n">
        <x:v>4</x:v>
      </x:c>
      <x:c r="H610" s="11" t="n">
        <x:v>0.6056317090988159</x:v>
      </x:c>
      <x:c r="I610" s="11" t="n">
        <x:v>0.6330429911613464</x:v>
      </x:c>
      <x:c r="J610" s="24" t="n">
        <x:v>137.1176424473524</x:v>
      </x:c>
      <x:c r="K610" s="24" t="n">
        <x:v>154.2677342891693</x:v>
      </x:c>
      <x:c r="L610" s="11" t="n">
        <x:v>0.6287128925323486</x:v>
      </x:c>
      <x:c r="M610" s="11" t="n">
        <x:v>0.0999393239617347</x:v>
      </x:c>
    </x:row>
    <x:row r="611" ht="22" customHeight="1">
      <x:c r="A611" s="17" t="str">
        <x:f>"07057500"</x:f>
        <x:v>07057500</x:v>
      </x:c>
      <x:c r="B611" s="13" t="n">
        <x:v>42</x:v>
      </x:c>
      <x:c r="C611" s="22" t="b">
        <x:v>0</x:v>
      </x:c>
      <x:c r="D611" s="11" t="n">
        <x:v>0.028949545075495964</x:v>
      </x:c>
      <x:c r="E611" s="11" t="n">
        <x:v>0.0002293825503632</x:v>
      </x:c>
      <x:c r="F611" s="11" t="n">
        <x:v>0.4565756916999817</x:v>
      </x:c>
      <x:c r="G611" s="13" t="n">
        <x:v>4</x:v>
      </x:c>
      <x:c r="H611" s="11" t="n">
        <x:v>0.6549164056777954</x:v>
      </x:c>
      <x:c r="I611" s="11" t="n">
        <x:v>0.7087976336479187</x:v>
      </x:c>
      <x:c r="J611" s="24" t="n">
        <x:v>138.93409420829266</x:v>
      </x:c>
      <x:c r="K611" s="24" t="n">
        <x:v>159.76255106925964</x:v>
      </x:c>
      <x:c r="L611" s="11" t="n">
        <x:v>0.7196030020713806</x:v>
      </x:c>
      <x:c r="M611" s="11" t="n">
        <x:v>0.0999332070350647</x:v>
      </x:c>
    </x:row>
    <x:row r="612" ht="22" customHeight="1">
      <x:c r="A612" s="17" t="str">
        <x:f>"07060710"</x:f>
        <x:v>07060710</x:v>
      </x:c>
      <x:c r="B612" s="13" t="n">
        <x:v>42</x:v>
      </x:c>
      <x:c r="C612" s="22" t="b">
        <x:v>1</x:v>
      </x:c>
      <x:c r="D612" s="11" t="n">
        <x:v>0.030528053641319202</x:v>
      </x:c>
      <x:c r="E612" s="11" t="n">
        <x:v>0.0005258899764157334</x:v>
      </x:c>
      <x:c r="F612" s="11" t="n">
        <x:v>0.3613861501216888</x:v>
      </x:c>
      <x:c r="G612" s="13" t="n">
        <x:v>10</x:v>
      </x:c>
      <x:c r="H612" s="11" t="n">
        <x:v>2.427471399307251</x:v>
      </x:c>
      <x:c r="I612" s="11" t="n">
        <x:v>2.427471399307251</x:v>
      </x:c>
      <x:c r="J612" s="24" t="n">
        <x:v>140.93096611835063</x:v>
      </x:c>
      <x:c r="K612" s="24" t="n">
        <x:v>153.87199640274048</x:v>
      </x:c>
      <x:c r="L612" s="11" t="n">
        <x:v>0.3613861501216888</x:v>
      </x:c>
      <x:c r="M612" s="11" t="n">
        <x:v>0.0999393239617347</x:v>
      </x:c>
    </x:row>
    <x:row r="613" ht="22" customHeight="1">
      <x:c r="A613" s="17" t="str">
        <x:f>"07060710"</x:f>
        <x:v>07060710</x:v>
      </x:c>
      <x:c r="B613" s="13" t="n">
        <x:v>42</x:v>
      </x:c>
      <x:c r="C613" s="22" t="b">
        <x:v>0</x:v>
      </x:c>
      <x:c r="D613" s="11" t="n">
        <x:v>0.028949545075495964</x:v>
      </x:c>
      <x:c r="E613" s="11" t="n">
        <x:v>0.0008568113359311667</x:v>
      </x:c>
      <x:c r="F613" s="11" t="n">
        <x:v>0.3325062096118927</x:v>
      </x:c>
      <x:c r="G613" s="13" t="n">
        <x:v>1</x:v>
      </x:c>
      <x:c r="H613" s="11" t="n">
        <x:v>2.498286485671997</x:v>
      </x:c>
      <x:c r="I613" s="11" t="n">
        <x:v>2.504945516586304</x:v>
      </x:c>
      <x:c r="J613" s="24" t="n">
        <x:v>141.42505868524313</x:v>
      </x:c>
      <x:c r="K613" s="24" t="n">
        <x:v>159.80712723731995</x:v>
      </x:c>
      <x:c r="L613" s="11" t="n">
        <x:v>0.8511165976524353</x:v>
      </x:c>
      <x:c r="M613" s="11" t="n">
        <x:v>0.0999332070350647</x:v>
      </x:c>
    </x:row>
    <x:row r="614" ht="22" customHeight="1">
      <x:c r="A614" s="17" t="str">
        <x:f>"07066000"</x:f>
        <x:v>07066000</x:v>
      </x:c>
      <x:c r="B614" s="13" t="n">
        <x:v>42</x:v>
      </x:c>
      <x:c r="C614" s="22" t="b">
        <x:v>1</x:v>
      </x:c>
      <x:c r="D614" s="11" t="n">
        <x:v>0.0239273933693766</x:v>
      </x:c>
      <x:c r="E614" s="11" t="n">
        <x:v>0.0005191477927534</x:v>
      </x:c>
      <x:c r="F614" s="11" t="n">
        <x:v>0.3613861501216888</x:v>
      </x:c>
      <x:c r="G614" s="13" t="n">
        <x:v>10</x:v>
      </x:c>
      <x:c r="H614" s="11" t="n">
        <x:v>0.526542603969574</x:v>
      </x:c>
      <x:c r="I614" s="11" t="n">
        <x:v>0.526542603969574</x:v>
      </x:c>
      <x:c r="J614" s="24" t="n">
        <x:v>141.70979653764516</x:v>
      </x:c>
      <x:c r="K614" s="24" t="n">
        <x:v>156.2820942401886</x:v>
      </x:c>
      <x:c r="L614" s="11" t="n">
        <x:v>0.3613861501216888</x:v>
      </x:c>
      <x:c r="M614" s="11" t="n">
        <x:v>0.0999393239617347</x:v>
      </x:c>
    </x:row>
    <x:row r="615" ht="22" customHeight="1">
      <x:c r="A615" s="17" t="str">
        <x:f>"07066000"</x:f>
        <x:v>07066000</x:v>
      </x:c>
      <x:c r="B615" s="13" t="n">
        <x:v>42</x:v>
      </x:c>
      <x:c r="C615" s="22" t="b">
        <x:v>0</x:v>
      </x:c>
      <x:c r="D615" s="11" t="n">
        <x:v>0.020678246393799702</x:v>
      </x:c>
      <x:c r="E615" s="11" t="n">
        <x:v>0.0002901014619661666</x:v>
      </x:c>
      <x:c r="F615" s="11" t="n">
        <x:v>0.4466501176357269</x:v>
      </x:c>
      <x:c r="G615" s="13" t="n">
        <x:v>4</x:v>
      </x:c>
      <x:c r="H615" s="11" t="n">
        <x:v>0.5946621298789978</x:v>
      </x:c>
      <x:c r="I615" s="11" t="n">
        <x:v>0.6069532632827759</x:v>
      </x:c>
      <x:c r="J615" s="24" t="n">
        <x:v>141.03058548551053</x:v>
      </x:c>
      <x:c r="K615" s="24" t="n">
        <x:v>159.18839025497437</x:v>
      </x:c>
      <x:c r="L615" s="11" t="n">
        <x:v>0.7171216011047363</x:v>
      </x:c>
      <x:c r="M615" s="11" t="n">
        <x:v>0.0999332070350647</x:v>
      </x:c>
    </x:row>
    <x:row r="616" ht="22" customHeight="1">
      <x:c r="A616" s="17" t="str">
        <x:f>"07067000"</x:f>
        <x:v>07067000</x:v>
      </x:c>
      <x:c r="B616" s="13" t="n">
        <x:v>42</x:v>
      </x:c>
      <x:c r="C616" s="22" t="b">
        <x:v>1</x:v>
      </x:c>
      <x:c r="D616" s="11" t="n">
        <x:v>0.015676567641397268</x:v>
      </x:c>
      <x:c r="E616" s="11" t="n">
        <x:v>0.0006337648374028</x:v>
      </x:c>
      <x:c r="F616" s="11" t="n">
        <x:v>0.2846534550189972</x:v>
      </x:c>
      <x:c r="G616" s="13" t="n">
        <x:v>9</x:v>
      </x:c>
      <x:c r="H616" s="11" t="n">
        <x:v>0.2163340896368026</x:v>
      </x:c>
      <x:c r="I616" s="11" t="n">
        <x:v>0.2254493832588195</x:v>
      </x:c>
      <x:c r="J616" s="24" t="n">
        <x:v>137.12256446294487</x:v>
      </x:c>
      <x:c r="K616" s="24" t="n">
        <x:v>150.8034598827362</x:v>
      </x:c>
      <x:c r="L616" s="11" t="n">
        <x:v>0.3118811845779419</x:v>
      </x:c>
      <x:c r="M616" s="11" t="n">
        <x:v>0.0999393239617347</x:v>
      </x:c>
    </x:row>
    <x:row r="617" ht="22" customHeight="1">
      <x:c r="A617" s="17" t="str">
        <x:f>"07067000"</x:f>
        <x:v>07067000</x:v>
      </x:c>
      <x:c r="B617" s="13" t="n">
        <x:v>42</x:v>
      </x:c>
      <x:c r="C617" s="22" t="b">
        <x:v>0</x:v>
      </x:c>
      <x:c r="D617" s="11" t="n">
        <x:v>0.02646815528472257</x:v>
      </x:c>
      <x:c r="E617" s="11" t="n">
        <x:v>0.00039129965201326663</x:v>
      </x:c>
      <x:c r="F617" s="11" t="n">
        <x:v>0.481389582157135</x:v>
      </x:c>
      <x:c r="G617" s="13" t="n">
        <x:v>10</x:v>
      </x:c>
      <x:c r="H617" s="11" t="n">
        <x:v>0.3214574158191681</x:v>
      </x:c>
      <x:c r="I617" s="11" t="n">
        <x:v>0.3214574158191681</x:v>
      </x:c>
      <x:c r="J617" s="24" t="n">
        <x:v>140.48137103579938</x:v>
      </x:c>
      <x:c r="K617" s="24" t="n">
        <x:v>157.69170379638672</x:v>
      </x:c>
      <x:c r="L617" s="11" t="n">
        <x:v>0.481389582157135</x:v>
      </x:c>
      <x:c r="M617" s="11" t="n">
        <x:v>0.0999332070350647</x:v>
      </x:c>
    </x:row>
    <x:row r="618" ht="22" customHeight="1">
      <x:c r="A618" s="17" t="str">
        <x:f>"07068000"</x:f>
        <x:v>07068000</x:v>
      </x:c>
      <x:c r="B618" s="13" t="n">
        <x:v>42</x:v>
      </x:c>
      <x:c r="C618" s="22" t="b">
        <x:v>1</x:v>
      </x:c>
      <x:c r="D618" s="11" t="n">
        <x:v>0.0165016502141952</x:v>
      </x:c>
      <x:c r="E618" s="11" t="n">
        <x:v>0.0003236245975131</x:v>
      </x:c>
      <x:c r="F618" s="11" t="n">
        <x:v>0.2846534550189972</x:v>
      </x:c>
      <x:c r="G618" s="13" t="n">
        <x:v>9</x:v>
      </x:c>
      <x:c r="H618" s="11" t="n">
        <x:v>0.2381305694580078</x:v>
      </x:c>
      <x:c r="I618" s="11" t="n">
        <x:v>0.2620556652545929</x:v>
      </x:c>
      <x:c r="J618" s="24" t="n">
        <x:v>139.63263084739447</x:v>
      </x:c>
      <x:c r="K618" s="24" t="n">
        <x:v>151.78778386116028</x:v>
      </x:c>
      <x:c r="L618" s="11" t="n">
        <x:v>0.3242574334144592</x:v>
      </x:c>
      <x:c r="M618" s="11" t="n">
        <x:v>0.0999393239617347</x:v>
      </x:c>
    </x:row>
    <x:row r="619" ht="22" customHeight="1">
      <x:c r="A619" s="17" t="str">
        <x:f>"07068000"</x:f>
        <x:v>07068000</x:v>
      </x:c>
      <x:c r="B619" s="13" t="n">
        <x:v>42</x:v>
      </x:c>
      <x:c r="C619" s="22" t="b">
        <x:v>0</x:v>
      </x:c>
      <x:c r="D619" s="11" t="n">
        <x:v>0.029776675005753764</x:v>
      </x:c>
      <x:c r="E619" s="11" t="n">
        <x:v>0.0002226360035516333</x:v>
      </x:c>
      <x:c r="F619" s="11" t="n">
        <x:v>0.4317618012428283</x:v>
      </x:c>
      <x:c r="G619" s="13" t="n">
        <x:v>8</x:v>
      </x:c>
      <x:c r="H619" s="11" t="n">
        <x:v>0.3697123229503631</x:v>
      </x:c>
      <x:c r="I619" s="11" t="n">
        <x:v>0.3774561583995819</x:v>
      </x:c>
      <x:c r="J619" s="24" t="n">
        <x:v>135.51379761379212</x:v>
      </x:c>
      <x:c r="K619" s="24" t="n">
        <x:v>152.6976194381714</x:v>
      </x:c>
      <x:c r="L619" s="11" t="n">
        <x:v>0.4962779283523559</x:v>
      </x:c>
      <x:c r="M619" s="11" t="n">
        <x:v>0.0999332070350647</x:v>
      </x:c>
    </x:row>
    <x:row r="620" ht="22" customHeight="1">
      <x:c r="A620" s="17" t="str">
        <x:f>"07071500"</x:f>
        <x:v>07071500</x:v>
      </x:c>
      <x:c r="B620" s="13" t="n">
        <x:v>42</x:v>
      </x:c>
      <x:c r="C620" s="22" t="b">
        <x:v>1</x:v>
      </x:c>
      <x:c r="D620" s="11" t="n">
        <x:v>0.018976898243029866</x:v>
      </x:c>
      <x:c r="E620" s="11" t="n">
        <x:v>0.00037756203285723333</x:v>
      </x:c>
      <x:c r="F620" s="11" t="n">
        <x:v>0.2772277295589447</x:v>
      </x:c>
      <x:c r="G620" s="13" t="n">
        <x:v>7</x:v>
      </x:c>
      <x:c r="H620" s="11" t="n">
        <x:v>1.0504814386367798</x:v>
      </x:c>
      <x:c r="I620" s="11" t="n">
        <x:v>1.051580786705017</x:v>
      </x:c>
      <x:c r="J620" s="24" t="n">
        <x:v>134.5035111764446</x:v>
      </x:c>
      <x:c r="K620" s="24" t="n">
        <x:v>145.35028386116028</x:v>
      </x:c>
      <x:c r="L620" s="11" t="n">
        <x:v>0.3861386179924011</x:v>
      </x:c>
      <x:c r="M620" s="11" t="n">
        <x:v>0.0999393239617347</x:v>
      </x:c>
    </x:row>
    <x:row r="621" ht="22" customHeight="1">
      <x:c r="A621" s="17" t="str">
        <x:f>"07071500"</x:f>
        <x:v>07071500</x:v>
      </x:c>
      <x:c r="B621" s="13" t="n">
        <x:v>42</x:v>
      </x:c>
      <x:c r="C621" s="22" t="b">
        <x:v>0</x:v>
      </x:c>
      <x:c r="D621" s="11" t="n">
        <x:v>0.03473945396641884</x:v>
      </x:c>
      <x:c r="E621" s="11" t="n">
        <x:v>0.00025636873275890003</x:v>
      </x:c>
      <x:c r="F621" s="11" t="n">
        <x:v>0.540942907333374</x:v>
      </x:c>
      <x:c r="G621" s="13" t="n">
        <x:v>8</x:v>
      </x:c>
      <x:c r="H621" s="11" t="n">
        <x:v>1.195957899093628</x:v>
      </x:c>
      <x:c r="I621" s="11" t="n">
        <x:v>1.2335269451141355</x:v>
      </x:c>
      <x:c r="J621" s="24" t="n">
        <x:v>133.13567072339356</x:v>
      </x:c>
      <x:c r="K621" s="24" t="n">
        <x:v>155.5440056324005</x:v>
      </x:c>
      <x:c r="L621" s="11" t="n">
        <x:v>0.6054590344429016</x:v>
      </x:c>
      <x:c r="M621" s="11" t="n">
        <x:v>0.0999332070350647</x:v>
      </x:c>
    </x:row>
    <x:row r="622" ht="22" customHeight="1">
      <x:c r="A622" s="17" t="str">
        <x:f>"07083000"</x:f>
        <x:v>07083000</x:v>
      </x:c>
      <x:c r="B622" s="13" t="n">
        <x:v>42</x:v>
      </x:c>
      <x:c r="C622" s="22" t="b">
        <x:v>1</x:v>
      </x:c>
      <x:c r="D622" s="11" t="n">
        <x:v>0.009900990097473033</x:v>
      </x:c>
      <x:c r="E622" s="11" t="n">
        <x:v>0.0004786947198832667</x:v>
      </x:c>
      <x:c r="F622" s="11" t="n">
        <x:v>0.2400990128517151</x:v>
      </x:c>
      <x:c r="G622" s="13" t="n">
        <x:v>9</x:v>
      </x:c>
      <x:c r="H622" s="11" t="n">
        <x:v>0.0070870793424546</x:v>
      </x:c>
      <x:c r="I622" s="11" t="n">
        <x:v>0.0073306593112647</x:v>
      </x:c>
      <x:c r="J622" s="24" t="n">
        <x:v>134.53406380768865</x:v>
      </x:c>
      <x:c r="K622" s="24" t="n">
        <x:v>144.79305362701416</x:v>
      </x:c>
      <x:c r="L622" s="11" t="n">
        <x:v>0.2722772359848022</x:v>
      </x:c>
      <x:c r="M622" s="11" t="n">
        <x:v>0.0999393239617347</x:v>
      </x:c>
    </x:row>
    <x:row r="623" ht="22" customHeight="1">
      <x:c r="A623" s="17" t="str">
        <x:f>"07083000"</x:f>
        <x:v>07083000</x:v>
      </x:c>
      <x:c r="B623" s="13" t="n">
        <x:v>42</x:v>
      </x:c>
      <x:c r="C623" s="22" t="b">
        <x:v>0</x:v>
      </x:c>
      <x:c r="D623" s="11" t="n">
        <x:v>0.035566583896676635</x:v>
      </x:c>
      <x:c r="E623" s="11" t="n">
        <x:v>0.0006476684163013666</x:v>
      </x:c>
      <x:c r="F623" s="11" t="n">
        <x:v>0.4491315186023712</x:v>
      </x:c>
      <x:c r="G623" s="13" t="n">
        <x:v>5</x:v>
      </x:c>
      <x:c r="H623" s="11" t="n">
        <x:v>0.1731725931167602</x:v>
      </x:c>
      <x:c r="I623" s="11" t="n">
        <x:v>0.2051138579845428</x:v>
      </x:c>
      <x:c r="J623" s="24" t="n">
        <x:v>134.45536856725812</x:v>
      </x:c>
      <x:c r="K623" s="24" t="n">
        <x:v>153.41353297233582</x:v>
      </x:c>
      <x:c r="L623" s="11" t="n">
        <x:v>0.6253101825714111</x:v>
      </x:c>
      <x:c r="M623" s="11" t="n">
        <x:v>0.0999332070350647</x:v>
      </x:c>
    </x:row>
    <x:row r="624" ht="22" customHeight="1">
      <x:c r="A624" s="17" t="str">
        <x:f>"07142300"</x:f>
        <x:v>07142300</x:v>
      </x:c>
      <x:c r="B624" s="13" t="n">
        <x:v>42</x:v>
      </x:c>
      <x:c r="C624" s="22" t="b">
        <x:v>1</x:v>
      </x:c>
      <x:c r="D624" s="11" t="n">
        <x:v>0.0148514853790402</x:v>
      </x:c>
      <x:c r="E624" s="11" t="n">
        <x:v>0.0005393743243378334</x:v>
      </x:c>
      <x:c r="F624" s="11" t="n">
        <x:v>0.2772277295589447</x:v>
      </x:c>
      <x:c r="G624" s="13" t="n">
        <x:v>9</x:v>
      </x:c>
      <x:c r="H624" s="11" t="n">
        <x:v>0.2259451150894165</x:v>
      </x:c>
      <x:c r="I624" s="11" t="n">
        <x:v>0.3592034876346588</x:v>
      </x:c>
      <x:c r="J624" s="24" t="n">
        <x:v>133.48210205417126</x:v>
      </x:c>
      <x:c r="K624" s="24" t="n">
        <x:v>145.55045437812805</x:v>
      </x:c>
      <x:c r="L624" s="11" t="n">
        <x:v>0.2970297038555145</x:v>
      </x:c>
      <x:c r="M624" s="11" t="n">
        <x:v>0.0999393239617347</x:v>
      </x:c>
    </x:row>
    <x:row r="625" ht="22" customHeight="1">
      <x:c r="A625" s="17" t="str">
        <x:f>"07142300"</x:f>
        <x:v>07142300</x:v>
      </x:c>
      <x:c r="B625" s="13" t="n">
        <x:v>42</x:v>
      </x:c>
      <x:c r="C625" s="22" t="b">
        <x:v>0</x:v>
      </x:c>
      <x:c r="D625" s="11" t="n">
        <x:v>0.019851116773982765</x:v>
      </x:c>
      <x:c r="E625" s="11" t="n">
        <x:v>0.00022263600840226666</x:v>
      </x:c>
      <x:c r="F625" s="11" t="n">
        <x:v>0.4218362271785736</x:v>
      </x:c>
      <x:c r="G625" s="13" t="n">
        <x:v>9</x:v>
      </x:c>
      <x:c r="H625" s="11" t="n">
        <x:v>0.4807090163230896</x:v>
      </x:c>
      <x:c r="I625" s="11" t="n">
        <x:v>0.4812811613082886</x:v>
      </x:c>
      <x:c r="J625" s="24" t="n">
        <x:v>137.45275193918496</x:v>
      </x:c>
      <x:c r="K625" s="24" t="n">
        <x:v>148.90611100196838</x:v>
      </x:c>
      <x:c r="L625" s="11" t="n">
        <x:v>0.4516128897666931</x:v>
      </x:c>
      <x:c r="M625" s="11" t="n">
        <x:v>0.0999332070350647</x:v>
      </x:c>
    </x:row>
    <x:row r="626" ht="22" customHeight="1">
      <x:c r="A626" s="17" t="str">
        <x:f>"07145700"</x:f>
        <x:v>07145700</x:v>
      </x:c>
      <x:c r="B626" s="13" t="n">
        <x:v>42</x:v>
      </x:c>
      <x:c r="C626" s="22" t="b">
        <x:v>1</x:v>
      </x:c>
      <x:c r="D626" s="11" t="n">
        <x:v>0.02227722791333987</x:v>
      </x:c>
      <x:c r="E626" s="11" t="n">
        <x:v>0.00046521035255859996</x:v>
      </x:c>
      <x:c r="F626" s="11" t="n">
        <x:v>0.4133663475513458</x:v>
      </x:c>
      <x:c r="G626" s="13" t="n">
        <x:v>9</x:v>
      </x:c>
      <x:c r="H626" s="11" t="n">
        <x:v>1.1425895690917969</x:v>
      </x:c>
      <x:c r="I626" s="11" t="n">
        <x:v>1.1789463758468628</x:v>
      </x:c>
      <x:c r="J626" s="24" t="n">
        <x:v>138.09557988587767</x:v>
      </x:c>
      <x:c r="K626" s="24" t="n">
        <x:v>156.24557518959045</x:v>
      </x:c>
      <x:c r="L626" s="11" t="n">
        <x:v>0.4603960514068603</x:v>
      </x:c>
      <x:c r="M626" s="11" t="n">
        <x:v>0.0999393239617347</x:v>
      </x:c>
    </x:row>
    <x:row r="627" ht="22" customHeight="1">
      <x:c r="A627" s="17" t="str">
        <x:f>"07145700"</x:f>
        <x:v>07145700</x:v>
      </x:c>
      <x:c r="B627" s="13" t="n">
        <x:v>42</x:v>
      </x:c>
      <x:c r="C627" s="22" t="b">
        <x:v>0</x:v>
      </x:c>
      <x:c r="D627" s="11" t="n">
        <x:v>0.02977667500575377</x:v>
      </x:c>
      <x:c r="E627" s="11" t="n">
        <x:v>0.00030359455558933335</x:v>
      </x:c>
      <x:c r="F627" s="11" t="n">
        <x:v>0.4119106829166412</x:v>
      </x:c>
      <x:c r="G627" s="13" t="n">
        <x:v>10</x:v>
      </x:c>
      <x:c r="H627" s="11" t="n">
        <x:v>1.1662428379058838</x:v>
      </x:c>
      <x:c r="I627" s="11" t="n">
        <x:v>1.1662428379058838</x:v>
      </x:c>
      <x:c r="J627" s="24" t="n">
        <x:v>137.83740071300417</x:v>
      </x:c>
      <x:c r="K627" s="24" t="n">
        <x:v>151.0079743862152</x:v>
      </x:c>
      <x:c r="L627" s="11" t="n">
        <x:v>0.4119106829166412</x:v>
      </x:c>
      <x:c r="M627" s="11" t="n">
        <x:v>0.0999332070350647</x:v>
      </x:c>
    </x:row>
    <x:row r="628" ht="22" customHeight="1">
      <x:c r="A628" s="17" t="str">
        <x:f>"07148400"</x:f>
        <x:v>07148400</x:v>
      </x:c>
      <x:c r="B628" s="13" t="n">
        <x:v>42</x:v>
      </x:c>
      <x:c r="C628" s="22" t="b">
        <x:v>1</x:v>
      </x:c>
      <x:c r="D628" s="11" t="n">
        <x:v>0.021452145030101066</x:v>
      </x:c>
      <x:c r="E628" s="11" t="n">
        <x:v>0.0008427723854158667</x:v>
      </x:c>
      <x:c r="F628" s="11" t="n">
        <x:v>0.3118811845779419</x:v>
      </x:c>
      <x:c r="G628" s="13" t="n">
        <x:v>6</x:v>
      </x:c>
      <x:c r="H628" s="11" t="n">
        <x:v>0.2009793668985366</x:v>
      </x:c>
      <x:c r="I628" s="11" t="n">
        <x:v>0.2195362299680709</x:v>
      </x:c>
      <x:c r="J628" s="24" t="n">
        <x:v>136.825378742069</x:v>
      </x:c>
      <x:c r="K628" s="24" t="n">
        <x:v>150.48399782180786</x:v>
      </x:c>
      <x:c r="L628" s="11" t="n">
        <x:v>0.4752475321292877</x:v>
      </x:c>
      <x:c r="M628" s="11" t="n">
        <x:v>0.0999393239617347</x:v>
      </x:c>
    </x:row>
    <x:row r="629" ht="22" customHeight="1">
      <x:c r="A629" s="17" t="str">
        <x:f>"07148400"</x:f>
        <x:v>07148400</x:v>
      </x:c>
      <x:c r="B629" s="13" t="n">
        <x:v>42</x:v>
      </x:c>
      <x:c r="C629" s="22" t="b">
        <x:v>0</x:v>
      </x:c>
      <x:c r="D629" s="11" t="n">
        <x:v>0.031430934245387634</x:v>
      </x:c>
      <x:c r="E629" s="11" t="n">
        <x:v>0.0004857512928234333</x:v>
      </x:c>
      <x:c r="F629" s="11" t="n">
        <x:v>0.4044665098190307</x:v>
      </x:c>
      <x:c r="G629" s="13" t="n">
        <x:v>1</x:v>
      </x:c>
      <x:c r="H629" s="11" t="n">
        <x:v>0.2753174304962158</x:v>
      </x:c>
      <x:c r="I629" s="11" t="n">
        <x:v>0.3855254054069519</x:v>
      </x:c>
      <x:c r="J629" s="24" t="n">
        <x:v>137.11232341080904</x:v>
      </x:c>
      <x:c r="K629" s="24" t="n">
        <x:v>159.14044523239136</x:v>
      </x:c>
      <x:c r="L629" s="11" t="n">
        <x:v>0.9652605652809144</x:v>
      </x:c>
      <x:c r="M629" s="11" t="n">
        <x:v>0.0999332070350647</x:v>
      </x:c>
    </x:row>
    <x:row r="630" ht="22" customHeight="1">
      <x:c r="A630" s="17" t="str">
        <x:f>"07149000"</x:f>
        <x:v>07149000</x:v>
      </x:c>
      <x:c r="B630" s="13" t="n">
        <x:v>42</x:v>
      </x:c>
      <x:c r="C630" s="22" t="b">
        <x:v>1</x:v>
      </x:c>
      <x:c r="D630" s="11" t="n">
        <x:v>0.03547854907810683</x:v>
      </x:c>
      <x:c r="E630" s="11" t="n">
        <x:v>0.0005393743243378334</x:v>
      </x:c>
      <x:c r="F630" s="11" t="n">
        <x:v>0.4183168411254883</x:v>
      </x:c>
      <x:c r="G630" s="13" t="n">
        <x:v>7</x:v>
      </x:c>
      <x:c r="H630" s="11" t="n">
        <x:v>0.1193567290902137</x:v>
      </x:c>
      <x:c r="I630" s="11" t="n">
        <x:v>0.1426492780447006</x:v>
      </x:c>
      <x:c r="J630" s="24" t="n">
        <x:v>136.54453689791262</x:v>
      </x:c>
      <x:c r="K630" s="24" t="n">
        <x:v>149.63062977790833</x:v>
      </x:c>
      <x:c r="L630" s="11" t="n">
        <x:v>0.5643564462661743</x:v>
      </x:c>
      <x:c r="M630" s="11" t="n">
        <x:v>0.0999393239617347</x:v>
      </x:c>
    </x:row>
    <x:row r="631" ht="22" customHeight="1">
      <x:c r="A631" s="17" t="str">
        <x:f>"07149000"</x:f>
        <x:v>07149000</x:v>
      </x:c>
      <x:c r="B631" s="13" t="n">
        <x:v>42</x:v>
      </x:c>
      <x:c r="C631" s="22" t="b">
        <x:v>0</x:v>
      </x:c>
      <x:c r="D631" s="11" t="n">
        <x:v>0.029776675005753764</x:v>
      </x:c>
      <x:c r="E631" s="11" t="n">
        <x:v>0.0006274287394868334</x:v>
      </x:c>
      <x:c r="F631" s="11" t="n">
        <x:v>0.3498759269714355</x:v>
      </x:c>
      <x:c r="G631" s="13" t="n">
        <x:v>1</x:v>
      </x:c>
      <x:c r="H631" s="11" t="n">
        <x:v>0.2079646438360214</x:v>
      </x:c>
      <x:c r="I631" s="11" t="n">
        <x:v>0.2323508709669113</x:v>
      </x:c>
      <x:c r="J631" s="24" t="n">
        <x:v>138.44175833649933</x:v>
      </x:c>
      <x:c r="K631" s="24" t="n">
        <x:v>158.54918241500854</x:v>
      </x:c>
      <x:c r="L631" s="11" t="n">
        <x:v>0.9131513833999634</x:v>
      </x:c>
      <x:c r="M631" s="11" t="n">
        <x:v>0.0999332070350647</x:v>
      </x:c>
    </x:row>
    <x:row r="632" ht="22" customHeight="1">
      <x:c r="A632" s="17" t="str">
        <x:f>"07151500"</x:f>
        <x:v>07151500</x:v>
      </x:c>
      <x:c r="B632" s="13" t="n">
        <x:v>42</x:v>
      </x:c>
      <x:c r="C632" s="22" t="b">
        <x:v>1</x:v>
      </x:c>
      <x:c r="D632" s="11" t="n">
        <x:v>0.017326733097434</x:v>
      </x:c>
      <x:c r="E632" s="11" t="n">
        <x:v>0.0003708198491949</x:v>
      </x:c>
      <x:c r="F632" s="11" t="n">
        <x:v>0.3292079269886017</x:v>
      </x:c>
      <x:c r="G632" s="13" t="n">
        <x:v>1</x:v>
      </x:c>
      <x:c r="H632" s="11" t="n">
        <x:v>1.0437867641448977</x:v>
      </x:c>
      <x:c r="I632" s="11" t="n">
        <x:v>1.0988935232162476</x:v>
      </x:c>
      <x:c r="J632" s="24" t="n">
        <x:v>138.5791728356853</x:v>
      </x:c>
      <x:c r="K632" s="24" t="n">
        <x:v>164.04235243797302</x:v>
      </x:c>
      <x:c r="L632" s="11" t="n">
        <x:v>0.9702970385551452</x:v>
      </x:c>
      <x:c r="M632" s="11" t="n">
        <x:v>0.0999393239617347</x:v>
      </x:c>
    </x:row>
    <x:row r="633" ht="22" customHeight="1">
      <x:c r="A633" s="17" t="str">
        <x:f>"07151500"</x:f>
        <x:v>07151500</x:v>
      </x:c>
      <x:c r="B633" s="13" t="n">
        <x:v>42</x:v>
      </x:c>
      <x:c r="C633" s="22" t="b">
        <x:v>0</x:v>
      </x:c>
      <x:c r="D633" s="11" t="n">
        <x:v>0.025641025354464764</x:v>
      </x:c>
      <x:c r="E633" s="11" t="n">
        <x:v>0.00043852546756770005</x:v>
      </x:c>
      <x:c r="F633" s="11" t="n">
        <x:v>0.3523573279380798</x:v>
      </x:c>
      <x:c r="G633" s="13" t="n">
        <x:v>10</x:v>
      </x:c>
      <x:c r="H633" s="11" t="n">
        <x:v>1.0845351219177246</x:v>
      </x:c>
      <x:c r="I633" s="11" t="n">
        <x:v>1.0845351219177246</x:v>
      </x:c>
      <x:c r="J633" s="24" t="n">
        <x:v>135.20042936131358</x:v>
      </x:c>
      <x:c r="K633" s="24" t="n">
        <x:v>147.9526171684265</x:v>
      </x:c>
      <x:c r="L633" s="11" t="n">
        <x:v>0.3523573279380798</x:v>
      </x:c>
      <x:c r="M633" s="11" t="n">
        <x:v>0.0999332070350647</x:v>
      </x:c>
    </x:row>
    <x:row r="634" ht="22" customHeight="1">
      <x:c r="A634" s="17" t="str">
        <x:f>"07167500"</x:f>
        <x:v>07167500</x:v>
      </x:c>
      <x:c r="B634" s="13" t="n">
        <x:v>42</x:v>
      </x:c>
      <x:c r="C634" s="22" t="b">
        <x:v>1</x:v>
      </x:c>
      <x:c r="D634" s="11" t="n">
        <x:v>0.04372937356432277</x:v>
      </x:c>
      <x:c r="E634" s="11" t="n">
        <x:v>0.000404530748104</x:v>
      </x:c>
      <x:c r="F634" s="11" t="n">
        <x:v>0.3267326653003692</x:v>
      </x:c>
      <x:c r="G634" s="13" t="n">
        <x:v>6</x:v>
      </x:c>
      <x:c r="H634" s="11" t="n">
        <x:v>2.6256818771362305</x:v>
      </x:c>
      <x:c r="I634" s="11" t="n">
        <x:v>2.663449764251709</x:v>
      </x:c>
      <x:c r="J634" s="24" t="n">
        <x:v>137.6965164616704</x:v>
      </x:c>
      <x:c r="K634" s="24" t="n">
        <x:v>150.05385613441467</x:v>
      </x:c>
      <x:c r="L634" s="11" t="n">
        <x:v>0.4579207897186279</x:v>
      </x:c>
      <x:c r="M634" s="11" t="n">
        <x:v>0.0999393239617347</x:v>
      </x:c>
    </x:row>
    <x:row r="635" ht="22" customHeight="1">
      <x:c r="A635" s="17" t="str">
        <x:f>"07167500"</x:f>
        <x:v>07167500</x:v>
      </x:c>
      <x:c r="B635" s="13" t="n">
        <x:v>42</x:v>
      </x:c>
      <x:c r="C635" s="22" t="b">
        <x:v>0</x:v>
      </x:c>
      <x:c r="D635" s="11" t="n">
        <x:v>0.0248138960450887</x:v>
      </x:c>
      <x:c r="E635" s="11" t="n">
        <x:v>0.0003103411048262333</x:v>
      </x:c>
      <x:c r="F635" s="11" t="n">
        <x:v>0.2853597998619079</x:v>
      </x:c>
      <x:c r="G635" s="13" t="n">
        <x:v>8</x:v>
      </x:c>
      <x:c r="H635" s="11" t="n">
        <x:v>2.7449750900268555</x:v>
      </x:c>
      <x:c r="I635" s="11" t="n">
        <x:v>2.762782573699951</x:v>
      </x:c>
      <x:c r="J635" s="24" t="n">
        <x:v>138.7240102775395</x:v>
      </x:c>
      <x:c r="K635" s="24" t="n">
        <x:v>149.721200466156</x:v>
      </x:c>
      <x:c r="L635" s="11" t="n">
        <x:v>0.3275434374809265</x:v>
      </x:c>
      <x:c r="M635" s="11" t="n">
        <x:v>0.0999332070350647</x:v>
      </x:c>
    </x:row>
    <x:row r="636" ht="22" customHeight="1">
      <x:c r="A636" s="17" t="str">
        <x:f>"07180500"</x:f>
        <x:v>07180500</x:v>
      </x:c>
      <x:c r="B636" s="13" t="n">
        <x:v>42</x:v>
      </x:c>
      <x:c r="C636" s="22" t="b">
        <x:v>1</x:v>
      </x:c>
      <x:c r="D636" s="11" t="n">
        <x:v>0.019801980505386934</x:v>
      </x:c>
      <x:c r="E636" s="11" t="n">
        <x:v>0.0002562027996949</x:v>
      </x:c>
      <x:c r="F636" s="11" t="n">
        <x:v>0.3044554591178894</x:v>
      </x:c>
      <x:c r="G636" s="13" t="n">
        <x:v>4</x:v>
      </x:c>
      <x:c r="H636" s="11" t="n">
        <x:v>2.769372940063477</x:v>
      </x:c>
      <x:c r="I636" s="11" t="n">
        <x:v>2.782932043075561</x:v>
      </x:c>
      <x:c r="J636" s="24" t="n">
        <x:v>137.03720963094383</x:v>
      </x:c>
      <x:c r="K636" s="24" t="n">
        <x:v>149.65894961357117</x:v>
      </x:c>
      <x:c r="L636" s="11" t="n">
        <x:v>0.5841584205627441</x:v>
      </x:c>
      <x:c r="M636" s="11" t="n">
        <x:v>0.0999393239617347</x:v>
      </x:c>
    </x:row>
    <x:row r="637" ht="22" customHeight="1">
      <x:c r="A637" s="17" t="str">
        <x:f>"07180500"</x:f>
        <x:v>07180500</x:v>
      </x:c>
      <x:c r="B637" s="13" t="n">
        <x:v>42</x:v>
      </x:c>
      <x:c r="C637" s="22" t="b">
        <x:v>0</x:v>
      </x:c>
      <x:c r="D637" s="11" t="n">
        <x:v>0.03308519410590323</x:v>
      </x:c>
      <x:c r="E637" s="11" t="n">
        <x:v>0.0002698618239567</x:v>
      </x:c>
      <x:c r="F637" s="11" t="n">
        <x:v>0.3052109181880951</x:v>
      </x:c>
      <x:c r="G637" s="13" t="n">
        <x:v>8</x:v>
      </x:c>
      <x:c r="H637" s="11" t="n">
        <x:v>2.9134650230407715</x:v>
      </x:c>
      <x:c r="I637" s="11" t="n">
        <x:v>2.9477744102478027</x:v>
      </x:c>
      <x:c r="J637" s="24" t="n">
        <x:v>135.91331573296338</x:v>
      </x:c>
      <x:c r="K637" s="24" t="n">
        <x:v>145.82032251358032</x:v>
      </x:c>
      <x:c r="L637" s="11" t="n">
        <x:v>0.3250620365142822</x:v>
      </x:c>
      <x:c r="M637" s="11" t="n">
        <x:v>0.0999332070350647</x:v>
      </x:c>
    </x:row>
    <x:row r="638" ht="22" customHeight="1">
      <x:c r="A638" s="17" t="str">
        <x:f>"07184000"</x:f>
        <x:v>07184000</x:v>
      </x:c>
      <x:c r="B638" s="13" t="n">
        <x:v>42</x:v>
      </x:c>
      <x:c r="C638" s="22" t="b">
        <x:v>1</x:v>
      </x:c>
      <x:c r="D638" s="11" t="n">
        <x:v>0.027227722729245767</x:v>
      </x:c>
      <x:c r="E638" s="11" t="n">
        <x:v>0.0005326321503767666</x:v>
      </x:c>
      <x:c r="F638" s="11" t="n">
        <x:v>0.3861386179924011</x:v>
      </x:c>
      <x:c r="G638" s="13" t="n">
        <x:v>4</x:v>
      </x:c>
      <x:c r="H638" s="11" t="n">
        <x:v>0.3045082986354828</x:v>
      </x:c>
      <x:c r="I638" s="11" t="n">
        <x:v>0.3250203430652618</x:v>
      </x:c>
      <x:c r="J638" s="24" t="n">
        <x:v>135.615318948403</x:v>
      </x:c>
      <x:c r="K638" s="24" t="n">
        <x:v>152.61853337287903</x:v>
      </x:c>
      <x:c r="L638" s="11" t="n">
        <x:v>0.6163366436958313</x:v>
      </x:c>
      <x:c r="M638" s="11" t="n">
        <x:v>0.0999393239617347</x:v>
      </x:c>
    </x:row>
    <x:row r="639" ht="22" customHeight="1">
      <x:c r="A639" s="17" t="str">
        <x:f>"07184000"</x:f>
        <x:v>07184000</x:v>
      </x:c>
      <x:c r="B639" s="13" t="n">
        <x:v>42</x:v>
      </x:c>
      <x:c r="C639" s="22" t="b">
        <x:v>0</x:v>
      </x:c>
      <x:c r="D639" s="11" t="n">
        <x:v>0.022332506254315303</x:v>
      </x:c>
      <x:c r="E639" s="11" t="n">
        <x:v>0.0006004425619418</x:v>
      </x:c>
      <x:c r="F639" s="11" t="n">
        <x:v>0.3771712183952331</x:v>
      </x:c>
      <x:c r="G639" s="13" t="n">
        <x:v>1</x:v>
      </x:c>
      <x:c r="H639" s="11" t="n">
        <x:v>0.4191067814826965</x:v>
      </x:c>
      <x:c r="I639" s="11" t="n">
        <x:v>0.4270845949649811</x:v>
      </x:c>
      <x:c r="J639" s="24" t="n">
        <x:v>139.8165487246588</x:v>
      </x:c>
      <x:c r="K639" s="24" t="n">
        <x:v>163.24158430099487</x:v>
      </x:c>
      <x:c r="L639" s="11" t="n">
        <x:v>0.940446674823761</x:v>
      </x:c>
      <x:c r="M639" s="11" t="n">
        <x:v>0.0999332070350647</x:v>
      </x:c>
    </x:row>
    <x:row r="640" ht="22" customHeight="1">
      <x:c r="A640" s="17" t="str">
        <x:f>"07195800"</x:f>
        <x:v>07195800</x:v>
      </x:c>
      <x:c r="B640" s="13" t="n">
        <x:v>42</x:v>
      </x:c>
      <x:c r="C640" s="22" t="b">
        <x:v>1</x:v>
      </x:c>
      <x:c r="D640" s="11" t="n">
        <x:v>0.03382838269074753</x:v>
      </x:c>
      <x:c r="E640" s="11" t="n">
        <x:v>0.0008832254485847667</x:v>
      </x:c>
      <x:c r="F640" s="11" t="n">
        <x:v>0.3415841460227966</x:v>
      </x:c>
      <x:c r="G640" s="13" t="n">
        <x:v>1</x:v>
      </x:c>
      <x:c r="H640" s="11" t="n">
        <x:v>0.4358967542648315</x:v>
      </x:c>
      <x:c r="I640" s="11" t="n">
        <x:v>0.4509369134902954</x:v>
      </x:c>
      <x:c r="J640" s="24" t="n">
        <x:v>139.8678734768182</x:v>
      </x:c>
      <x:c r="K640" s="24" t="n">
        <x:v>153.88577699661255</x:v>
      </x:c>
      <x:c r="L640" s="11" t="n">
        <x:v>0.9282178282737732</x:v>
      </x:c>
      <x:c r="M640" s="11" t="n">
        <x:v>0.0999393239617347</x:v>
      </x:c>
    </x:row>
    <x:row r="641" ht="22" customHeight="1">
      <x:c r="A641" s="17" t="str">
        <x:f>"07195800"</x:f>
        <x:v>07195800</x:v>
      </x:c>
      <x:c r="B641" s="13" t="n">
        <x:v>42</x:v>
      </x:c>
      <x:c r="C641" s="22" t="b">
        <x:v>0</x:v>
      </x:c>
      <x:c r="D641" s="11" t="n">
        <x:v>0.017369726983209367</x:v>
      </x:c>
      <x:c r="E641" s="11" t="n">
        <x:v>0.00043852546756773333</x:v>
      </x:c>
      <x:c r="F641" s="11" t="n">
        <x:v>0.3349875807762146</x:v>
      </x:c>
      <x:c r="G641" s="13" t="n">
        <x:v>3</x:v>
      </x:c>
      <x:c r="H641" s="11" t="n">
        <x:v>0.5723117589950562</x:v>
      </x:c>
      <x:c r="I641" s="11" t="n">
        <x:v>0.58282870054245</x:v>
      </x:c>
      <x:c r="J641" s="24" t="n">
        <x:v>142.39810778573155</x:v>
      </x:c>
      <x:c r="K641" s="24" t="n">
        <x:v>157.0936553478241</x:v>
      </x:c>
      <x:c r="L641" s="11" t="n">
        <x:v>0.6327543258666992</x:v>
      </x:c>
      <x:c r="M641" s="11" t="n">
        <x:v>0.0999332070350647</x:v>
      </x:c>
    </x:row>
    <x:row r="642" ht="22" customHeight="1">
      <x:c r="A642" s="17" t="str">
        <x:f>"07196900"</x:f>
        <x:v>07196900</x:v>
      </x:c>
      <x:c r="B642" s="13" t="n">
        <x:v>42</x:v>
      </x:c>
      <x:c r="C642" s="22" t="b">
        <x:v>1</x:v>
      </x:c>
      <x:c r="D642" s="11" t="n">
        <x:v>0.030528053641319233</x:v>
      </x:c>
      <x:c r="E642" s="11" t="n">
        <x:v>0.00048543689384429996</x:v>
      </x:c>
      <x:c r="F642" s="11" t="n">
        <x:v>0.3292079269886017</x:v>
      </x:c>
      <x:c r="G642" s="13" t="n">
        <x:v>3</x:v>
      </x:c>
      <x:c r="H642" s="11" t="n">
        <x:v>0.5453776717185974</x:v>
      </x:c>
      <x:c r="I642" s="11" t="n">
        <x:v>0.5576868057250977</x:v>
      </x:c>
      <x:c r="J642" s="24" t="n">
        <x:v>138.68323632329702</x:v>
      </x:c>
      <x:c r="K642" s="24" t="n">
        <x:v>154.03749990463257</x:v>
      </x:c>
      <x:c r="L642" s="11" t="n">
        <x:v>0.7004950642585754</x:v>
      </x:c>
      <x:c r="M642" s="11" t="n">
        <x:v>0.0999393239617347</x:v>
      </x:c>
    </x:row>
    <x:row r="643" ht="22" customHeight="1">
      <x:c r="A643" s="17" t="str">
        <x:f>"07196900"</x:f>
        <x:v>07196900</x:v>
      </x:c>
      <x:c r="B643" s="13" t="n">
        <x:v>42</x:v>
      </x:c>
      <x:c r="C643" s="22" t="b">
        <x:v>0</x:v>
      </x:c>
      <x:c r="D643" s="11" t="n">
        <x:v>0.0256410259753465</x:v>
      </x:c>
      <x:c r="E643" s="11" t="n">
        <x:v>0.0005464702068517</x:v>
      </x:c>
      <x:c r="F643" s="11" t="n">
        <x:v>0.3424317538738251</x:v>
      </x:c>
      <x:c r="G643" s="13" t="n">
        <x:v>1</x:v>
      </x:c>
      <x:c r="H643" s="11" t="n">
        <x:v>0.6407444477081299</x:v>
      </x:c>
      <x:c r="I643" s="11" t="n">
        <x:v>0.6762575507164001</x:v>
      </x:c>
      <x:c r="J643" s="24" t="n">
        <x:v>138.18035311531276</x:v>
      </x:c>
      <x:c r="K643" s="24" t="n">
        <x:v>152.80125641822815</x:v>
      </x:c>
      <x:c r="L643" s="11" t="n">
        <x:v>0.8287841081619263</x:v>
      </x:c>
      <x:c r="M643" s="11" t="n">
        <x:v>0.0999332070350647</x:v>
      </x:c>
    </x:row>
    <x:row r="644" ht="22" customHeight="1">
      <x:c r="A644" s="17" t="str">
        <x:f>"07197000"</x:f>
        <x:v>07197000</x:v>
      </x:c>
      <x:c r="B644" s="13" t="n">
        <x:v>42</x:v>
      </x:c>
      <x:c r="C644" s="22" t="b">
        <x:v>1</x:v>
      </x:c>
      <x:c r="D644" s="11" t="n">
        <x:v>0.0214521456509828</x:v>
      </x:c>
      <x:c r="E644" s="11" t="n">
        <x:v>0.000384304197117</x:v>
      </x:c>
      <x:c r="F644" s="11" t="n">
        <x:v>0.3118811845779419</x:v>
      </x:c>
      <x:c r="G644" s="13" t="n">
        <x:v>7</x:v>
      </x:c>
      <x:c r="H644" s="11" t="n">
        <x:v>0.3943062722682953</x:v>
      </x:c>
      <x:c r="I644" s="11" t="n">
        <x:v>0.4022013247013092</x:v>
      </x:c>
      <x:c r="J644" s="24" t="n">
        <x:v>137.440479462035</x:v>
      </x:c>
      <x:c r="K644" s="24" t="n">
        <x:v>147.51271033287048</x:v>
      </x:c>
      <x:c r="L644" s="11" t="n">
        <x:v>0.396039605140686</x:v>
      </x:c>
      <x:c r="M644" s="11" t="n">
        <x:v>0.0999393239617347</x:v>
      </x:c>
    </x:row>
    <x:row r="645" ht="22" customHeight="1">
      <x:c r="A645" s="17" t="str">
        <x:f>"07197000"</x:f>
        <x:v>07197000</x:v>
      </x:c>
      <x:c r="B645" s="13" t="n">
        <x:v>42</x:v>
      </x:c>
      <x:c r="C645" s="22" t="b">
        <x:v>0</x:v>
      </x:c>
      <x:c r="D645" s="11" t="n">
        <x:v>0.028122415145238167</x:v>
      </x:c>
      <x:c r="E645" s="11" t="n">
        <x:v>0.00019564982358126666</x:v>
      </x:c>
      <x:c r="F645" s="11" t="n">
        <x:v>0.4317618012428283</x:v>
      </x:c>
      <x:c r="G645" s="13" t="n">
        <x:v>5</x:v>
      </x:c>
      <x:c r="H645" s="11" t="n">
        <x:v>0.4745255410671234</x:v>
      </x:c>
      <x:c r="I645" s="11" t="n">
        <x:v>0.4836245775222778</x:v>
      </x:c>
      <x:c r="J645" s="24" t="n">
        <x:v>135.27933294791728</x:v>
      </x:c>
      <x:c r="K645" s="24" t="n">
        <x:v>152.5964252948761</x:v>
      </x:c>
      <x:c r="L645" s="11" t="n">
        <x:v>0.6426799297332764</x:v>
      </x:c>
      <x:c r="M645" s="11" t="n">
        <x:v>0.0999332070350647</x:v>
      </x:c>
    </x:row>
    <x:row r="646" ht="22" customHeight="1">
      <x:c r="A646" s="17" t="str">
        <x:f>"07208500"</x:f>
        <x:v>07208500</x:v>
      </x:c>
      <x:c r="B646" s="13" t="n">
        <x:v>42</x:v>
      </x:c>
      <x:c r="C646" s="22" t="b">
        <x:v>1</x:v>
      </x:c>
      <x:c r="D646" s="11" t="n">
        <x:v>0.0222772279133399</x:v>
      </x:c>
      <x:c r="E646" s="11" t="n">
        <x:v>0.0008292880180912333</x:v>
      </x:c>
      <x:c r="F646" s="11" t="n">
        <x:v>0.3539603948593139</x:v>
      </x:c>
      <x:c r="G646" s="13" t="n">
        <x:v>3</x:v>
      </x:c>
      <x:c r="H646" s="11" t="n">
        <x:v>0.006016784813255</x:v>
      </x:c>
      <x:c r="I646" s="11" t="n">
        <x:v>0.0107586458325386</x:v>
      </x:c>
      <x:c r="J646" s="24" t="n">
        <x:v>132.61029082536697</x:v>
      </x:c>
      <x:c r="K646" s="24" t="n">
        <x:v>150.49376106262207</x:v>
      </x:c>
      <x:c r="L646" s="11" t="n">
        <x:v>0.6757425665855408</x:v>
      </x:c>
      <x:c r="M646" s="11" t="n">
        <x:v>0.0999393239617347</x:v>
      </x:c>
    </x:row>
    <x:row r="647" ht="22" customHeight="1">
      <x:c r="A647" s="17" t="str">
        <x:f>"07208500"</x:f>
        <x:v>07208500</x:v>
      </x:c>
      <x:c r="B647" s="13" t="n">
        <x:v>42</x:v>
      </x:c>
      <x:c r="C647" s="22" t="b">
        <x:v>0</x:v>
      </x:c>
      <x:c r="D647" s="11" t="n">
        <x:v>0.03722084375719223</x:v>
      </x:c>
      <x:c r="E647" s="11" t="n">
        <x:v>0.0005667098448611333</x:v>
      </x:c>
      <x:c r="F647" s="11" t="n">
        <x:v>0.4764268100261688</x:v>
      </x:c>
      <x:c r="G647" s="13" t="n">
        <x:v>7</x:v>
      </x:c>
      <x:c r="H647" s="11" t="n">
        <x:v>0.1813640892505645</x:v>
      </x:c>
      <x:c r="I647" s="11" t="n">
        <x:v>0.255979984998703</x:v>
      </x:c>
      <x:c r="J647" s="24" t="n">
        <x:v>136.05386115889996</x:v>
      </x:c>
      <x:c r="K647" s="24" t="n">
        <x:v>155.1596381664276</x:v>
      </x:c>
      <x:c r="L647" s="11" t="n">
        <x:v>0.5756824016571045</x:v>
      </x:c>
      <x:c r="M647" s="11" t="n">
        <x:v>0.0999332070350647</x:v>
      </x:c>
    </x:row>
    <x:row r="648" ht="22" customHeight="1">
      <x:c r="A648" s="17" t="str">
        <x:f>"07261000"</x:f>
        <x:v>07261000</x:v>
      </x:c>
      <x:c r="B648" s="13" t="n">
        <x:v>42</x:v>
      </x:c>
      <x:c r="C648" s="22" t="b">
        <x:v>1</x:v>
      </x:c>
      <x:c r="D648" s="11" t="n">
        <x:v>0.027227723350127464</x:v>
      </x:c>
      <x:c r="E648" s="11" t="n">
        <x:v>0.0006674757266106</x:v>
      </x:c>
      <x:c r="F648" s="11" t="n">
        <x:v>0.3366336524486542</x:v>
      </x:c>
      <x:c r="G648" s="13" t="n">
        <x:v>1</x:v>
      </x:c>
      <x:c r="H648" s="11" t="n">
        <x:v>0.7047730088233948</x:v>
      </x:c>
      <x:c r="I648" s="11" t="n">
        <x:v>0.7152391076087952</x:v>
      </x:c>
      <x:c r="J648" s="24" t="n">
        <x:v>137.35383074730635</x:v>
      </x:c>
      <x:c r="K648" s="24" t="n">
        <x:v>155.63478684425354</x:v>
      </x:c>
      <x:c r="L648" s="11" t="n">
        <x:v>0.9554455280303956</x:v>
      </x:c>
      <x:c r="M648" s="11" t="n">
        <x:v>0.0999393239617347</x:v>
      </x:c>
    </x:row>
    <x:row r="649" ht="22" customHeight="1">
      <x:c r="A649" s="17" t="str">
        <x:f>"07261000"</x:f>
        <x:v>07261000</x:v>
      </x:c>
      <x:c r="B649" s="13" t="n">
        <x:v>42</x:v>
      </x:c>
      <x:c r="C649" s="22" t="b">
        <x:v>0</x:v>
      </x:c>
      <x:c r="D649" s="11" t="n">
        <x:v>0.034739454587300565</x:v>
      </x:c>
      <x:c r="E649" s="11" t="n">
        <x:v>0.00023612910202543334</x:v>
      </x:c>
      <x:c r="F649" s="11" t="n">
        <x:v>0.4416873455047607</x:v>
      </x:c>
      <x:c r="G649" s="13" t="n">
        <x:v>4</x:v>
      </x:c>
      <x:c r="H649" s="11" t="n">
        <x:v>0.8338234424591064</x:v>
      </x:c>
      <x:c r="I649" s="11" t="n">
        <x:v>0.8966912031173706</x:v>
      </x:c>
      <x:c r="J649" s="24" t="n">
        <x:v>139.36258187238127</x:v>
      </x:c>
      <x:c r="K649" s="24" t="n">
        <x:v>165.75190544128418</x:v>
      </x:c>
      <x:c r="L649" s="11" t="n">
        <x:v>0.6823821067810059</x:v>
      </x:c>
      <x:c r="M649" s="11" t="n">
        <x:v>0.0999332070350647</x:v>
      </x:c>
    </x:row>
    <x:row r="650" ht="22" customHeight="1">
      <x:c r="A650" s="17" t="str">
        <x:f>"07291000"</x:f>
        <x:v>07291000</x:v>
      </x:c>
      <x:c r="B650" s="13" t="n">
        <x:v>42</x:v>
      </x:c>
      <x:c r="C650" s="22" t="b">
        <x:v>1</x:v>
      </x:c>
      <x:c r="D650" s="11" t="n">
        <x:v>0.03382838269074757</x:v>
      </x:c>
      <x:c r="E650" s="11" t="n">
        <x:v>0.0002764293409806</x:v>
      </x:c>
      <x:c r="F650" s="11" t="n">
        <x:v>0.3712871372699737</x:v>
      </x:c>
      <x:c r="G650" s="13" t="n">
        <x:v>3</x:v>
      </x:c>
      <x:c r="H650" s="11" t="n">
        <x:v>0.3210185170173645</x:v>
      </x:c>
      <x:c r="I650" s="11" t="n">
        <x:v>0.3316768109798431</x:v>
      </x:c>
      <x:c r="J650" s="24" t="n">
        <x:v>138.01664196141064</x:v>
      </x:c>
      <x:c r="K650" s="24" t="n">
        <x:v>159.4567539691925</x:v>
      </x:c>
      <x:c r="L650" s="11" t="n">
        <x:v>0.7524752616882324</x:v>
      </x:c>
      <x:c r="M650" s="11" t="n">
        <x:v>0.0999393239617347</x:v>
      </x:c>
    </x:row>
    <x:row r="651" ht="22" customHeight="1">
      <x:c r="A651" s="17" t="str">
        <x:f>"07291000"</x:f>
        <x:v>07291000</x:v>
      </x:c>
      <x:c r="B651" s="13" t="n">
        <x:v>42</x:v>
      </x:c>
      <x:c r="C651" s="22" t="b">
        <x:v>0</x:v>
      </x:c>
      <x:c r="D651" s="11" t="n">
        <x:v>0.017369726983209367</x:v>
      </x:c>
      <x:c r="E651" s="11" t="n">
        <x:v>0.00045876511527843337</x:v>
      </x:c>
      <x:c r="F651" s="11" t="n">
        <x:v>0.2928039729595184</x:v>
      </x:c>
      <x:c r="G651" s="13" t="n">
        <x:v>10</x:v>
      </x:c>
      <x:c r="H651" s="11" t="n">
        <x:v>0.3426569402217865</x:v>
      </x:c>
      <x:c r="I651" s="11" t="n">
        <x:v>0.3426569402217865</x:v>
      </x:c>
      <x:c r="J651" s="24" t="n">
        <x:v>139.04313308838755</x:v>
      </x:c>
      <x:c r="K651" s="24" t="n">
        <x:v>150.83172011375427</x:v>
      </x:c>
      <x:c r="L651" s="11" t="n">
        <x:v>0.2928039729595184</x:v>
      </x:c>
      <x:c r="M651" s="11" t="n">
        <x:v>0.0999332070350647</x:v>
      </x:c>
    </x:row>
    <x:row r="652" ht="22" customHeight="1">
      <x:c r="A652" s="17" t="str">
        <x:f>"07292500"</x:f>
        <x:v>07292500</x:v>
      </x:c>
      <x:c r="B652" s="13" t="n">
        <x:v>42</x:v>
      </x:c>
      <x:c r="C652" s="22" t="b">
        <x:v>1</x:v>
      </x:c>
      <x:c r="D652" s="11" t="n">
        <x:v>0.03712871298193927</x:v>
      </x:c>
      <x:c r="E652" s="11" t="n">
        <x:v>0.0006944444418574</x:v>
      </x:c>
      <x:c r="F652" s="11" t="n">
        <x:v>0.3539603948593139</x:v>
      </x:c>
      <x:c r="G652" s="13" t="n">
        <x:v>3</x:v>
      </x:c>
      <x:c r="H652" s="11" t="n">
        <x:v>0.2328322529792785</x:v>
      </x:c>
      <x:c r="I652" s="11" t="n">
        <x:v>0.2490845471620559</x:v>
      </x:c>
      <x:c r="J652" s="24" t="n">
        <x:v>134.58738693688065</x:v>
      </x:c>
      <x:c r="K652" s="24" t="n">
        <x:v>150.1504991054535</x:v>
      </x:c>
      <x:c r="L652" s="11" t="n">
        <x:v>0.7376237511634827</x:v>
      </x:c>
      <x:c r="M652" s="11" t="n">
        <x:v>0.0999393239617347</x:v>
      </x:c>
    </x:row>
    <x:row r="653" ht="22" customHeight="1">
      <x:c r="A653" s="17" t="str">
        <x:f>"07292500"</x:f>
        <x:v>07292500</x:v>
      </x:c>
      <x:c r="B653" s="13" t="n">
        <x:v>42</x:v>
      </x:c>
      <x:c r="C653" s="22" t="b">
        <x:v>0</x:v>
      </x:c>
      <x:c r="D653" s="11" t="n">
        <x:v>0.030603804936011562</x:v>
      </x:c>
      <x:c r="E653" s="11" t="n">
        <x:v>0.0008770509351354667</x:v>
      </x:c>
      <x:c r="F653" s="11" t="n">
        <x:v>0.4119106829166412</x:v>
      </x:c>
      <x:c r="G653" s="13" t="n">
        <x:v>5</x:v>
      </x:c>
      <x:c r="H653" s="11" t="n">
        <x:v>0.2747759521007538</x:v>
      </x:c>
      <x:c r="I653" s="11" t="n">
        <x:v>0.2776029109954834</x:v>
      </x:c>
      <x:c r="J653" s="24" t="n">
        <x:v>141.12692110519856</x:v>
      </x:c>
      <x:c r="K653" s="24" t="n">
        <x:v>153.14193081855774</x:v>
      </x:c>
      <x:c r="L653" s="11" t="n">
        <x:v>0.6302729249000549</x:v>
      </x:c>
      <x:c r="M653" s="11" t="n">
        <x:v>0.0999332070350647</x:v>
      </x:c>
    </x:row>
    <x:row r="654" ht="22" customHeight="1">
      <x:c r="A654" s="17" t="str">
        <x:f>"07299670"</x:f>
        <x:v>07299670</x:v>
      </x:c>
      <x:c r="B654" s="13" t="n">
        <x:v>42</x:v>
      </x:c>
      <x:c r="C654" s="22" t="b">
        <x:v>1</x:v>
      </x:c>
      <x:c r="D654" s="11" t="n">
        <x:v>0.014026402651021834</x:v>
      </x:c>
      <x:c r="E654" s="11" t="n">
        <x:v>0.0005798274069092666</x:v>
      </x:c>
      <x:c r="F654" s="11" t="n">
        <x:v>0.2821782231330871</x:v>
      </x:c>
      <x:c r="G654" s="13" t="n">
        <x:v>3</x:v>
      </x:c>
      <x:c r="H654" s="11" t="n">
        <x:v>0.3539601266384125</x:v>
      </x:c>
      <x:c r="I654" s="11" t="n">
        <x:v>0.3700688183307647</x:v>
      </x:c>
      <x:c r="J654" s="24" t="n">
        <x:v>140.45078803319484</x:v>
      </x:c>
      <x:c r="K654" s="24" t="n">
        <x:v>152.7786157131195</x:v>
      </x:c>
      <x:c r="L654" s="11" t="n">
        <x:v>0.5891088843345642</x:v>
      </x:c>
      <x:c r="M654" s="11" t="n">
        <x:v>0.0999393239617347</x:v>
      </x:c>
    </x:row>
    <x:row r="655" ht="22" customHeight="1">
      <x:c r="A655" s="17" t="str">
        <x:f>"07299670"</x:f>
        <x:v>07299670</x:v>
      </x:c>
      <x:c r="B655" s="13" t="n">
        <x:v>42</x:v>
      </x:c>
      <x:c r="C655" s="22" t="b">
        <x:v>0</x:v>
      </x:c>
      <x:c r="D655" s="11" t="n">
        <x:v>0.019851116773982765</x:v>
      </x:c>
      <x:c r="E655" s="11" t="n">
        <x:v>0.0007623596854196999</x:v>
      </x:c>
      <x:c r="F655" s="11" t="n">
        <x:v>0.2233250588178634</x:v>
      </x:c>
      <x:c r="G655" s="13" t="n">
        <x:v>1</x:v>
      </x:c>
      <x:c r="H655" s="11" t="n">
        <x:v>0.412427008152008</x:v>
      </x:c>
      <x:c r="I655" s="11" t="n">
        <x:v>0.4425088167190552</x:v>
      </x:c>
      <x:c r="J655" s="24" t="n">
        <x:v>141.618506250903</x:v>
      </x:c>
      <x:c r="K655" s="24" t="n">
        <x:v>161.74664974212646</x:v>
      </x:c>
      <x:c r="L655" s="11" t="n">
        <x:v>0.8957816362380981</x:v>
      </x:c>
      <x:c r="M655" s="11" t="n">
        <x:v>0.0999332070350647</x:v>
      </x:c>
    </x:row>
    <x:row r="656" ht="22" customHeight="1">
      <x:c r="A656" s="17" t="str">
        <x:f>"07301410"</x:f>
        <x:v>07301410</x:v>
      </x:c>
      <x:c r="B656" s="13" t="n">
        <x:v>42</x:v>
      </x:c>
      <x:c r="C656" s="22" t="b">
        <x:v>1</x:v>
      </x:c>
      <x:c r="D656" s="11" t="n">
        <x:v>0.0239273933693766</x:v>
      </x:c>
      <x:c r="E656" s="11" t="n">
        <x:v>0.0003775620231559667</x:v>
      </x:c>
      <x:c r="F656" s="11" t="n">
        <x:v>0.3737623691558838</x:v>
      </x:c>
      <x:c r="G656" s="13" t="n">
        <x:v>10</x:v>
      </x:c>
      <x:c r="H656" s="11" t="n">
        <x:v>0.3529300391674042</x:v>
      </x:c>
      <x:c r="I656" s="11" t="n">
        <x:v>0.3529300391674042</x:v>
      </x:c>
      <x:c r="J656" s="24" t="n">
        <x:v>136.0622730795294</x:v>
      </x:c>
      <x:c r="K656" s="24" t="n">
        <x:v>149.28437089920044</x:v>
      </x:c>
      <x:c r="L656" s="11" t="n">
        <x:v>0.3737623691558838</x:v>
      </x:c>
      <x:c r="M656" s="11" t="n">
        <x:v>0.0999393239617347</x:v>
      </x:c>
    </x:row>
    <x:row r="657" ht="22" customHeight="1">
      <x:c r="A657" s="17" t="str">
        <x:f>"07301410"</x:f>
        <x:v>07301410</x:v>
      </x:c>
      <x:c r="B657" s="13" t="n">
        <x:v>42</x:v>
      </x:c>
      <x:c r="C657" s="22" t="b">
        <x:v>0</x:v>
      </x:c>
      <x:c r="D657" s="11" t="n">
        <x:v>0.037220843757192236</x:v>
      </x:c>
      <x:c r="E657" s="11" t="n">
        <x:v>0.00039804620125013336</x:v>
      </x:c>
      <x:c r="F657" s="11" t="n">
        <x:v>0.394540935754776</x:v>
      </x:c>
      <x:c r="G657" s="13" t="n">
        <x:v>1</x:v>
      </x:c>
      <x:c r="H657" s="11" t="n">
        <x:v>0.6242521405220032</x:v>
      </x:c>
      <x:c r="I657" s="11" t="n">
        <x:v>0.6433542966842651</x:v>
      </x:c>
      <x:c r="J657" s="24" t="n">
        <x:v>139.54076499212533</x:v>
      </x:c>
      <x:c r="K657" s="24" t="n">
        <x:v>156.0418357849121</x:v>
      </x:c>
      <x:c r="L657" s="11" t="n">
        <x:v>0.933002471923828</x:v>
      </x:c>
      <x:c r="M657" s="11" t="n">
        <x:v>0.0999332070350647</x:v>
      </x:c>
    </x:row>
    <x:row r="658" ht="22" customHeight="1">
      <x:c r="A658" s="17" t="str">
        <x:f>"07301500"</x:f>
        <x:v>07301500</x:v>
      </x:c>
      <x:c r="B658" s="13" t="n">
        <x:v>42</x:v>
      </x:c>
      <x:c r="C658" s="22" t="b">
        <x:v>1</x:v>
      </x:c>
      <x:c r="D658" s="11" t="n">
        <x:v>0.017326732786993135</x:v>
      </x:c>
      <x:c r="E658" s="11" t="n">
        <x:v>0.00030339805622736665</x:v>
      </x:c>
      <x:c r="F658" s="11" t="n">
        <x:v>0.2747524678707123</x:v>
      </x:c>
      <x:c r="G658" s="13" t="n">
        <x:v>8</x:v>
      </x:c>
      <x:c r="H658" s="11" t="n">
        <x:v>0.1418910026550293</x:v>
      </x:c>
      <x:c r="I658" s="11" t="n">
        <x:v>0.1423775851726532</x:v>
      </x:c>
      <x:c r="J658" s="24" t="n">
        <x:v>140.78902417607605</x:v>
      </x:c>
      <x:c r="K658" s="24" t="n">
        <x:v>151.34671711921692</x:v>
      </x:c>
      <x:c r="L658" s="11" t="n">
        <x:v>0.3514851629734039</x:v>
      </x:c>
      <x:c r="M658" s="11" t="n">
        <x:v>0.0999393239617347</x:v>
      </x:c>
    </x:row>
    <x:row r="659" ht="22" customHeight="1">
      <x:c r="A659" s="17" t="str">
        <x:f>"07301500"</x:f>
        <x:v>07301500</x:v>
      </x:c>
      <x:c r="B659" s="13" t="n">
        <x:v>42</x:v>
      </x:c>
      <x:c r="C659" s="22" t="b">
        <x:v>0</x:v>
      </x:c>
      <x:c r="D659" s="11" t="n">
        <x:v>0.0198511164635419</x:v>
      </x:c>
      <x:c r="E659" s="11" t="n">
        <x:v>0.0002968480112030333</x:v>
      </x:c>
      <x:c r="F659" s="11" t="n">
        <x:v>0.3498759269714355</x:v>
      </x:c>
      <x:c r="G659" s="13" t="n">
        <x:v>8</x:v>
      </x:c>
      <x:c r="H659" s="11" t="n">
        <x:v>0.256699800491333</x:v>
      </x:c>
      <x:c r="I659" s="11" t="n">
        <x:v>0.326635867357254</x:v>
      </x:c>
      <x:c r="J659" s="24" t="n">
        <x:v>136.3859410127625</x:v>
      </x:c>
      <x:c r="K659" s="24" t="n">
        <x:v>150.54617047309875</x:v>
      </x:c>
      <x:c r="L659" s="11" t="n">
        <x:v>0.4193548262119293</x:v>
      </x:c>
      <x:c r="M659" s="11" t="n">
        <x:v>0.0999332070350647</x:v>
      </x:c>
    </x:row>
    <x:row r="660" ht="22" customHeight="1">
      <x:c r="A660" s="17" t="str">
        <x:f>"07315200"</x:f>
        <x:v>07315200</x:v>
      </x:c>
      <x:c r="B660" s="13" t="n">
        <x:v>42</x:v>
      </x:c>
      <x:c r="C660" s="22" t="b">
        <x:v>1</x:v>
      </x:c>
      <x:c r="D660" s="11" t="n">
        <x:v>0.025577558204531597</x:v>
      </x:c>
      <x:c r="E660" s="11" t="n">
        <x:v>0.0005124056090911</x:v>
      </x:c>
      <x:c r="F660" s="11" t="n">
        <x:v>0.3638613820075989</x:v>
      </x:c>
      <x:c r="G660" s="13" t="n">
        <x:v>1</x:v>
      </x:c>
      <x:c r="H660" s="11" t="n">
        <x:v>0.0704241693019867</x:v>
      </x:c>
      <x:c r="I660" s="11" t="n">
        <x:v>0.1122890710830688</x:v>
      </x:c>
      <x:c r="J660" s="24" t="n">
        <x:v>135.61763703916222</x:v>
      </x:c>
      <x:c r="K660" s="24" t="n">
        <x:v>161.92653059959412</x:v>
      </x:c>
      <x:c r="L660" s="11" t="n">
        <x:v>0.8935643434524536</x:v>
      </x:c>
      <x:c r="M660" s="11" t="n">
        <x:v>0.0999393239617347</x:v>
      </x:c>
    </x:row>
    <x:row r="661" ht="22" customHeight="1">
      <x:c r="A661" s="17" t="str">
        <x:f>"07315200"</x:f>
        <x:v>07315200</x:v>
      </x:c>
      <x:c r="B661" s="13" t="n">
        <x:v>42</x:v>
      </x:c>
      <x:c r="C661" s="22" t="b">
        <x:v>0</x:v>
      </x:c>
      <x:c r="D661" s="11" t="n">
        <x:v>0.029776675005753764</x:v>
      </x:c>
      <x:c r="E661" s="11" t="n">
        <x:v>0.00039129965201326663</x:v>
      </x:c>
      <x:c r="F661" s="11" t="n">
        <x:v>0.3697270452976227</x:v>
      </x:c>
      <x:c r="G661" s="13" t="n">
        <x:v>4</x:v>
      </x:c>
      <x:c r="H661" s="11" t="n">
        <x:v>0.1307271718978881</x:v>
      </x:c>
      <x:c r="I661" s="11" t="n">
        <x:v>0.1552431434392929</x:v>
      </x:c>
      <x:c r="J661" s="24" t="n">
        <x:v>134.4513276591897</x:v>
      </x:c>
      <x:c r="K661" s="24" t="n">
        <x:v>145.2130925655365</x:v>
      </x:c>
      <x:c r="L661" s="11" t="n">
        <x:v>0.6054590344429016</x:v>
      </x:c>
      <x:c r="M661" s="11" t="n">
        <x:v>0.0999332070350647</x:v>
      </x:c>
    </x:row>
    <x:row r="662" ht="22" customHeight="1">
      <x:c r="A662" s="17" t="str">
        <x:f>"07315700"</x:f>
        <x:v>07315700</x:v>
      </x:c>
      <x:c r="B662" s="13" t="n">
        <x:v>42</x:v>
      </x:c>
      <x:c r="C662" s="22" t="b">
        <x:v>1</x:v>
      </x:c>
      <x:c r="D662" s="11" t="n">
        <x:v>0.020627062767744</x:v>
      </x:c>
      <x:c r="E662" s="11" t="n">
        <x:v>0.0006270226537405</x:v>
      </x:c>
      <x:c r="F662" s="11" t="n">
        <x:v>0.3193069398403168</x:v>
      </x:c>
      <x:c r="G662" s="13" t="n">
        <x:v>2</x:v>
      </x:c>
      <x:c r="H662" s="11" t="n">
        <x:v>0.1593609601259231</x:v>
      </x:c>
      <x:c r="I662" s="11" t="n">
        <x:v>0.1879871189594268</x:v>
      </x:c>
      <x:c r="J662" s="24" t="n">
        <x:v>138.65915591083467</x:v>
      </x:c>
      <x:c r="K662" s="24" t="n">
        <x:v>154.42266607284546</x:v>
      </x:c>
      <x:c r="L662" s="11" t="n">
        <x:v>0.8168317079544067</x:v>
      </x:c>
      <x:c r="M662" s="11" t="n">
        <x:v>0.0999393239617347</x:v>
      </x:c>
    </x:row>
    <x:row r="663" ht="22" customHeight="1">
      <x:c r="A663" s="17" t="str">
        <x:f>"07315700"</x:f>
        <x:v>07315700</x:v>
      </x:c>
      <x:c r="B663" s="13" t="n">
        <x:v>42</x:v>
      </x:c>
      <x:c r="C663" s="22" t="b">
        <x:v>0</x:v>
      </x:c>
      <x:c r="D663" s="11" t="n">
        <x:v>0.0256410259753465</x:v>
      </x:c>
      <x:c r="E663" s="11" t="n">
        <x:v>0.00032383419844936664</x:v>
      </x:c>
      <x:c r="F663" s="11" t="n">
        <x:v>0.4218362271785736</x:v>
      </x:c>
      <x:c r="G663" s="13" t="n">
        <x:v>5</x:v>
      </x:c>
      <x:c r="H663" s="11" t="n">
        <x:v>0.20199915766716</x:v>
      </x:c>
      <x:c r="I663" s="11" t="n">
        <x:v>0.2933242619037628</x:v>
      </x:c>
      <x:c r="J663" s="24" t="n">
        <x:v>138.3431746447459</x:v>
      </x:c>
      <x:c r="K663" s="24" t="n">
        <x:v>158.2896158695221</x:v>
      </x:c>
      <x:c r="L663" s="11" t="n">
        <x:v>0.6451612710952759</x:v>
      </x:c>
      <x:c r="M663" s="11" t="n">
        <x:v>0.0999332070350647</x:v>
      </x:c>
    </x:row>
    <x:row r="664" ht="22" customHeight="1">
      <x:c r="A664" s="17" t="str">
        <x:f>"07335700"</x:f>
        <x:v>07335700</x:v>
      </x:c>
      <x:c r="B664" s="13" t="n">
        <x:v>42</x:v>
      </x:c>
      <x:c r="C664" s="22" t="b">
        <x:v>1</x:v>
      </x:c>
      <x:c r="D664" s="11" t="n">
        <x:v>0.03217821754515167</x:v>
      </x:c>
      <x:c r="E664" s="11" t="n">
        <x:v>0.0006674757460132</x:v>
      </x:c>
      <x:c r="F664" s="11" t="n">
        <x:v>0.4108910858631134</x:v>
      </x:c>
      <x:c r="G664" s="13" t="n">
        <x:v>3</x:v>
      </x:c>
      <x:c r="H664" s="11" t="n">
        <x:v>0.543383002281189</x:v>
      </x:c>
      <x:c r="I664" s="11" t="n">
        <x:v>0.5622979402542114</x:v>
      </x:c>
      <x:c r="J664" s="24" t="n">
        <x:v>135.20462869107723</x:v>
      </x:c>
      <x:c r="K664" s="24" t="n">
        <x:v>154.96021127700806</x:v>
      </x:c>
      <x:c r="L664" s="11" t="n">
        <x:v>0.7648515105247498</x:v>
      </x:c>
      <x:c r="M664" s="11" t="n">
        <x:v>0.0999393239617347</x:v>
      </x:c>
    </x:row>
    <x:row r="665" ht="22" customHeight="1">
      <x:c r="A665" s="17" t="str">
        <x:f>"07335700"</x:f>
        <x:v>07335700</x:v>
      </x:c>
      <x:c r="B665" s="13" t="n">
        <x:v>42</x:v>
      </x:c>
      <x:c r="C665" s="22" t="b">
        <x:v>0</x:v>
      </x:c>
      <x:c r="D665" s="11" t="n">
        <x:v>0.03060380493601157</x:v>
      </x:c>
      <x:c r="E665" s="11" t="n">
        <x:v>0.0005869494828705334</x:v>
      </x:c>
      <x:c r="F665" s="11" t="n">
        <x:v>0.3697270452976227</x:v>
      </x:c>
      <x:c r="G665" s="13" t="n">
        <x:v>4</x:v>
      </x:c>
      <x:c r="H665" s="11" t="n">
        <x:v>0.6387140154838562</x:v>
      </x:c>
      <x:c r="I665" s="11" t="n">
        <x:v>0.6650794744491577</x:v>
      </x:c>
      <x:c r="J665" s="24" t="n">
        <x:v>139.37548368424177</x:v>
      </x:c>
      <x:c r="K665" s="24" t="n">
        <x:v>156.12011194229126</x:v>
      </x:c>
      <x:c r="L665" s="11" t="n">
        <x:v>0.6253101825714111</x:v>
      </x:c>
      <x:c r="M665" s="11" t="n">
        <x:v>0.0999332070350647</x:v>
      </x:c>
    </x:row>
    <x:row r="666" ht="22" customHeight="1">
      <x:c r="A666" s="17" t="str">
        <x:f>"07340300"</x:f>
        <x:v>07340300</x:v>
      </x:c>
      <x:c r="B666" s="13" t="n">
        <x:v>42</x:v>
      </x:c>
      <x:c r="C666" s="22" t="b">
        <x:v>1</x:v>
      </x:c>
      <x:c r="D666" s="11" t="n">
        <x:v>0.044554455826679835</x:v>
      </x:c>
      <x:c r="E666" s="11" t="n">
        <x:v>0.0002966558822663</x:v>
      </x:c>
      <x:c r="F666" s="11" t="n">
        <x:v>0.4975247383117676</x:v>
      </x:c>
      <x:c r="G666" s="13" t="n">
        <x:v>9</x:v>
      </x:c>
      <x:c r="H666" s="11" t="n">
        <x:v>0.6927987933158875</x:v>
      </x:c>
      <x:c r="I666" s="11" t="n">
        <x:v>0.7044997215270996</x:v>
      </x:c>
      <x:c r="J666" s="24" t="n">
        <x:v>135.09311404265463</x:v>
      </x:c>
      <x:c r="K666" s="24" t="n">
        <x:v>151.13209772109985</x:v>
      </x:c>
      <x:c r="L666" s="11" t="n">
        <x:v>0.5247524976730347</x:v>
      </x:c>
      <x:c r="M666" s="11" t="n">
        <x:v>0.0999393239617347</x:v>
      </x:c>
    </x:row>
    <x:row r="667" ht="22" customHeight="1">
      <x:c r="A667" s="17" t="str">
        <x:f>"07340300"</x:f>
        <x:v>07340300</x:v>
      </x:c>
      <x:c r="B667" s="13" t="n">
        <x:v>42</x:v>
      </x:c>
      <x:c r="C667" s="22" t="b">
        <x:v>0</x:v>
      </x:c>
      <x:c r="D667" s="11" t="n">
        <x:v>0.03804797368745003</x:v>
      </x:c>
      <x:c r="E667" s="11" t="n">
        <x:v>0.0004182858344089333</x:v>
      </x:c>
      <x:c r="F667" s="11" t="n">
        <x:v>0.4640198647975921</x:v>
      </x:c>
      <x:c r="G667" s="13" t="n">
        <x:v>1</x:v>
      </x:c>
      <x:c r="H667" s="11" t="n">
        <x:v>0.8461772203445435</x:v>
      </x:c>
      <x:c r="I667" s="11" t="n">
        <x:v>0.8707060217857361</x:v>
      </x:c>
      <x:c r="J667" s="24" t="n">
        <x:v>139.11868491768837</x:v>
      </x:c>
      <x:c r="K667" s="24" t="n">
        <x:v>162.28350114822388</x:v>
      </x:c>
      <x:c r="L667" s="11" t="n">
        <x:v>0.9057071805000304</x:v>
      </x:c>
      <x:c r="M667" s="11" t="n">
        <x:v>0.0999332070350647</x:v>
      </x:c>
    </x:row>
    <x:row r="668" ht="22" customHeight="1">
      <x:c r="A668" s="17" t="str">
        <x:f>"07346045"</x:f>
        <x:v>07346045</x:v>
      </x:c>
      <x:c r="B668" s="13" t="n">
        <x:v>42</x:v>
      </x:c>
      <x:c r="C668" s="22" t="b">
        <x:v>1</x:v>
      </x:c>
      <x:c r="D668" s="11" t="n">
        <x:v>0.017326732786993135</x:v>
      </x:c>
      <x:c r="E668" s="11" t="n">
        <x:v>0.00021574972682473332</x:v>
      </x:c>
      <x:c r="F668" s="11" t="n">
        <x:v>0.3143564462661743</x:v>
      </x:c>
      <x:c r="G668" s="13" t="n">
        <x:v>4</x:v>
      </x:c>
      <x:c r="H668" s="11" t="n">
        <x:v>0.0244720336049795</x:v>
      </x:c>
      <x:c r="I668" s="11" t="n">
        <x:v>0.0304047130048275</x:v>
      </x:c>
      <x:c r="J668" s="24" t="n">
        <x:v>139.94840919598937</x:v>
      </x:c>
      <x:c r="K668" s="24" t="n">
        <x:v>154.4195213317871</x:v>
      </x:c>
      <x:c r="L668" s="11" t="n">
        <x:v>0.5866336822509766</x:v>
      </x:c>
      <x:c r="M668" s="11" t="n">
        <x:v>0.0999393239617347</x:v>
      </x:c>
    </x:row>
    <x:row r="669" ht="22" customHeight="1">
      <x:c r="A669" s="17" t="str">
        <x:f>"07346045"</x:f>
        <x:v>07346045</x:v>
      </x:c>
      <x:c r="B669" s="13" t="n">
        <x:v>42</x:v>
      </x:c>
      <x:c r="C669" s="22" t="b">
        <x:v>0</x:v>
      </x:c>
      <x:c r="D669" s="11" t="n">
        <x:v>0.0248138960450887</x:v>
      </x:c>
      <x:c r="E669" s="11" t="n">
        <x:v>0.00024287564156106668</x:v>
      </x:c>
      <x:c r="F669" s="11" t="n">
        <x:v>0.4565756916999817</x:v>
      </x:c>
      <x:c r="G669" s="13" t="n">
        <x:v>6</x:v>
      </x:c>
      <x:c r="H669" s="11" t="n">
        <x:v>0.156454712152481</x:v>
      </x:c>
      <x:c r="I669" s="11" t="n">
        <x:v>0.4107519686222076</x:v>
      </x:c>
      <x:c r="J669" s="24" t="n">
        <x:v>136.94912089128047</x:v>
      </x:c>
      <x:c r="K669" s="24" t="n">
        <x:v>152.6968696117401</x:v>
      </x:c>
      <x:c r="L669" s="11" t="n">
        <x:v>0.5880893468856812</x:v>
      </x:c>
      <x:c r="M669" s="11" t="n">
        <x:v>0.0999332070350647</x:v>
      </x:c>
    </x:row>
    <x:row r="670" ht="22" customHeight="1">
      <x:c r="A670" s="17" t="str">
        <x:f>"07362100"</x:f>
        <x:v>07362100</x:v>
      </x:c>
      <x:c r="B670" s="13" t="n">
        <x:v>42</x:v>
      </x:c>
      <x:c r="C670" s="22" t="b">
        <x:v>1</x:v>
      </x:c>
      <x:c r="D670" s="11" t="n">
        <x:v>0.014026402651021832</x:v>
      </x:c>
      <x:c r="E670" s="11" t="n">
        <x:v>0.0002494606305844667</x:v>
      </x:c>
      <x:c r="F670" s="11" t="n">
        <x:v>0.3193069398403168</x:v>
      </x:c>
      <x:c r="G670" s="13" t="n">
        <x:v>5</x:v>
      </x:c>
      <x:c r="H670" s="11" t="n">
        <x:v>0.027922049164772</x:v>
      </x:c>
      <x:c r="I670" s="11" t="n">
        <x:v>0.0281419791281223</x:v>
      </x:c>
      <x:c r="J670" s="24" t="n">
        <x:v>140.52926969062537</x:v>
      </x:c>
      <x:c r="K670" s="24" t="n">
        <x:v>156.1153585910797</x:v>
      </x:c>
      <x:c r="L670" s="11" t="n">
        <x:v>0.5123762488365173</x:v>
      </x:c>
      <x:c r="M670" s="11" t="n">
        <x:v>0.0999393239617347</x:v>
      </x:c>
    </x:row>
    <x:row r="671" ht="22" customHeight="1">
      <x:c r="A671" s="17" t="str">
        <x:f>"07362100"</x:f>
        <x:v>07362100</x:v>
      </x:c>
      <x:c r="B671" s="13" t="n">
        <x:v>42</x:v>
      </x:c>
      <x:c r="C671" s="22" t="b">
        <x:v>0</x:v>
      </x:c>
      <x:c r="D671" s="11" t="n">
        <x:v>0.03473945396641883</x:v>
      </x:c>
      <x:c r="E671" s="11" t="n">
        <x:v>0.00043852547726900003</x:v>
      </x:c>
      <x:c r="F671" s="11" t="n">
        <x:v>0.4168734550476074</x:v>
      </x:c>
      <x:c r="G671" s="13" t="n">
        <x:v>3</x:v>
      </x:c>
      <x:c r="H671" s="11" t="n">
        <x:v>0.1385341435670852</x:v>
      </x:c>
      <x:c r="I671" s="11" t="n">
        <x:v>0.4112094044685364</x:v>
      </x:c>
      <x:c r="J671" s="24" t="n">
        <x:v>137.00310077145696</x:v>
      </x:c>
      <x:c r="K671" s="24" t="n">
        <x:v>155.63357377052307</x:v>
      </x:c>
      <x:c r="L671" s="11" t="n">
        <x:v>0.7866004705429077</x:v>
      </x:c>
      <x:c r="M671" s="11" t="n">
        <x:v>0.0999332070350647</x:v>
      </x:c>
    </x:row>
    <x:row r="672" ht="22" customHeight="1">
      <x:c r="A672" s="17" t="str">
        <x:f>"07373000"</x:f>
        <x:v>07373000</x:v>
      </x:c>
      <x:c r="B672" s="13" t="n">
        <x:v>42</x:v>
      </x:c>
      <x:c r="C672" s="22" t="b">
        <x:v>1</x:v>
      </x:c>
      <x:c r="D672" s="11" t="n">
        <x:v>0.0148514853790402</x:v>
      </x:c>
      <x:c r="E672" s="11" t="n">
        <x:v>0.0002966558774156333</x:v>
      </x:c>
      <x:c r="F672" s="11" t="n">
        <x:v>0.2896039485931396</x:v>
      </x:c>
      <x:c r="G672" s="13" t="n">
        <x:v>4</x:v>
      </x:c>
      <x:c r="H672" s="11" t="n">
        <x:v>0.3875861167907715</x:v>
      </x:c>
      <x:c r="I672" s="11" t="n">
        <x:v>0.4170226752758026</x:v>
      </x:c>
      <x:c r="J672" s="24" t="n">
        <x:v>139.21114382334054</x:v>
      </x:c>
      <x:c r="K672" s="24" t="n">
        <x:v>151.69244146347046</x:v>
      </x:c>
      <x:c r="L672" s="11" t="n">
        <x:v>0.5445544719696045</x:v>
      </x:c>
      <x:c r="M672" s="11" t="n">
        <x:v>0.0999393239617347</x:v>
      </x:c>
    </x:row>
    <x:row r="673" ht="22" customHeight="1">
      <x:c r="A673" s="17" t="str">
        <x:f>"07373000"</x:f>
        <x:v>07373000</x:v>
      </x:c>
      <x:c r="B673" s="13" t="n">
        <x:v>42</x:v>
      </x:c>
      <x:c r="C673" s="22" t="b">
        <x:v>0</x:v>
      </x:c>
      <x:c r="D673" s="11" t="n">
        <x:v>0.03970223354796563</x:v>
      </x:c>
      <x:c r="E673" s="11" t="n">
        <x:v>0.00037780655353946666</x:v>
      </x:c>
      <x:c r="F673" s="11" t="n">
        <x:v>0.3746898174285888</x:v>
      </x:c>
      <x:c r="G673" s="13" t="n">
        <x:v>9</x:v>
      </x:c>
      <x:c r="H673" s="11" t="n">
        <x:v>0.4031689167022705</x:v>
      </x:c>
      <x:c r="I673" s="11" t="n">
        <x:v>0.4075889587402344</x:v>
      </x:c>
      <x:c r="J673" s="24" t="n">
        <x:v>138.17827854305506</x:v>
      </x:c>
      <x:c r="K673" s="24" t="n">
        <x:v>150.5389187335968</x:v>
      </x:c>
      <x:c r="L673" s="11" t="n">
        <x:v>0.4143920540809631</x:v>
      </x:c>
      <x:c r="M673" s="11" t="n">
        <x:v>0.0999332070350647</x:v>
      </x:c>
    </x:row>
    <x:row r="674" ht="22" customHeight="1">
      <x:c r="A674" s="17" t="str">
        <x:f>"07375000"</x:f>
        <x:v>07375000</x:v>
      </x:c>
      <x:c r="B674" s="13" t="n">
        <x:v>42</x:v>
      </x:c>
      <x:c r="C674" s="22" t="b">
        <x:v>1</x:v>
      </x:c>
      <x:c r="D674" s="11" t="n">
        <x:v>0.024752475321292836</x:v>
      </x:c>
      <x:c r="E674" s="11" t="n">
        <x:v>0.000316882423552</x:v>
      </x:c>
      <x:c r="F674" s="11" t="n">
        <x:v>0.3861386179924011</x:v>
      </x:c>
      <x:c r="G674" s="13" t="n">
        <x:v>1</x:v>
      </x:c>
      <x:c r="H674" s="11" t="n">
        <x:v>0.0441604703664779</x:v>
      </x:c>
      <x:c r="I674" s="11" t="n">
        <x:v>0.085670605301857</x:v>
      </x:c>
      <x:c r="J674" s="24" t="n">
        <x:v>139.2726944172755</x:v>
      </x:c>
      <x:c r="K674" s="24" t="n">
        <x:v>169.0065860748291</x:v>
      </x:c>
      <x:c r="L674" s="11" t="n">
        <x:v>0.957920789718628</x:v>
      </x:c>
      <x:c r="M674" s="11" t="n">
        <x:v>0.0999393239617347</x:v>
      </x:c>
    </x:row>
    <x:row r="675" ht="22" customHeight="1">
      <x:c r="A675" s="17" t="str">
        <x:f>"07375000"</x:f>
        <x:v>07375000</x:v>
      </x:c>
      <x:c r="B675" s="13" t="n">
        <x:v>42</x:v>
      </x:c>
      <x:c r="C675" s="22" t="b">
        <x:v>0</x:v>
      </x:c>
      <x:c r="D675" s="11" t="n">
        <x:v>0.0380479739978909</x:v>
      </x:c>
      <x:c r="E675" s="11" t="n">
        <x:v>0.00037106001400383335</x:v>
      </x:c>
      <x:c r="F675" s="11" t="n">
        <x:v>0.4342431724071502</x:v>
      </x:c>
      <x:c r="G675" s="13" t="n">
        <x:v>1</x:v>
      </x:c>
      <x:c r="H675" s="11" t="n">
        <x:v>0.1034973114728927</x:v>
      </x:c>
      <x:c r="I675" s="11" t="n">
        <x:v>0.1473052650690078</x:v>
      </x:c>
      <x:c r="J675" s="24" t="n">
        <x:v>133.95938204880804</x:v>
      </x:c>
      <x:c r="K675" s="24" t="n">
        <x:v>159.99583649635315</x:v>
      </x:c>
      <x:c r="L675" s="11" t="n">
        <x:v>0.9801489114761353</x:v>
      </x:c>
      <x:c r="M675" s="11" t="n">
        <x:v>0.0999332070350647</x:v>
      </x:c>
    </x:row>
    <x:row r="676" ht="22" customHeight="1">
      <x:c r="A676" s="17" t="str">
        <x:f>"08013000"</x:f>
        <x:v>08013000</x:v>
      </x:c>
      <x:c r="B676" s="13" t="n">
        <x:v>42</x:v>
      </x:c>
      <x:c r="C676" s="22" t="b">
        <x:v>1</x:v>
      </x:c>
      <x:c r="D676" s="11" t="n">
        <x:v>0.019801979884505234</x:v>
      </x:c>
      <x:c r="E676" s="11" t="n">
        <x:v>0.00028317152464290006</x:v>
      </x:c>
      <x:c r="F676" s="11" t="n">
        <x:v>0.3663366436958313</x:v>
      </x:c>
      <x:c r="G676" s="13" t="n">
        <x:v>7</x:v>
      </x:c>
      <x:c r="H676" s="11" t="n">
        <x:v>0.025491788983345</x:v>
      </x:c>
      <x:c r="I676" s="11" t="n">
        <x:v>0.0298919286578893</x:v>
      </x:c>
      <x:c r="J676" s="24" t="n">
        <x:v>138.01044971309602</x:v>
      </x:c>
      <x:c r="K676" s="24" t="n">
        <x:v>152.959468126297</x:v>
      </x:c>
      <x:c r="L676" s="11" t="n">
        <x:v>0.4925742447376251</x:v>
      </x:c>
      <x:c r="M676" s="11" t="n">
        <x:v>0.0999393239617347</x:v>
      </x:c>
    </x:row>
    <x:row r="677" ht="22" customHeight="1">
      <x:c r="A677" s="17" t="str">
        <x:f>"08013000"</x:f>
        <x:v>08013000</x:v>
      </x:c>
      <x:c r="B677" s="13" t="n">
        <x:v>42</x:v>
      </x:c>
      <x:c r="C677" s="22" t="b">
        <x:v>0</x:v>
      </x:c>
      <x:c r="D677" s="11" t="n">
        <x:v>0.026468155905604297</x:v>
      </x:c>
      <x:c r="E677" s="11" t="n">
        <x:v>0.0002631152795704666</x:v>
      </x:c>
      <x:c r="F677" s="11" t="n">
        <x:v>0.4094292819499969</x:v>
      </x:c>
      <x:c r="G677" s="13" t="n">
        <x:v>7</x:v>
      </x:c>
      <x:c r="H677" s="11" t="n">
        <x:v>0.0666650682687759</x:v>
      </x:c>
      <x:c r="I677" s="11" t="n">
        <x:v>0.0821264833211898</x:v>
      </x:c>
      <x:c r="J677" s="24" t="n">
        <x:v>138.8506637122482</x:v>
      </x:c>
      <x:c r="K677" s="24" t="n">
        <x:v>158.36432647705078</x:v>
      </x:c>
      <x:c r="L677" s="11" t="n">
        <x:v>0.5260545611381531</x:v>
      </x:c>
      <x:c r="M677" s="11" t="n">
        <x:v>0.0999332070350647</x:v>
      </x:c>
    </x:row>
    <x:row r="678" ht="22" customHeight="1">
      <x:c r="A678" s="17" t="str">
        <x:f>"08014500"</x:f>
        <x:v>08014500</x:v>
      </x:c>
      <x:c r="B678" s="13" t="n">
        <x:v>42</x:v>
      </x:c>
      <x:c r="C678" s="22" t="b">
        <x:v>1</x:v>
      </x:c>
      <x:c r="D678" s="11" t="n">
        <x:v>0.0156765677966177</x:v>
      </x:c>
      <x:c r="E678" s="11" t="n">
        <x:v>0.00048543690354556666</x:v>
      </x:c>
      <x:c r="F678" s="11" t="n">
        <x:v>0.3217821717262268</x:v>
      </x:c>
      <x:c r="G678" s="13" t="n">
        <x:v>7</x:v>
      </x:c>
      <x:c r="H678" s="11" t="n">
        <x:v>0.0355816595256328</x:v>
      </x:c>
      <x:c r="I678" s="11" t="n">
        <x:v>0.0432138852775096</x:v>
      </x:c>
      <x:c r="J678" s="24" t="n">
        <x:v>135.99909532628953</x:v>
      </x:c>
      <x:c r="K678" s="24" t="n">
        <x:v>151.7050964832306</x:v>
      </x:c>
      <x:c r="L678" s="11" t="n">
        <x:v>0.4405940473079681</x:v>
      </x:c>
      <x:c r="M678" s="11" t="n">
        <x:v>0.0999393239617347</x:v>
      </x:c>
    </x:row>
    <x:row r="679" ht="22" customHeight="1">
      <x:c r="A679" s="17" t="str">
        <x:f>"08014500"</x:f>
        <x:v>08014500</x:v>
      </x:c>
      <x:c r="B679" s="13" t="n">
        <x:v>42</x:v>
      </x:c>
      <x:c r="C679" s="22" t="b">
        <x:v>0</x:v>
      </x:c>
      <x:c r="D679" s="11" t="n">
        <x:v>0.025641025044023897</x:v>
      </x:c>
      <x:c r="E679" s="11" t="n">
        <x:v>0.0006004425619418</x:v>
      </x:c>
      <x:c r="F679" s="11" t="n">
        <x:v>0.4292804002761841</x:v>
      </x:c>
      <x:c r="G679" s="13" t="n">
        <x:v>7</x:v>
      </x:c>
      <x:c r="H679" s="11" t="n">
        <x:v>0.0862603336572647</x:v>
      </x:c>
      <x:c r="I679" s="11" t="n">
        <x:v>0.1007538959383964</x:v>
      </x:c>
      <x:c r="J679" s="24" t="n">
        <x:v>137.42133003659546</x:v>
      </x:c>
      <x:c r="K679" s="24" t="n">
        <x:v>151.8105058670044</x:v>
      </x:c>
      <x:c r="L679" s="11" t="n">
        <x:v>0.5483871102333069</x:v>
      </x:c>
      <x:c r="M679" s="11" t="n">
        <x:v>0.0999332070350647</x:v>
      </x:c>
    </x:row>
    <x:row r="680" ht="22" customHeight="1">
      <x:c r="A680" s="17" t="str">
        <x:f>"08023080"</x:f>
        <x:v>08023080</x:v>
      </x:c>
      <x:c r="B680" s="13" t="n">
        <x:v>42</x:v>
      </x:c>
      <x:c r="C680" s="22" t="b">
        <x:v>1</x:v>
      </x:c>
      <x:c r="D680" s="11" t="n">
        <x:v>0.0321782187869151</x:v>
      </x:c>
      <x:c r="E680" s="11" t="n">
        <x:v>0.0003438511242468667</x:v>
      </x:c>
      <x:c r="F680" s="11" t="n">
        <x:v>0.4133663475513458</x:v>
      </x:c>
      <x:c r="G680" s="13" t="n">
        <x:v>9</x:v>
      </x:c>
      <x:c r="H680" s="11" t="n">
        <x:v>0.0900134295225143</x:v>
      </x:c>
      <x:c r="I680" s="11" t="n">
        <x:v>0.0960457697510719</x:v>
      </x:c>
      <x:c r="J680" s="24" t="n">
        <x:v>140.93637138605118</x:v>
      </x:c>
      <x:c r="K680" s="24" t="n">
        <x:v>155.58493900299072</x:v>
      </x:c>
      <x:c r="L680" s="11" t="n">
        <x:v>0.4529702961444855</x:v>
      </x:c>
      <x:c r="M680" s="11" t="n">
        <x:v>0.0999393239617347</x:v>
      </x:c>
    </x:row>
    <x:row r="681" ht="22" customHeight="1">
      <x:c r="A681" s="17" t="str">
        <x:f>"08023080"</x:f>
        <x:v>08023080</x:v>
      </x:c>
      <x:c r="B681" s="13" t="n">
        <x:v>42</x:v>
      </x:c>
      <x:c r="C681" s="22" t="b">
        <x:v>0</x:v>
      </x:c>
      <x:c r="D681" s="11" t="n">
        <x:v>0.029776675005753764</x:v>
      </x:c>
      <x:c r="E681" s="11" t="n">
        <x:v>0.00045876511527843337</x:v>
      </x:c>
      <x:c r="F681" s="11" t="n">
        <x:v>0.5111662745475769</x:v>
      </x:c>
      <x:c r="G681" s="13" t="n">
        <x:v>9</x:v>
      </x:c>
      <x:c r="H681" s="11" t="n">
        <x:v>0.201456218957901</x:v>
      </x:c>
      <x:c r="I681" s="11" t="n">
        <x:v>0.2517941296100616</x:v>
      </x:c>
      <x:c r="J681" s="24" t="n">
        <x:v>138.84026646986604</x:v>
      </x:c>
      <x:c r="K681" s="24" t="n">
        <x:v>155.49512839317322</x:v>
      </x:c>
      <x:c r="L681" s="11" t="n">
        <x:v>0.5235732197761536</x:v>
      </x:c>
      <x:c r="M681" s="11" t="n">
        <x:v>0.0999332070350647</x:v>
      </x:c>
    </x:row>
    <x:row r="682" ht="22" customHeight="1">
      <x:c r="A682" s="17" t="str">
        <x:f>"08029500"</x:f>
        <x:v>08029500</x:v>
      </x:c>
      <x:c r="B682" s="13" t="n">
        <x:v>42</x:v>
      </x:c>
      <x:c r="C682" s="22" t="b">
        <x:v>1</x:v>
      </x:c>
      <x:c r="D682" s="11" t="n">
        <x:v>0.020627062767744</x:v>
      </x:c>
      <x:c r="E682" s="11" t="n">
        <x:v>0.0005056634254287333</x:v>
      </x:c>
      <x:c r="F682" s="11" t="n">
        <x:v>0.3539603948593139</x:v>
      </x:c>
      <x:c r="G682" s="13" t="n">
        <x:v>10</x:v>
      </x:c>
      <x:c r="H682" s="11" t="n">
        <x:v>2.3436408042907715</x:v>
      </x:c>
      <x:c r="I682" s="11" t="n">
        <x:v>2.3436408042907715</x:v>
      </x:c>
      <x:c r="J682" s="24" t="n">
        <x:v>140.38473899289966</x:v>
      </x:c>
      <x:c r="K682" s="24" t="n">
        <x:v>154.3305265903473</x:v>
      </x:c>
      <x:c r="L682" s="11" t="n">
        <x:v>0.3539603948593139</x:v>
      </x:c>
      <x:c r="M682" s="11" t="n">
        <x:v>0.0999393239617347</x:v>
      </x:c>
    </x:row>
    <x:row r="683" ht="22" customHeight="1">
      <x:c r="A683" s="17" t="str">
        <x:f>"08029500"</x:f>
        <x:v>08029500</x:v>
      </x:c>
      <x:c r="B683" s="13" t="n">
        <x:v>42</x:v>
      </x:c>
      <x:c r="C683" s="22" t="b">
        <x:v>0</x:v>
      </x:c>
      <x:c r="D683" s="11" t="n">
        <x:v>0.0438378825783729</x:v>
      </x:c>
      <x:c r="E683" s="11" t="n">
        <x:v>0.00028335492243053336</x:v>
      </x:c>
      <x:c r="F683" s="11" t="n">
        <x:v>0.4689826369285583</x:v>
      </x:c>
      <x:c r="G683" s="13" t="n">
        <x:v>6</x:v>
      </x:c>
      <x:c r="H683" s="11" t="n">
        <x:v>2.7279932498931885</x:v>
      </x:c>
      <x:c r="I683" s="11" t="n">
        <x:v>2.784067392349243</x:v>
      </x:c>
      <x:c r="J683" s="24" t="n">
        <x:v>136.853546355851</x:v>
      </x:c>
      <x:c r="K683" s="24" t="n">
        <x:v>151.7198042869568</x:v>
      </x:c>
      <x:c r="L683" s="11" t="n">
        <x:v>0.6004962921142578</x:v>
      </x:c>
      <x:c r="M683" s="11" t="n">
        <x:v>0.0999332070350647</x:v>
      </x:c>
    </x:row>
    <x:row r="684" ht="22" customHeight="1">
      <x:c r="A684" s="17" t="str">
        <x:f>"08066200"</x:f>
        <x:v>08066200</x:v>
      </x:c>
      <x:c r="B684" s="13" t="n">
        <x:v>42</x:v>
      </x:c>
      <x:c r="C684" s="22" t="b">
        <x:v>1</x:v>
      </x:c>
      <x:c r="D684" s="11" t="n">
        <x:v>0.024752475321292832</x:v>
      </x:c>
      <x:c r="E684" s="11" t="n">
        <x:v>0.00022923408444813334</x:v>
      </x:c>
      <x:c r="F684" s="11" t="n">
        <x:v>0.3787128627300262</x:v>
      </x:c>
      <x:c r="G684" s="13" t="n">
        <x:v>9</x:v>
      </x:c>
      <x:c r="H684" s="11" t="n">
        <x:v>0.4432077705860138</x:v>
      </x:c>
      <x:c r="I684" s="11" t="n">
        <x:v>0.4478017687797546</x:v>
      </x:c>
      <x:c r="J684" s="24" t="n">
        <x:v>142.73206745646894</x:v>
      </x:c>
      <x:c r="K684" s="24" t="n">
        <x:v>154.95537066459656</x:v>
      </x:c>
      <x:c r="L684" s="11" t="n">
        <x:v>0.4059405922889709</x:v>
      </x:c>
      <x:c r="M684" s="11" t="n">
        <x:v>0.0999393239617347</x:v>
      </x:c>
    </x:row>
    <x:row r="685" ht="22" customHeight="1">
      <x:c r="A685" s="17" t="str">
        <x:f>"08066200"</x:f>
        <x:v>08066200</x:v>
      </x:c>
      <x:c r="B685" s="13" t="n">
        <x:v>42</x:v>
      </x:c>
      <x:c r="C685" s="22" t="b">
        <x:v>0</x:v>
      </x:c>
      <x:c r="D685" s="11" t="n">
        <x:v>0.014888337658097266</x:v>
      </x:c>
      <x:c r="E685" s="11" t="n">
        <x:v>0.0006679080543107668</x:v>
      </x:c>
      <x:c r="F685" s="11" t="n">
        <x:v>0.2580645084381103</x:v>
      </x:c>
      <x:c r="G685" s="13" t="n">
        <x:v>2</x:v>
      </x:c>
      <x:c r="H685" s="11" t="n">
        <x:v>0.5487415194511414</x:v>
      </x:c>
      <x:c r="I685" s="11" t="n">
        <x:v>0.5522345900535583</x:v>
      </x:c>
      <x:c r="J685" s="24" t="n">
        <x:v>139.3356657475233</x:v>
      </x:c>
      <x:c r="K685" s="24" t="n">
        <x:v>150.30719447135925</x:v>
      </x:c>
      <x:c r="L685" s="11" t="n">
        <x:v>0.6501240730285645</x:v>
      </x:c>
      <x:c r="M685" s="11" t="n">
        <x:v>0.0999332070350647</x:v>
      </x:c>
    </x:row>
    <x:row r="686" ht="22" customHeight="1">
      <x:c r="A686" s="17" t="str">
        <x:f>"08066300"</x:f>
        <x:v>08066300</x:v>
      </x:c>
      <x:c r="B686" s="13" t="n">
        <x:v>42</x:v>
      </x:c>
      <x:c r="C686" s="22" t="b">
        <x:v>1</x:v>
      </x:c>
      <x:c r="D686" s="11" t="n">
        <x:v>0.023102310486137798</x:v>
      </x:c>
      <x:c r="E686" s="11" t="n">
        <x:v>0.00039778857414293333</x:v>
      </x:c>
      <x:c r="F686" s="11" t="n">
        <x:v>0.3044554591178894</x:v>
      </x:c>
      <x:c r="G686" s="13" t="n">
        <x:v>10</x:v>
      </x:c>
      <x:c r="H686" s="11" t="n">
        <x:v>0.1401652991771698</x:v>
      </x:c>
      <x:c r="I686" s="11" t="n">
        <x:v>0.1401652991771698</x:v>
      </x:c>
      <x:c r="J686" s="24" t="n">
        <x:v>138.70475962851197</x:v>
      </x:c>
      <x:c r="K686" s="24" t="n">
        <x:v>149.4160439968109</x:v>
      </x:c>
      <x:c r="L686" s="11" t="n">
        <x:v>0.3044554591178894</x:v>
      </x:c>
      <x:c r="M686" s="11" t="n">
        <x:v>0.0999393239617347</x:v>
      </x:c>
    </x:row>
    <x:row r="687" ht="22" customHeight="1">
      <x:c r="A687" s="17" t="str">
        <x:f>"08066300"</x:f>
        <x:v>08066300</x:v>
      </x:c>
      <x:c r="B687" s="13" t="n">
        <x:v>42</x:v>
      </x:c>
      <x:c r="C687" s="22" t="b">
        <x:v>0</x:v>
      </x:c>
      <x:c r="D687" s="11" t="n">
        <x:v>0.029776675005753764</x:v>
      </x:c>
      <x:c r="E687" s="11" t="n">
        <x:v>0.0002563687351842333</x:v>
      </x:c>
      <x:c r="F687" s="11" t="n">
        <x:v>0.4516128897666931</x:v>
      </x:c>
      <x:c r="G687" s="13" t="n">
        <x:v>10</x:v>
      </x:c>
      <x:c r="H687" s="11" t="n">
        <x:v>0.2780626118183136</x:v>
      </x:c>
      <x:c r="I687" s="11" t="n">
        <x:v>0.2780626118183136</x:v>
      </x:c>
      <x:c r="J687" s="24" t="n">
        <x:v>137.84879297949374</x:v>
      </x:c>
      <x:c r="K687" s="24" t="n">
        <x:v>153.35142183303833</x:v>
      </x:c>
      <x:c r="L687" s="11" t="n">
        <x:v>0.4516128897666931</x:v>
      </x:c>
      <x:c r="M687" s="11" t="n">
        <x:v>0.0999332070350647</x:v>
      </x:c>
    </x:row>
    <x:row r="688" ht="22" customHeight="1">
      <x:c r="A688" s="17" t="str">
        <x:f>"08070000"</x:f>
        <x:v>08070000</x:v>
      </x:c>
      <x:c r="B688" s="13" t="n">
        <x:v>42</x:v>
      </x:c>
      <x:c r="C688" s="22" t="b">
        <x:v>1</x:v>
      </x:c>
      <x:c r="D688" s="11" t="n">
        <x:v>0.021452145340541965</x:v>
      </x:c>
      <x:c r="E688" s="11" t="n">
        <x:v>0.00030339805622736665</x:v>
      </x:c>
      <x:c r="F688" s="11" t="n">
        <x:v>0.2821782231330871</x:v>
      </x:c>
      <x:c r="G688" s="13" t="n">
        <x:v>2</x:v>
      </x:c>
      <x:c r="H688" s="11" t="n">
        <x:v>0.0560254640877246</x:v>
      </x:c>
      <x:c r="I688" s="11" t="n">
        <x:v>0.0666277334094047</x:v>
      </x:c>
      <x:c r="J688" s="24" t="n">
        <x:v>136.4932836331427</x:v>
      </x:c>
      <x:c r="K688" s="24" t="n">
        <x:v>154.17057275772095</x:v>
      </x:c>
      <x:c r="L688" s="11" t="n">
        <x:v>0.75</x:v>
      </x:c>
      <x:c r="M688" s="11" t="n">
        <x:v>0.0999393239617347</x:v>
      </x:c>
    </x:row>
    <x:row r="689" ht="22" customHeight="1">
      <x:c r="A689" s="17" t="str">
        <x:f>"08070000"</x:f>
        <x:v>08070000</x:v>
      </x:c>
      <x:c r="B689" s="13" t="n">
        <x:v>42</x:v>
      </x:c>
      <x:c r="C689" s="22" t="b">
        <x:v>0</x:v>
      </x:c>
      <x:c r="D689" s="11" t="n">
        <x:v>0.03887510361770783</x:v>
      </x:c>
      <x:c r="E689" s="11" t="n">
        <x:v>0.00041828582955830005</x:v>
      </x:c>
      <x:c r="F689" s="11" t="n">
        <x:v>0.4615384638309479</x:v>
      </x:c>
      <x:c r="G689" s="13" t="n">
        <x:v>1</x:v>
      </x:c>
      <x:c r="H689" s="11" t="n">
        <x:v>0.1399706751108169</x:v>
      </x:c>
      <x:c r="I689" s="11" t="n">
        <x:v>0.2517043948173523</x:v>
      </x:c>
      <x:c r="J689" s="24" t="n">
        <x:v>135.52437474858016</x:v>
      </x:c>
      <x:c r="K689" s="24" t="n">
        <x:v>158.417005777359</x:v>
      </x:c>
      <x:c r="L689" s="11" t="n">
        <x:v>0.9478908181190492</x:v>
      </x:c>
      <x:c r="M689" s="11" t="n">
        <x:v>0.0999332070350647</x:v>
      </x:c>
    </x:row>
    <x:row r="690" ht="22" customHeight="1">
      <x:c r="A690" s="17" t="str">
        <x:f>"08079600"</x:f>
        <x:v>08079600</x:v>
      </x:c>
      <x:c r="B690" s="13" t="n">
        <x:v>42</x:v>
      </x:c>
      <x:c r="C690" s="22" t="b">
        <x:v>1</x:v>
      </x:c>
      <x:c r="D690" s="11" t="n">
        <x:v>0.038778878748416866</x:v>
      </x:c>
      <x:c r="E690" s="11" t="n">
        <x:v>0.0005191477927534333</x:v>
      </x:c>
      <x:c r="F690" s="11" t="n">
        <x:v>0.2846534550189972</x:v>
      </x:c>
      <x:c r="G690" s="13" t="n">
        <x:v>10</x:v>
      </x:c>
      <x:c r="H690" s="11" t="n">
        <x:v>2.211624383926392</x:v>
      </x:c>
      <x:c r="I690" s="11" t="n">
        <x:v>2.211624383926392</x:v>
      </x:c>
      <x:c r="J690" s="24" t="n">
        <x:v>132.88459987286478</x:v>
      </x:c>
      <x:c r="K690" s="24" t="n">
        <x:v>145.04709768295288</x:v>
      </x:c>
      <x:c r="L690" s="11" t="n">
        <x:v>0.2846534550189972</x:v>
      </x:c>
      <x:c r="M690" s="11" t="n">
        <x:v>0.0999393239617347</x:v>
      </x:c>
    </x:row>
    <x:row r="691" ht="22" customHeight="1">
      <x:c r="A691" s="17" t="str">
        <x:f>"08079600"</x:f>
        <x:v>08079600</x:v>
      </x:c>
      <x:c r="B691" s="13" t="n">
        <x:v>42</x:v>
      </x:c>
      <x:c r="C691" s="22" t="b">
        <x:v>0</x:v>
      </x:c>
      <x:c r="D691" s="11" t="n">
        <x:v>0.02729528521498037</x:v>
      </x:c>
      <x:c r="E691" s="11" t="n">
        <x:v>0.0009917422236564001</x:v>
      </x:c>
      <x:c r="F691" s="11" t="n">
        <x:v>0.1910669952630996</x:v>
      </x:c>
      <x:c r="G691" s="13" t="n">
        <x:v>3</x:v>
      </x:c>
      <x:c r="H691" s="11" t="n">
        <x:v>2.346299171447754</x:v>
      </x:c>
      <x:c r="I691" s="11" t="n">
        <x:v>2.395153522491455</x:v>
      </x:c>
      <x:c r="J691" s="24" t="n">
        <x:v>132.5706441923976</x:v>
      </x:c>
      <x:c r="K691" s="24" t="n">
        <x:v>141.40089464187622</x:v>
      </x:c>
      <x:c r="L691" s="11" t="n">
        <x:v>0.3722084462642669</x:v>
      </x:c>
      <x:c r="M691" s="11" t="n">
        <x:v>0.0999332070350647</x:v>
      </x:c>
    </x:row>
    <x:row r="692" ht="22" customHeight="1">
      <x:c r="A692" s="17" t="str">
        <x:f>"08082700"</x:f>
        <x:v>08082700</x:v>
      </x:c>
      <x:c r="B692" s="13" t="n">
        <x:v>42</x:v>
      </x:c>
      <x:c r="C692" s="22" t="b">
        <x:v>1</x:v>
      </x:c>
      <x:c r="D692" s="11" t="n">
        <x:v>0.030528053020437502</x:v>
      </x:c>
      <x:c r="E692" s="11" t="n">
        <x:v>0.00028991369375333336</x:v>
      </x:c>
      <x:c r="F692" s="11" t="n">
        <x:v>0.3737623691558838</x:v>
      </x:c>
      <x:c r="G692" s="13" t="n">
        <x:v>4</x:v>
      </x:c>
      <x:c r="H692" s="11" t="n">
        <x:v>4.500833034515381</x:v>
      </x:c>
      <x:c r="I692" s="11" t="n">
        <x:v>4.703418254852295</x:v>
      </x:c>
      <x:c r="J692" s="24" t="n">
        <x:v>136.0158795900643</x:v>
      </x:c>
      <x:c r="K692" s="24" t="n">
        <x:v>157.07940888404846</x:v>
      </x:c>
      <x:c r="L692" s="11" t="n">
        <x:v>0.6534653306007385</x:v>
      </x:c>
      <x:c r="M692" s="11" t="n">
        <x:v>0.0999393239617347</x:v>
      </x:c>
    </x:row>
    <x:row r="693" ht="22" customHeight="1">
      <x:c r="A693" s="17" t="str">
        <x:f>"08082700"</x:f>
        <x:v>08082700</x:v>
      </x:c>
      <x:c r="B693" s="13" t="n">
        <x:v>42</x:v>
      </x:c>
      <x:c r="C693" s="22" t="b">
        <x:v>0</x:v>
      </x:c>
      <x:c r="D693" s="11" t="n">
        <x:v>0.030603804936011562</x:v>
      </x:c>
      <x:c r="E693" s="11" t="n">
        <x:v>0.0004317789280320667</x:v>
      </x:c>
      <x:c r="F693" s="11" t="n">
        <x:v>0.3250620365142822</x:v>
      </x:c>
      <x:c r="G693" s="13" t="n">
        <x:v>3</x:v>
      </x:c>
      <x:c r="H693" s="11" t="n">
        <x:v>4.924029350280762</x:v>
      </x:c>
      <x:c r="I693" s="11" t="n">
        <x:v>5.882174491882324</x:v>
      </x:c>
      <x:c r="J693" s="24" t="n">
        <x:v>137.28757512848824</x:v>
      </x:c>
      <x:c r="K693" s="24" t="n">
        <x:v>152.89563584327698</x:v>
      </x:c>
      <x:c r="L693" s="11" t="n">
        <x:v>0.6104218363761902</x:v>
      </x:c>
      <x:c r="M693" s="11" t="n">
        <x:v>0.0999332070350647</x:v>
      </x:c>
    </x:row>
    <x:row r="694" ht="22" customHeight="1">
      <x:c r="A694" s="17" t="str">
        <x:f>"08086212"</x:f>
        <x:v>08086212</x:v>
      </x:c>
      <x:c r="B694" s="13" t="n">
        <x:v>42</x:v>
      </x:c>
      <x:c r="C694" s="22" t="b">
        <x:v>1</x:v>
      </x:c>
      <x:c r="D694" s="11" t="n">
        <x:v>0.006600660039111934</x:v>
      </x:c>
      <x:c r="E694" s="11" t="n">
        <x:v>0.0009708737876886666</x:v>
      </x:c>
      <x:c r="F694" s="11" t="n">
        <x:v>0.1485148519277572</x:v>
      </x:c>
      <x:c r="G694" s="13" t="n">
        <x:v>1</x:v>
      </x:c>
      <x:c r="H694" s="11" t="n">
        <x:v>0.4816349148750305</x:v>
      </x:c>
      <x:c r="I694" s="11" t="n">
        <x:v>0.5077587962150574</x:v>
      </x:c>
      <x:c r="J694" s="24" t="n">
        <x:v>135.89408341795206</x:v>
      </x:c>
      <x:c r="K694" s="24" t="n">
        <x:v>147.7154233455658</x:v>
      </x:c>
      <x:c r="L694" s="11" t="n">
        <x:v>0.6955445408821106</x:v>
      </x:c>
      <x:c r="M694" s="11" t="n">
        <x:v>0.0999393239617347</x:v>
      </x:c>
    </x:row>
    <x:row r="695" ht="22" customHeight="1">
      <x:c r="A695" s="17" t="str">
        <x:f>"08086212"</x:f>
        <x:v>08086212</x:v>
      </x:c>
      <x:c r="B695" s="13" t="n">
        <x:v>42</x:v>
      </x:c>
      <x:c r="C695" s="22" t="b">
        <x:v>0</x:v>
      </x:c>
      <x:c r="D695" s="11" t="n">
        <x:v>0.013234077642361236</x:v>
      </x:c>
      <x:c r="E695" s="11" t="n">
        <x:v>0.00023612910687606666</x:v>
      </x:c>
      <x:c r="F695" s="11" t="n">
        <x:v>0.2506203353404999</x:v>
      </x:c>
      <x:c r="G695" s="13" t="n">
        <x:v>2</x:v>
      </x:c>
      <x:c r="H695" s="11" t="n">
        <x:v>0.6127977967262268</x:v>
      </x:c>
      <x:c r="I695" s="11" t="n">
        <x:v>0.6773051023483276</x:v>
      </x:c>
      <x:c r="J695" s="24" t="n">
        <x:v>137.3389787999913</x:v>
      </x:c>
      <x:c r="K695" s="24" t="n">
        <x:v>152.20246243476868</x:v>
      </x:c>
      <x:c r="L695" s="11" t="n">
        <x:v>0.5508685111999512</x:v>
      </x:c>
      <x:c r="M695" s="11" t="n">
        <x:v>0.0999332070350647</x:v>
      </x:c>
    </x:row>
    <x:row r="696" ht="22" customHeight="1">
      <x:c r="A696" s="17" t="str">
        <x:f>"08086290"</x:f>
        <x:v>08086290</x:v>
      </x:c>
      <x:c r="B696" s="13" t="n">
        <x:v>42</x:v>
      </x:c>
      <x:c r="C696" s="22" t="b">
        <x:v>1</x:v>
      </x:c>
      <x:c r="D696" s="11" t="n">
        <x:v>0.019801980505386934</x:v>
      </x:c>
      <x:c r="E696" s="11" t="n">
        <x:v>0.00016181229390586666</x:v>
      </x:c>
      <x:c r="F696" s="11" t="n">
        <x:v>0.1831683218479156</x:v>
      </x:c>
      <x:c r="G696" s="13" t="n">
        <x:v>4</x:v>
      </x:c>
      <x:c r="H696" s="11" t="n">
        <x:v>0.4948920011520386</x:v>
      </x:c>
      <x:c r="I696" s="11" t="n">
        <x:v>0.6735538840293884</x:v>
      </x:c>
      <x:c r="J696" s="24" t="n">
        <x:v>138.98233272787184</x:v>
      </x:c>
      <x:c r="K696" s="24" t="n">
        <x:v>149.84539413452148</x:v>
      </x:c>
      <x:c r="L696" s="11" t="n">
        <x:v>0.3168316781520843</x:v>
      </x:c>
      <x:c r="M696" s="11" t="n">
        <x:v>0.0999393239617347</x:v>
      </x:c>
    </x:row>
    <x:row r="697" ht="22" customHeight="1">
      <x:c r="A697" s="17" t="str">
        <x:f>"08086290"</x:f>
        <x:v>08086290</x:v>
      </x:c>
      <x:c r="B697" s="13" t="n">
        <x:v>42</x:v>
      </x:c>
      <x:c r="C697" s="22" t="b">
        <x:v>0</x:v>
      </x:c>
      <x:c r="D697" s="11" t="n">
        <x:v>0.012406947712103433</x:v>
      </x:c>
      <x:c r="E697" s="11" t="n">
        <x:v>0.00035082037841973327</x:v>
      </x:c>
      <x:c r="F697" s="11" t="n">
        <x:v>0.233250617980957</x:v>
      </x:c>
      <x:c r="G697" s="13" t="n">
        <x:v>10</x:v>
      </x:c>
      <x:c r="H697" s="11" t="n">
        <x:v>0.5706530213356018</x:v>
      </x:c>
      <x:c r="I697" s="11" t="n">
        <x:v>0.5706530213356018</x:v>
      </x:c>
      <x:c r="J697" s="24" t="n">
        <x:v>134.75042980909348</x:v>
      </x:c>
      <x:c r="K697" s="24" t="n">
        <x:v>145.4925754070282</x:v>
      </x:c>
      <x:c r="L697" s="11" t="n">
        <x:v>0.233250617980957</x:v>
      </x:c>
      <x:c r="M697" s="11" t="n">
        <x:v>0.0999332070350647</x:v>
      </x:c>
    </x:row>
    <x:row r="698" ht="22" customHeight="1">
      <x:c r="A698" s="17" t="str">
        <x:f>"08101000"</x:f>
        <x:v>08101000</x:v>
      </x:c>
      <x:c r="B698" s="13" t="n">
        <x:v>42</x:v>
      </x:c>
      <x:c r="C698" s="22" t="b">
        <x:v>1</x:v>
      </x:c>
      <x:c r="D698" s="11" t="n">
        <x:v>0.018151815049350234</x:v>
      </x:c>
      <x:c r="E698" s="11" t="n">
        <x:v>0.0009101942026366333</x:v>
      </x:c>
      <x:c r="F698" s="11" t="n">
        <x:v>0.2252475321292877</x:v>
      </x:c>
      <x:c r="G698" s="13" t="n">
        <x:v>2</x:v>
      </x:c>
      <x:c r="H698" s="11" t="n">
        <x:v>1.4752660989761353</x:v>
      </x:c>
      <x:c r="I698" s="11" t="n">
        <x:v>1.5284466743469238</x:v>
      </x:c>
      <x:c r="J698" s="24" t="n">
        <x:v>139.0402111709118</x:v>
      </x:c>
      <x:c r="K698" s="24" t="n">
        <x:v>150.74889755249023</x:v>
      </x:c>
      <x:c r="L698" s="11" t="n">
        <x:v>0.6806930899620056</x:v>
      </x:c>
      <x:c r="M698" s="11" t="n">
        <x:v>0.0999393239617347</x:v>
      </x:c>
    </x:row>
    <x:row r="699" ht="22" customHeight="1">
      <x:c r="A699" s="17" t="str">
        <x:f>"08101000"</x:f>
        <x:v>08101000</x:v>
      </x:c>
      <x:c r="B699" s="13" t="n">
        <x:v>42</x:v>
      </x:c>
      <x:c r="C699" s="22" t="b">
        <x:v>0</x:v>
      </x:c>
      <x:c r="D699" s="11" t="n">
        <x:v>0.025641025354464764</x:v>
      </x:c>
      <x:c r="E699" s="11" t="n">
        <x:v>0.00034407383160819997</x:v>
      </x:c>
      <x:c r="F699" s="11" t="n">
        <x:v>0.3176178634166717</x:v>
      </x:c>
      <x:c r="G699" s="13" t="n">
        <x:v>2</x:v>
      </x:c>
      <x:c r="H699" s="11" t="n">
        <x:v>1.6378426551818848</x:v>
      </x:c>
      <x:c r="I699" s="11" t="n">
        <x:v>1.7350307703018188</x:v>
      </x:c>
      <x:c r="J699" s="24" t="n">
        <x:v>136.59988803509623</x:v>
      </x:c>
      <x:c r="K699" s="24" t="n">
        <x:v>154.93733739852905</x:v>
      </x:c>
      <x:c r="L699" s="11" t="n">
        <x:v>0.774193525314331</x:v>
      </x:c>
      <x:c r="M699" s="11" t="n">
        <x:v>0.0999332070350647</x:v>
      </x:c>
    </x:row>
    <x:row r="700" ht="22" customHeight="1">
      <x:c r="A700" s="17" t="str">
        <x:f>"08103900"</x:f>
        <x:v>08103900</x:v>
      </x:c>
      <x:c r="B700" s="13" t="n">
        <x:v>42</x:v>
      </x:c>
      <x:c r="C700" s="22" t="b">
        <x:v>1</x:v>
      </x:c>
      <x:c r="D700" s="11" t="n">
        <x:v>0.013201320233444334</x:v>
      </x:c>
      <x:c r="E700" s="11" t="n">
        <x:v>0.00033036678117540004</x:v>
      </x:c>
      <x:c r="F700" s="11" t="n">
        <x:v>0.2871287167072296</x:v>
      </x:c>
      <x:c r="G700" s="13" t="n">
        <x:v>2</x:v>
      </x:c>
      <x:c r="H700" s="11" t="n">
        <x:v>2.203726053237915</x:v>
      </x:c>
      <x:c r="I700" s="11" t="n">
        <x:v>2.2613227367401123</x:v>
      </x:c>
      <x:c r="J700" s="24" t="n">
        <x:v>135.59437889885157</x:v>
      </x:c>
      <x:c r="K700" s="24" t="n">
        <x:v>146.939190864563</x:v>
      </x:c>
      <x:c r="L700" s="11" t="n">
        <x:v>0.7301980257034302</x:v>
      </x:c>
      <x:c r="M700" s="11" t="n">
        <x:v>0.0999393239617347</x:v>
      </x:c>
    </x:row>
    <x:row r="701" ht="22" customHeight="1">
      <x:c r="A701" s="17" t="str">
        <x:f>"08103900"</x:f>
        <x:v>08103900</x:v>
      </x:c>
      <x:c r="B701" s="13" t="n">
        <x:v>42</x:v>
      </x:c>
      <x:c r="C701" s="22" t="b">
        <x:v>0</x:v>
      </x:c>
      <x:c r="D701" s="11" t="n">
        <x:v>0.0306038046255707</x:v>
      </x:c>
      <x:c r="E701" s="11" t="n">
        <x:v>0.0004452720265059</x:v>
      </x:c>
      <x:c r="F701" s="11" t="n">
        <x:v>0.3647642731666565</x:v>
      </x:c>
      <x:c r="G701" s="13" t="n">
        <x:v>7</x:v>
      </x:c>
      <x:c r="H701" s="11" t="n">
        <x:v>2.37878680229187</x:v>
      </x:c>
      <x:c r="I701" s="11" t="n">
        <x:v>2.519397735595703</x:v>
      </x:c>
      <x:c r="J701" s="24" t="n">
        <x:v>137.44290519692004</x:v>
      </x:c>
      <x:c r="K701" s="24" t="n">
        <x:v>150.03664374351501</x:v>
      </x:c>
      <x:c r="L701" s="11" t="n">
        <x:v>0.4292804002761841</x:v>
      </x:c>
      <x:c r="M701" s="11" t="n">
        <x:v>0.0999332070350647</x:v>
      </x:c>
    </x:row>
    <x:row r="702" ht="22" customHeight="1">
      <x:c r="A702" s="17" t="str">
        <x:f>"08104900"</x:f>
        <x:v>08104900</x:v>
      </x:c>
      <x:c r="B702" s="13" t="n">
        <x:v>42</x:v>
      </x:c>
      <x:c r="C702" s="22" t="b">
        <x:v>1</x:v>
      </x:c>
      <x:c r="D702" s="11" t="n">
        <x:v>0.027227723350127464</x:v>
      </x:c>
      <x:c r="E702" s="11" t="n">
        <x:v>0.0004517259852339333</x:v>
      </x:c>
      <x:c r="F702" s="11" t="n">
        <x:v>0.2970297038555145</x:v>
      </x:c>
      <x:c r="G702" s="13" t="n">
        <x:v>1</x:v>
      </x:c>
      <x:c r="H702" s="11" t="n">
        <x:v>2.7938599586486816</x:v>
      </x:c>
      <x:c r="I702" s="11" t="n">
        <x:v>2.8381738662719727</x:v>
      </x:c>
      <x:c r="J702" s="24" t="n">
        <x:v>134.23301037214696</x:v>
      </x:c>
      <x:c r="K702" s="24" t="n">
        <x:v>147.63782238960266</x:v>
      </x:c>
      <x:c r="L702" s="11" t="n">
        <x:v>0.9405940771102904</x:v>
      </x:c>
      <x:c r="M702" s="11" t="n">
        <x:v>0.0999393239617347</x:v>
      </x:c>
    </x:row>
    <x:row r="703" ht="22" customHeight="1">
      <x:c r="A703" s="17" t="str">
        <x:f>"08104900"</x:f>
        <x:v>08104900</x:v>
      </x:c>
      <x:c r="B703" s="13" t="n">
        <x:v>42</x:v>
      </x:c>
      <x:c r="C703" s="22" t="b">
        <x:v>0</x:v>
      </x:c>
      <x:c r="D703" s="11" t="n">
        <x:v>0.03639371382693443</x:v>
      </x:c>
      <x:c r="E703" s="11" t="n">
        <x:v>0.00047225820405093335</x:v>
      </x:c>
      <x:c r="F703" s="11" t="n">
        <x:v>0.3349875807762146</x:v>
      </x:c>
      <x:c r="G703" s="13" t="n">
        <x:v>7</x:v>
      </x:c>
      <x:c r="H703" s="11" t="n">
        <x:v>2.8129258155822754</x:v>
      </x:c>
      <x:c r="I703" s="11" t="n">
        <x:v>2.838486671447754</x:v>
      </x:c>
      <x:c r="J703" s="24" t="n">
        <x:v>134.56176600512117</x:v>
      </x:c>
      <x:c r="K703" s="24" t="n">
        <x:v>146.7093985080719</x:v>
      </x:c>
      <x:c r="L703" s="11" t="n">
        <x:v>0.4168734550476074</x:v>
      </x:c>
      <x:c r="M703" s="11" t="n">
        <x:v>0.0999332070350647</x:v>
      </x:c>
    </x:row>
    <x:row r="704" ht="22" customHeight="1">
      <x:c r="A704" s="17" t="str">
        <x:f>"08109700"</x:f>
        <x:v>08109700</x:v>
      </x:c>
      <x:c r="B704" s="13" t="n">
        <x:v>42</x:v>
      </x:c>
      <x:c r="C704" s="22" t="b">
        <x:v>1</x:v>
      </x:c>
      <x:c r="D704" s="11" t="n">
        <x:v>0.0305280530204375</x:v>
      </x:c>
      <x:c r="E704" s="11" t="n">
        <x:v>0.0002224919007858</x:v>
      </x:c>
      <x:c r="F704" s="11" t="n">
        <x:v>0.4133663475513458</x:v>
      </x:c>
      <x:c r="G704" s="13" t="n">
        <x:v>7</x:v>
      </x:c>
      <x:c r="H704" s="11" t="n">
        <x:v>0.1752634197473526</x:v>
      </x:c>
      <x:c r="I704" s="11" t="n">
        <x:v>0.1811360865831375</x:v>
      </x:c>
      <x:c r="J704" s="24" t="n">
        <x:v>134.1739903073758</x:v>
      </x:c>
      <x:c r="K704" s="24" t="n">
        <x:v>151.46542406082153</x:v>
      </x:c>
      <x:c r="L704" s="11" t="n">
        <x:v>0.5222772359848022</x:v>
      </x:c>
      <x:c r="M704" s="11" t="n">
        <x:v>0.0999393239617347</x:v>
      </x:c>
    </x:row>
    <x:row r="705" ht="22" customHeight="1">
      <x:c r="A705" s="17" t="str">
        <x:f>"08109700"</x:f>
        <x:v>08109700</x:v>
      </x:c>
      <x:c r="B705" s="13" t="n">
        <x:v>42</x:v>
      </x:c>
      <x:c r="C705" s="22" t="b">
        <x:v>0</x:v>
      </x:c>
      <x:c r="D705" s="11" t="n">
        <x:v>0.03060380493601157</x:v>
      </x:c>
      <x:c r="E705" s="11" t="n">
        <x:v>0.00018215673965936668</x:v>
      </x:c>
      <x:c r="F705" s="11" t="n">
        <x:v>0.5310173630714417</x:v>
      </x:c>
      <x:c r="G705" s="13" t="n">
        <x:v>6</x:v>
      </x:c>
      <x:c r="H705" s="11" t="n">
        <x:v>0.4205257296562195</x:v>
      </x:c>
      <x:c r="I705" s="11" t="n">
        <x:v>0.502309262752533</x:v>
      </x:c>
      <x:c r="J705" s="24" t="n">
        <x:v>137.10924888402224</x:v>
      </x:c>
      <x:c r="K705" s="24" t="n">
        <x:v>153.8404061794281</x:v>
      </x:c>
      <x:c r="L705" s="11" t="n">
        <x:v>0.655086874961853</x:v>
      </x:c>
      <x:c r="M705" s="11" t="n">
        <x:v>0.0999332070350647</x:v>
      </x:c>
    </x:row>
    <x:row r="706" ht="22" customHeight="1">
      <x:c r="A706" s="17" t="str">
        <x:f>"08150800"</x:f>
        <x:v>08150800</x:v>
      </x:c>
      <x:c r="B706" s="13" t="n">
        <x:v>42</x:v>
      </x:c>
      <x:c r="C706" s="22" t="b">
        <x:v>1</x:v>
      </x:c>
      <x:c r="D706" s="11" t="n">
        <x:v>0.012376237660646402</x:v>
      </x:c>
      <x:c r="E706" s="11" t="n">
        <x:v>0.0003910463856299999</x:v>
      </x:c>
      <x:c r="F706" s="11" t="n">
        <x:v>0.2079207897186279</x:v>
      </x:c>
      <x:c r="G706" s="13" t="n">
        <x:v>7</x:v>
      </x:c>
      <x:c r="H706" s="11" t="n">
        <x:v>0.6180915236473083</x:v>
      </x:c>
      <x:c r="I706" s="11" t="n">
        <x:v>0.6272567510604858</x:v>
      </x:c>
      <x:c r="J706" s="24" t="n">
        <x:v>136.94173715170473</x:v>
      </x:c>
      <x:c r="K706" s="24" t="n">
        <x:v>146.05514240264893</x:v>
      </x:c>
      <x:c r="L706" s="11" t="n">
        <x:v>0.2772277295589447</x:v>
      </x:c>
      <x:c r="M706" s="11" t="n">
        <x:v>0.0999393239617347</x:v>
      </x:c>
    </x:row>
    <x:row r="707" ht="22" customHeight="1">
      <x:c r="A707" s="17" t="str">
        <x:f>"08150800"</x:f>
        <x:v>08150800</x:v>
      </x:c>
      <x:c r="B707" s="13" t="n">
        <x:v>42</x:v>
      </x:c>
      <x:c r="C707" s="22" t="b">
        <x:v>0</x:v>
      </x:c>
      <x:c r="D707" s="11" t="n">
        <x:v>0.012406947867323867</x:v>
      </x:c>
      <x:c r="E707" s="11" t="n">
        <x:v>0.0004992443961479</x:v>
      </x:c>
      <x:c r="F707" s="11" t="n">
        <x:v>0.1885856091976165</x:v>
      </x:c>
      <x:c r="G707" s="13" t="n">
        <x:v>5</x:v>
      </x:c>
      <x:c r="H707" s="11" t="n">
        <x:v>0.6416716575622559</x:v>
      </x:c>
      <x:c r="I707" s="11" t="n">
        <x:v>0.6491425037384033</x:v>
      </x:c>
      <x:c r="J707" s="24" t="n">
        <x:v>137.93412969075143</x:v>
      </x:c>
      <x:c r="K707" s="24" t="n">
        <x:v>148.81832551956177</x:v>
      </x:c>
      <x:c r="L707" s="11" t="n">
        <x:v>0.270471453666687</x:v>
      </x:c>
      <x:c r="M707" s="11" t="n">
        <x:v>0.0999332070350647</x:v>
      </x:c>
    </x:row>
    <x:row r="708" ht="22" customHeight="1">
      <x:c r="A708" s="17" t="str">
        <x:f>"08158700"</x:f>
        <x:v>08158700</x:v>
      </x:c>
      <x:c r="B708" s="13" t="n">
        <x:v>42</x:v>
      </x:c>
      <x:c r="C708" s="22" t="b">
        <x:v>1</x:v>
      </x:c>
      <x:c r="D708" s="11" t="n">
        <x:v>0.0148514853790402</x:v>
      </x:c>
      <x:c r="E708" s="11" t="n">
        <x:v>0.0006809600939352667</x:v>
      </x:c>
      <x:c r="F708" s="11" t="n">
        <x:v>0.2896039485931396</x:v>
      </x:c>
      <x:c r="G708" s="13" t="n">
        <x:v>3</x:v>
      </x:c>
      <x:c r="H708" s="11" t="n">
        <x:v>0.5221229791641235</x:v>
      </x:c>
      <x:c r="I708" s="11" t="n">
        <x:v>0.5331608057022095</x:v>
      </x:c>
      <x:c r="J708" s="24" t="n">
        <x:v>132.34915071260184</x:v>
      </x:c>
      <x:c r="K708" s="24" t="n">
        <x:v>147.27629113197327</x:v>
      </x:c>
      <x:c r="L708" s="11" t="n">
        <x:v>0.6930692791938782</x:v>
      </x:c>
      <x:c r="M708" s="11" t="n">
        <x:v>0.0999393239617347</x:v>
      </x:c>
    </x:row>
    <x:row r="709" ht="22" customHeight="1">
      <x:c r="A709" s="17" t="str">
        <x:f>"08158700"</x:f>
        <x:v>08158700</x:v>
      </x:c>
      <x:c r="B709" s="13" t="n">
        <x:v>42</x:v>
      </x:c>
      <x:c r="C709" s="22" t="b">
        <x:v>0</x:v>
      </x:c>
      <x:c r="D709" s="11" t="n">
        <x:v>0.033085194105903236</x:v>
      </x:c>
      <x:c r="E709" s="11" t="n">
        <x:v>0.0005194840196054</x:v>
      </x:c>
      <x:c r="F709" s="11" t="n">
        <x:v>0.4689826369285583</x:v>
      </x:c>
      <x:c r="G709" s="13" t="n">
        <x:v>10</x:v>
      </x:c>
      <x:c r="H709" s="11" t="n">
        <x:v>0.5272537469863892</x:v>
      </x:c>
      <x:c r="I709" s="11" t="n">
        <x:v>0.5272537469863892</x:v>
      </x:c>
      <x:c r="J709" s="24" t="n">
        <x:v>135.40066920686513</x:v>
      </x:c>
      <x:c r="K709" s="24" t="n">
        <x:v>155.3586037158966</x:v>
      </x:c>
      <x:c r="L709" s="11" t="n">
        <x:v>0.4689826369285583</x:v>
      </x:c>
      <x:c r="M709" s="11" t="n">
        <x:v>0.0999332070350647</x:v>
      </x:c>
    </x:row>
    <x:row r="710" ht="22" customHeight="1">
      <x:c r="A710" s="17" t="str">
        <x:f>"08158810"</x:f>
        <x:v>08158810</x:v>
      </x:c>
      <x:c r="B710" s="13" t="n">
        <x:v>42</x:v>
      </x:c>
      <x:c r="C710" s="22" t="b">
        <x:v>1</x:v>
      </x:c>
      <x:c r="D710" s="11" t="n">
        <x:v>0.010726072670270967</x:v>
      </x:c>
      <x:c r="E710" s="11" t="n">
        <x:v>0.0006405070113638667</x:v>
      </x:c>
      <x:c r="F710" s="11" t="n">
        <x:v>0.2227722704410553</x:v>
      </x:c>
      <x:c r="G710" s="13" t="n">
        <x:v>1</x:v>
      </x:c>
      <x:c r="H710" s="11" t="n">
        <x:v>0.5882721543312073</x:v>
      </x:c>
      <x:c r="I710" s="11" t="n">
        <x:v>0.6693582534790039</x:v>
      </x:c>
      <x:c r="J710" s="24" t="n">
        <x:v>137.2967804223299</x:v>
      </x:c>
      <x:c r="K710" s="24" t="n">
        <x:v>155.3868923187256</x:v>
      </x:c>
      <x:c r="L710" s="11" t="n">
        <x:v>0.8465346693992615</x:v>
      </x:c>
      <x:c r="M710" s="11" t="n">
        <x:v>0.0999393239617347</x:v>
      </x:c>
    </x:row>
    <x:row r="711" ht="22" customHeight="1">
      <x:c r="A711" s="17" t="str">
        <x:f>"08158810"</x:f>
        <x:v>08158810</x:v>
      </x:c>
      <x:c r="B711" s="13" t="n">
        <x:v>42</x:v>
      </x:c>
      <x:c r="C711" s="22" t="b">
        <x:v>0</x:v>
      </x:c>
      <x:c r="D711" s="11" t="n">
        <x:v>0.02729528521498037</x:v>
      </x:c>
      <x:c r="E711" s="11" t="n">
        <x:v>0.0005936960418087333</x:v>
      </x:c>
      <x:c r="F711" s="11" t="n">
        <x:v>0.320099264383316</x:v>
      </x:c>
      <x:c r="G711" s="13" t="n">
        <x:v>8</x:v>
      </x:c>
      <x:c r="H711" s="11" t="n">
        <x:v>0.5784246921539307</x:v>
      </x:c>
      <x:c r="I711" s="11" t="n">
        <x:v>0.5816277861595154</x:v>
      </x:c>
      <x:c r="J711" s="24" t="n">
        <x:v>135.43925604131073</x:v>
      </x:c>
      <x:c r="K711" s="24" t="n">
        <x:v>148.39901494979858</x:v>
      </x:c>
      <x:c r="L711" s="11" t="n">
        <x:v>0.3473945558071136</x:v>
      </x:c>
      <x:c r="M711" s="11" t="n">
        <x:v>0.0999332070350647</x:v>
      </x:c>
    </x:row>
    <x:row r="712" ht="22" customHeight="1">
      <x:c r="A712" s="17" t="str">
        <x:f>"08164000"</x:f>
        <x:v>08164000</x:v>
      </x:c>
      <x:c r="B712" s="13" t="n">
        <x:v>42</x:v>
      </x:c>
      <x:c r="C712" s="22" t="b">
        <x:v>1</x:v>
      </x:c>
      <x:c r="D712" s="11" t="n">
        <x:v>0.024752475321292832</x:v>
      </x:c>
      <x:c r="E712" s="11" t="n">
        <x:v>0.0004921790581040999</x:v>
      </x:c>
      <x:c r="F712" s="11" t="n">
        <x:v>0.344059407711029</x:v>
      </x:c>
      <x:c r="G712" s="13" t="n">
        <x:v>7</x:v>
      </x:c>
      <x:c r="H712" s="11" t="n">
        <x:v>0.0612954162061214</x:v>
      </x:c>
      <x:c r="I712" s="11" t="n">
        <x:v>0.0644406080245971</x:v>
      </x:c>
      <x:c r="J712" s="24" t="n">
        <x:v>140.27313605882227</x:v>
      </x:c>
      <x:c r="K712" s="24" t="n">
        <x:v>156.4963719844818</x:v>
      </x:c>
      <x:c r="L712" s="11" t="n">
        <x:v>0.4529702961444855</x:v>
      </x:c>
      <x:c r="M712" s="11" t="n">
        <x:v>0.0999393239617347</x:v>
      </x:c>
    </x:row>
    <x:row r="713" ht="22" customHeight="1">
      <x:c r="A713" s="17" t="str">
        <x:f>"08164000"</x:f>
        <x:v>08164000</x:v>
      </x:c>
      <x:c r="B713" s="13" t="n">
        <x:v>42</x:v>
      </x:c>
      <x:c r="C713" s="22" t="b">
        <x:v>0</x:v>
      </x:c>
      <x:c r="D713" s="11" t="n">
        <x:v>0.021505376013616632</x:v>
      </x:c>
      <x:c r="E713" s="11" t="n">
        <x:v>0.0002968480087777333</x:v>
      </x:c>
      <x:c r="F713" s="11" t="n">
        <x:v>0.3697270452976227</x:v>
      </x:c>
      <x:c r="G713" s="13" t="n">
        <x:v>10</x:v>
      </x:c>
      <x:c r="H713" s="11" t="n">
        <x:v>0.1138687506318092</x:v>
      </x:c>
      <x:c r="I713" s="11" t="n">
        <x:v>0.1138687506318092</x:v>
      </x:c>
      <x:c r="J713" s="24" t="n">
        <x:v>135.6262776311487</x:v>
      </x:c>
      <x:c r="K713" s="24" t="n">
        <x:v>148.61959648132324</x:v>
      </x:c>
      <x:c r="L713" s="11" t="n">
        <x:v>0.3697270452976227</x:v>
      </x:c>
      <x:c r="M713" s="11" t="n">
        <x:v>0.0999332070350647</x:v>
      </x:c>
    </x:row>
    <x:row r="714" ht="22" customHeight="1">
      <x:c r="A714" s="17" t="str">
        <x:f>"08164300"</x:f>
        <x:v>08164300</x:v>
      </x:c>
      <x:c r="B714" s="13" t="n">
        <x:v>42</x:v>
      </x:c>
      <x:c r="C714" s="22" t="b">
        <x:v>1</x:v>
      </x:c>
      <x:c r="D714" s="11" t="n">
        <x:v>0.04537953746815517</x:v>
      </x:c>
      <x:c r="E714" s="11" t="n">
        <x:v>0.0002696871621689</x:v>
      </x:c>
      <x:c r="F714" s="11" t="n">
        <x:v>0.4232673346996307</x:v>
      </x:c>
      <x:c r="G714" s="13" t="n">
        <x:v>7</x:v>
      </x:c>
      <x:c r="H714" s="11" t="n">
        <x:v>0.2533225119113922</x:v>
      </x:c>
      <x:c r="I714" s="11" t="n">
        <x:v>0.2779271900653839</x:v>
      </x:c>
      <x:c r="J714" s="24" t="n">
        <x:v>137.43402804713696</x:v>
      </x:c>
      <x:c r="K714" s="24" t="n">
        <x:v>153.19909048080444</x:v>
      </x:c>
      <x:c r="L714" s="11" t="n">
        <x:v>0.5173267126083374</x:v>
      </x:c>
      <x:c r="M714" s="11" t="n">
        <x:v>0.0999393239617347</x:v>
      </x:c>
    </x:row>
    <x:row r="715" ht="22" customHeight="1">
      <x:c r="A715" s="17" t="str">
        <x:f>"08164300"</x:f>
        <x:v>08164300</x:v>
      </x:c>
      <x:c r="B715" s="13" t="n">
        <x:v>42</x:v>
      </x:c>
      <x:c r="C715" s="22" t="b">
        <x:v>0</x:v>
      </x:c>
      <x:c r="D715" s="11" t="n">
        <x:v>0.021505376013616632</x:v>
      </x:c>
      <x:c r="E715" s="11" t="n">
        <x:v>0.0002563687400348792</x:v>
      </x:c>
      <x:c r="F715" s="11" t="n">
        <x:v>0.4243176281452179</x:v>
      </x:c>
      <x:c r="G715" s="13" t="n">
        <x:v>5</x:v>
      </x:c>
      <x:c r="H715" s="11" t="n">
        <x:v>0.3287241458892822</x:v>
      </x:c>
      <x:c r="I715" s="11" t="n">
        <x:v>0.3812274038791656</x:v>
      </x:c>
      <x:c r="J715" s="24" t="n">
        <x:v>137.98800061270595</x:v>
      </x:c>
      <x:c r="K715" s="24" t="n">
        <x:v>155.51601004600525</x:v>
      </x:c>
      <x:c r="L715" s="11" t="n">
        <x:v>0.5880893468856812</x:v>
      </x:c>
      <x:c r="M715" s="11" t="n">
        <x:v>0.0999332070350647</x:v>
      </x:c>
    </x:row>
    <x:row r="716" ht="22" customHeight="1">
      <x:c r="A716" s="17" t="str">
        <x:f>"08164600"</x:f>
        <x:v>08164600</x:v>
      </x:c>
      <x:c r="B716" s="13" t="n">
        <x:v>42</x:v>
      </x:c>
      <x:c r="C716" s="22" t="b">
        <x:v>1</x:v>
      </x:c>
      <x:c r="D716" s="11" t="n">
        <x:v>0.0214521456509828</x:v>
      </x:c>
      <x:c r="E716" s="11" t="n">
        <x:v>0.00035059330790920004</x:v>
      </x:c>
      <x:c r="F716" s="11" t="n">
        <x:v>0.3366336524486542</x:v>
      </x:c>
      <x:c r="G716" s="13" t="n">
        <x:v>8</x:v>
      </x:c>
      <x:c r="H716" s="11" t="n">
        <x:v>0.2083800584077835</x:v>
      </x:c>
      <x:c r="I716" s="11" t="n">
        <x:v>0.2623519003391266</x:v>
      </x:c>
      <x:c r="J716" s="24" t="n">
        <x:v>135.97202373482287</x:v>
      </x:c>
      <x:c r="K716" s="24" t="n">
        <x:v>150.4331624507904</x:v>
      </x:c>
      <x:c r="L716" s="11" t="n">
        <x:v>0.396039605140686</x:v>
      </x:c>
      <x:c r="M716" s="11" t="n">
        <x:v>0.0999393239617347</x:v>
      </x:c>
    </x:row>
    <x:row r="717" ht="22" customHeight="1">
      <x:c r="A717" s="17" t="str">
        <x:f>"08164600"</x:f>
        <x:v>08164600</x:v>
      </x:c>
      <x:c r="B717" s="13" t="n">
        <x:v>42</x:v>
      </x:c>
      <x:c r="C717" s="22" t="b">
        <x:v>0</x:v>
      </x:c>
      <x:c r="D717" s="11" t="n">
        <x:v>0.042183622717857305</x:v>
      </x:c>
      <x:c r="E717" s="11" t="n">
        <x:v>0.00045201856604149996</x:v>
      </x:c>
      <x:c r="F717" s="11" t="n">
        <x:v>0.4367245733737945</x:v>
      </x:c>
      <x:c r="G717" s="13" t="n">
        <x:v>9</x:v>
      </x:c>
      <x:c r="H717" s="11" t="n">
        <x:v>0.2749015688896179</x:v>
      </x:c>
      <x:c r="I717" s="11" t="n">
        <x:v>0.2839213907718658</x:v>
      </x:c>
      <x:c r="J717" s="24" t="n">
        <x:v>137.40920602995902</x:v>
      </x:c>
      <x:c r="K717" s="24" t="n">
        <x:v>152.4900107383728</x:v>
      </x:c>
      <x:c r="L717" s="11" t="n">
        <x:v>0.4615384638309479</x:v>
      </x:c>
      <x:c r="M717" s="11" t="n">
        <x:v>0.0999332070350647</x:v>
      </x:c>
    </x:row>
    <x:row r="718" ht="22" customHeight="1">
      <x:c r="A718" s="17" t="str">
        <x:f>"08165300"</x:f>
        <x:v>08165300</x:v>
      </x:c>
      <x:c r="B718" s="13" t="n">
        <x:v>42</x:v>
      </x:c>
      <x:c r="C718" s="22" t="b">
        <x:v>1</x:v>
      </x:c>
      <x:c r="D718" s="11" t="n">
        <x:v>0.0041254125535488</x:v>
      </x:c>
      <x:c r="E718" s="11" t="n">
        <x:v>0.0003168824187014</x:v>
      </x:c>
      <x:c r="F718" s="11" t="n">
        <x:v>0.1509900987148285</x:v>
      </x:c>
      <x:c r="G718" s="13" t="n">
        <x:v>3</x:v>
      </x:c>
      <x:c r="H718" s="11" t="n">
        <x:v>0.016362939029932</x:v>
      </x:c>
      <x:c r="I718" s="11" t="n">
        <x:v>0.0186965428292751</x:v>
      </x:c>
      <x:c r="J718" s="24" t="n">
        <x:v>134.79325308743864</x:v>
      </x:c>
      <x:c r="K718" s="24" t="n">
        <x:v>140.16624331474304</x:v>
      </x:c>
      <x:c r="L718" s="11" t="n">
        <x:v>0.3143564462661743</x:v>
      </x:c>
      <x:c r="M718" s="11" t="n">
        <x:v>0.0999393239617347</x:v>
      </x:c>
    </x:row>
    <x:row r="719" ht="22" customHeight="1">
      <x:c r="A719" s="17" t="str">
        <x:f>"08165300"</x:f>
        <x:v>08165300</x:v>
      </x:c>
      <x:c r="B719" s="13" t="n">
        <x:v>42</x:v>
      </x:c>
      <x:c r="C719" s="22" t="b">
        <x:v>0</x:v>
      </x:c>
      <x:c r="D719" s="11" t="n">
        <x:v>0.02729528521498037</x:v>
      </x:c>
      <x:c r="E719" s="11" t="n">
        <x:v>0.0008568112971260667</x:v>
      </x:c>
      <x:c r="F719" s="11" t="n">
        <x:v>0.2258064448833465</x:v>
      </x:c>
      <x:c r="G719" s="13" t="n">
        <x:v>4</x:v>
      </x:c>
      <x:c r="H719" s="11" t="n">
        <x:v>0.0161274410784244</x:v>
      </x:c>
      <x:c r="I719" s="11" t="n">
        <x:v>0.0229398105293512</x:v>
      </x:c>
      <x:c r="J719" s="24" t="n">
        <x:v>137.78980639018118</x:v>
      </x:c>
      <x:c r="K719" s="24" t="n">
        <x:v>148.67067193984985</x:v>
      </x:c>
      <x:c r="L719" s="11" t="n">
        <x:v>0.3176178634166717</x:v>
      </x:c>
      <x:c r="M719" s="11" t="n">
        <x:v>0.0999332070350647</x:v>
      </x:c>
    </x:row>
    <x:row r="720" ht="22" customHeight="1">
      <x:c r="A720" s="17" t="str">
        <x:f>"08171300"</x:f>
        <x:v>08171300</x:v>
      </x:c>
      <x:c r="B720" s="13" t="n">
        <x:v>42</x:v>
      </x:c>
      <x:c r="C720" s="22" t="b">
        <x:v>1</x:v>
      </x:c>
      <x:c r="D720" s="11" t="n">
        <x:v>0.018151815359791063</x:v>
      </x:c>
      <x:c r="E720" s="11" t="n">
        <x:v>0.0003708198491949</x:v>
      </x:c>
      <x:c r="F720" s="11" t="n">
        <x:v>0.2351485192775726</x:v>
      </x:c>
      <x:c r="G720" s="13" t="n">
        <x:v>2</x:v>
      </x:c>
      <x:c r="H720" s="11" t="n">
        <x:v>0.3593911528587341</x:v>
      </x:c>
      <x:c r="I720" s="11" t="n">
        <x:v>0.3709662556648254</x:v>
      </x:c>
      <x:c r="J720" s="24" t="n">
        <x:v>138.42733535077423</x:v>
      </x:c>
      <x:c r="K720" s="24" t="n">
        <x:v>151.96140265464783</x:v>
      </x:c>
      <x:c r="L720" s="11" t="n">
        <x:v>0.6534653306007385</x:v>
      </x:c>
      <x:c r="M720" s="11" t="n">
        <x:v>0.0999393239617347</x:v>
      </x:c>
    </x:row>
    <x:row r="721" ht="22" customHeight="1">
      <x:c r="A721" s="17" t="str">
        <x:f>"08171300"</x:f>
        <x:v>08171300</x:v>
      </x:c>
      <x:c r="B721" s="13" t="n">
        <x:v>42</x:v>
      </x:c>
      <x:c r="C721" s="22" t="b">
        <x:v>0</x:v>
      </x:c>
      <x:c r="D721" s="11" t="n">
        <x:v>0.031430934555828495</x:v>
      </x:c>
      <x:c r="E721" s="11" t="n">
        <x:v>0.00032383419844936664</x:v>
      </x:c>
      <x:c r="F721" s="11" t="n">
        <x:v>0.3722084462642669</x:v>
      </x:c>
      <x:c r="G721" s="13" t="n">
        <x:v>2</x:v>
      </x:c>
      <x:c r="H721" s="11" t="n">
        <x:v>0.4429249763488769</x:v>
      </x:c>
      <x:c r="I721" s="11" t="n">
        <x:v>0.453458696603775</x:v>
      </x:c>
      <x:c r="J721" s="24" t="n">
        <x:v>135.37467864807695</x:v>
      </x:c>
      <x:c r="K721" s="24" t="n">
        <x:v>157.29013466835022</x:v>
      </x:c>
      <x:c r="L721" s="11" t="n">
        <x:v>0.7270471453666687</x:v>
      </x:c>
      <x:c r="M721" s="11" t="n">
        <x:v>0.0999332070350647</x:v>
      </x:c>
    </x:row>
    <x:row r="722" ht="22" customHeight="1">
      <x:c r="A722" s="17" t="str">
        <x:f>"08175000"</x:f>
        <x:v>08175000</x:v>
      </x:c>
      <x:c r="B722" s="13" t="n">
        <x:v>42</x:v>
      </x:c>
      <x:c r="C722" s="22" t="b">
        <x:v>1</x:v>
      </x:c>
      <x:c r="D722" s="11" t="n">
        <x:v>0.028052806233366267</x:v>
      </x:c>
      <x:c r="E722" s="11" t="n">
        <x:v>0.0005933117548314</x:v>
      </x:c>
      <x:c r="F722" s="11" t="n">
        <x:v>0.4108910858631134</x:v>
      </x:c>
      <x:c r="G722" s="13" t="n">
        <x:v>1</x:v>
      </x:c>
      <x:c r="H722" s="11" t="n">
        <x:v>0.0281874816864728</x:v>
      </x:c>
      <x:c r="I722" s="11" t="n">
        <x:v>0.0692269802093505</x:v>
      </x:c>
      <x:c r="J722" s="24" t="n">
        <x:v>135.51387638878077</x:v>
      </x:c>
      <x:c r="K722" s="24" t="n">
        <x:v>168.40513944625854</x:v>
      </x:c>
      <x:c r="L722" s="11" t="n">
        <x:v>0.915841579437256</x:v>
      </x:c>
      <x:c r="M722" s="11" t="n">
        <x:v>0.0999393239617347</x:v>
      </x:c>
    </x:row>
    <x:row r="723" ht="22" customHeight="1">
      <x:c r="A723" s="17" t="str">
        <x:f>"08175000"</x:f>
        <x:v>08175000</x:v>
      </x:c>
      <x:c r="B723" s="13" t="n">
        <x:v>42</x:v>
      </x:c>
      <x:c r="C723" s="22" t="b">
        <x:v>0</x:v>
      </x:c>
      <x:c r="D723" s="11" t="n">
        <x:v>0.020678246393799702</x:v>
      </x:c>
      <x:c r="E723" s="11" t="n">
        <x:v>0.00035756692523133336</x:v>
      </x:c>
      <x:c r="F723" s="11" t="n">
        <x:v>0.3300248086452484</x:v>
      </x:c>
      <x:c r="G723" s="13" t="n">
        <x:v>3</x:v>
      </x:c>
      <x:c r="H723" s="11" t="n">
        <x:v>0.0774421244859695</x:v>
      </x:c>
      <x:c r="I723" s="11" t="n">
        <x:v>0.1092225238680839</x:v>
      </x:c>
      <x:c r="J723" s="24" t="n">
        <x:v>137.66127891745418</x:v>
      </x:c>
      <x:c r="K723" s="24" t="n">
        <x:v>153.51797223091125</x:v>
      </x:c>
      <x:c r="L723" s="11" t="n">
        <x:v>0.6426799297332764</x:v>
      </x:c>
      <x:c r="M723" s="11" t="n">
        <x:v>0.0999332070350647</x:v>
      </x:c>
    </x:row>
    <x:row r="724" ht="22" customHeight="1">
      <x:c r="A724" s="17" t="str">
        <x:f>"08189500"</x:f>
        <x:v>08189500</x:v>
      </x:c>
      <x:c r="B724" s="13" t="n">
        <x:v>42</x:v>
      </x:c>
      <x:c r="C724" s="22" t="b">
        <x:v>1</x:v>
      </x:c>
      <x:c r="D724" s="11" t="n">
        <x:v>0.016501650524636067</x:v>
      </x:c>
      <x:c r="E724" s="11" t="n">
        <x:v>0.0004314994730520334</x:v>
      </x:c>
      <x:c r="F724" s="11" t="n">
        <x:v>0.3044554591178894</x:v>
      </x:c>
      <x:c r="G724" s="13" t="n">
        <x:v>9</x:v>
      </x:c>
      <x:c r="H724" s="11" t="n">
        <x:v>0.0496367327868938</x:v>
      </x:c>
      <x:c r="I724" s="11" t="n">
        <x:v>0.052395936101675</x:v>
      </x:c>
      <x:c r="J724" s="24" t="n">
        <x:v>133.38465145416558</x:v>
      </x:c>
      <x:c r="K724" s="24" t="n">
        <x:v>147.90540981292725</x:v>
      </x:c>
      <x:c r="L724" s="11" t="n">
        <x:v>0.3391089141368866</x:v>
      </x:c>
      <x:c r="M724" s="11" t="n">
        <x:v>0.0999393239617347</x:v>
      </x:c>
    </x:row>
    <x:row r="725" ht="22" customHeight="1">
      <x:c r="A725" s="17" t="str">
        <x:f>"08189500"</x:f>
        <x:v>08189500</x:v>
      </x:c>
      <x:c r="B725" s="13" t="n">
        <x:v>42</x:v>
      </x:c>
      <x:c r="C725" s="22" t="b">
        <x:v>0</x:v>
      </x:c>
      <x:c r="D725" s="11" t="n">
        <x:v>0.023159635874132233</x:v>
      </x:c>
      <x:c r="E725" s="11" t="n">
        <x:v>0.00016866364118556666</x:v>
      </x:c>
      <x:c r="F725" s="11" t="n">
        <x:v>0.4168734550476074</x:v>
      </x:c>
      <x:c r="G725" s="13" t="n">
        <x:v>8</x:v>
      </x:c>
      <x:c r="H725" s="11" t="n">
        <x:v>0.0823587775230407</x:v>
      </x:c>
      <x:c r="I725" s="11" t="n">
        <x:v>0.4260689914226532</x:v>
      </x:c>
      <x:c r="J725" s="24" t="n">
        <x:v>138.71191690582782</x:v>
      </x:c>
      <x:c r="K725" s="24" t="n">
        <x:v>153.02145743370056</x:v>
      </x:c>
      <x:c r="L725" s="11" t="n">
        <x:v>0.503722071647644</x:v>
      </x:c>
      <x:c r="M725" s="11" t="n">
        <x:v>0.0999332070350647</x:v>
      </x:c>
    </x:row>
    <x:row r="726" ht="22" customHeight="1">
      <x:c r="A726" s="17" t="str">
        <x:f>"08190000"</x:f>
        <x:v>08190000</x:v>
      </x:c>
      <x:c r="B726" s="13" t="n">
        <x:v>42</x:v>
      </x:c>
      <x:c r="C726" s="22" t="b">
        <x:v>1</x:v>
      </x:c>
      <x:c r="D726" s="11" t="n">
        <x:v>0.0239273933693766</x:v>
      </x:c>
      <x:c r="E726" s="11" t="n">
        <x:v>0.0002966558677144</x:v>
      </x:c>
      <x:c r="F726" s="11" t="n">
        <x:v>0.2896039485931396</x:v>
      </x:c>
      <x:c r="G726" s="13" t="n">
        <x:v>2</x:v>
      </x:c>
      <x:c r="H726" s="11" t="n">
        <x:v>0.1468396782875061</x:v>
      </x:c>
      <x:c r="I726" s="11" t="n">
        <x:v>0.1585227251052856</x:v>
      </x:c>
      <x:c r="J726" s="24" t="n">
        <x:v>140.92816598620266</x:v>
      </x:c>
      <x:c r="K726" s="24" t="n">
        <x:v>153.9123215675354</x:v>
      </x:c>
      <x:c r="L726" s="11" t="n">
        <x:v>0.6188119053840637</x:v>
      </x:c>
      <x:c r="M726" s="11" t="n">
        <x:v>0.0999393239617347</x:v>
      </x:c>
    </x:row>
    <x:row r="727" ht="22" customHeight="1">
      <x:c r="A727" s="17" t="str">
        <x:f>"08190000"</x:f>
        <x:v>08190000</x:v>
      </x:c>
      <x:c r="B727" s="13" t="n">
        <x:v>42</x:v>
      </x:c>
      <x:c r="C727" s="22" t="b">
        <x:v>0</x:v>
      </x:c>
      <x:c r="D727" s="11" t="n">
        <x:v>0.013234077642361236</x:v>
      </x:c>
      <x:c r="E727" s="11" t="n">
        <x:v>0.0005127374703685</x:v>
      </x:c>
      <x:c r="F727" s="11" t="n">
        <x:v>0.2729528546333313</x:v>
      </x:c>
      <x:c r="G727" s="13" t="n">
        <x:v>6</x:v>
      </x:c>
      <x:c r="H727" s="11" t="n">
        <x:v>0.2006137818098068</x:v>
      </x:c>
      <x:c r="I727" s="11" t="n">
        <x:v>0.203630268573761</x:v>
      </x:c>
      <x:c r="J727" s="24" t="n">
        <x:v>138.02403406519443</x:v>
      </x:c>
      <x:c r="K727" s="24" t="n">
        <x:v>150.14159154891968</x:v>
      </x:c>
      <x:c r="L727" s="11" t="n">
        <x:v>0.357320100069046</x:v>
      </x:c>
      <x:c r="M727" s="11" t="n">
        <x:v>0.0999332070350647</x:v>
      </x:c>
    </x:row>
    <x:row r="728" ht="22" customHeight="1">
      <x:c r="A728" s="17" t="str">
        <x:f>"08190500"</x:f>
        <x:v>08190500</x:v>
      </x:c>
      <x:c r="B728" s="13" t="n">
        <x:v>42</x:v>
      </x:c>
      <x:c r="C728" s="22" t="b">
        <x:v>1</x:v>
      </x:c>
      <x:c r="D728" s="11" t="n">
        <x:v>0.022277227602899033</x:v>
      </x:c>
      <x:c r="E728" s="11" t="n">
        <x:v>0.00016855447999353346</x:v>
      </x:c>
      <x:c r="F728" s="11" t="n">
        <x:v>0.1881188154220581</x:v>
      </x:c>
      <x:c r="G728" s="13" t="n">
        <x:v>8</x:v>
      </x:c>
      <x:c r="H728" s="11" t="n">
        <x:v>0.1014560088515281</x:v>
      </x:c>
      <x:c r="I728" s="11" t="n">
        <x:v>0.1110573559999466</x:v>
      </x:c>
      <x:c r="J728" s="24" t="n">
        <x:v>136.73096515238285</x:v>
      </x:c>
      <x:c r="K728" s="24" t="n">
        <x:v>144.8505744934082</x:v>
      </x:c>
      <x:c r="L728" s="11" t="n">
        <x:v>0.2153465300798416</x:v>
      </x:c>
      <x:c r="M728" s="11" t="n">
        <x:v>0.0999393239617347</x:v>
      </x:c>
    </x:row>
    <x:row r="729" ht="22" customHeight="1">
      <x:c r="A729" s="17" t="str">
        <x:f>"08190500"</x:f>
        <x:v>08190500</x:v>
      </x:c>
      <x:c r="B729" s="13" t="n">
        <x:v>42</x:v>
      </x:c>
      <x:c r="C729" s="22" t="b">
        <x:v>0</x:v>
      </x:c>
      <x:c r="D729" s="11" t="n">
        <x:v>0.020678246704240566</x:v>
      </x:c>
      <x:c r="E729" s="11" t="n">
        <x:v>0.0004047927359351333</x:v>
      </x:c>
      <x:c r="F729" s="11" t="n">
        <x:v>0.178660050034523</x:v>
      </x:c>
      <x:c r="G729" s="13" t="n">
        <x:v>1</x:v>
      </x:c>
      <x:c r="H729" s="11" t="n">
        <x:v>0.1325341016054153</x:v>
      </x:c>
      <x:c r="I729" s="11" t="n">
        <x:v>0.1351567506790161</x:v>
      </x:c>
      <x:c r="J729" s="24" t="n">
        <x:v>138.54327056277543</x:v>
      </x:c>
      <x:c r="K729" s="24" t="n">
        <x:v>146.50934028625488</x:v>
      </x:c>
      <x:c r="L729" s="11" t="n">
        <x:v>0.5359801650047302</x:v>
      </x:c>
      <x:c r="M729" s="11" t="n">
        <x:v>0.0999332070350647</x:v>
      </x:c>
    </x:row>
    <x:row r="730" ht="22" customHeight="1">
      <x:c r="A730" s="17" t="str">
        <x:f>"08194200"</x:f>
        <x:v>08194200</x:v>
      </x:c>
      <x:c r="B730" s="13" t="n">
        <x:v>42</x:v>
      </x:c>
      <x:c r="C730" s="22" t="b">
        <x:v>1</x:v>
      </x:c>
      <x:c r="D730" s="11" t="n">
        <x:v>0.024752475942174532</x:v>
      </x:c>
      <x:c r="E730" s="11" t="n">
        <x:v>0.0002831715197922667</x:v>
      </x:c>
      <x:c r="F730" s="11" t="n">
        <x:v>0.4084158539772033</x:v>
      </x:c>
      <x:c r="G730" s="13" t="n">
        <x:v>9</x:v>
      </x:c>
      <x:c r="H730" s="11" t="n">
        <x:v>1.2659538984298706</x:v>
      </x:c>
      <x:c r="I730" s="11" t="n">
        <x:v>1.2904235124588013</x:v>
      </x:c>
      <x:c r="J730" s="24" t="n">
        <x:v>135.38306498434395</x:v>
      </x:c>
      <x:c r="K730" s="24" t="n">
        <x:v>151.53512406349182</x:v>
      </x:c>
      <x:c r="L730" s="11" t="n">
        <x:v>0.4356435537338257</x:v>
      </x:c>
      <x:c r="M730" s="11" t="n">
        <x:v>0.0999393239617347</x:v>
      </x:c>
    </x:row>
    <x:row r="731" ht="22" customHeight="1">
      <x:c r="A731" s="17" t="str">
        <x:f>"08194200"</x:f>
        <x:v>08194200</x:v>
      </x:c>
      <x:c r="B731" s="13" t="n">
        <x:v>42</x:v>
      </x:c>
      <x:c r="C731" s="22" t="b">
        <x:v>0</x:v>
      </x:c>
      <x:c r="D731" s="11" t="n">
        <x:v>0.03970223292708391</x:v>
      </x:c>
      <x:c r="E731" s="11" t="n">
        <x:v>0.0003643134599163</x:v>
      </x:c>
      <x:c r="F731" s="11" t="n">
        <x:v>0.3920595645904541</x:v>
      </x:c>
      <x:c r="G731" s="13" t="n">
        <x:v>2</x:v>
      </x:c>
      <x:c r="H731" s="11" t="n">
        <x:v>1.8822156190872192</x:v>
      </x:c>
      <x:c r="I731" s="11" t="n">
        <x:v>1.9479697942733765</x:v>
      </x:c>
      <x:c r="J731" s="24" t="n">
        <x:v>134.00828530732542</x:v>
      </x:c>
      <x:c r="K731" s="24" t="n">
        <x:v>149.22047901153564</x:v>
      </x:c>
      <x:c r="L731" s="11" t="n">
        <x:v>0.7419354915618896</x:v>
      </x:c>
      <x:c r="M731" s="11" t="n">
        <x:v>0.0999332070350647</x:v>
      </x:c>
    </x:row>
    <x:row r="732" ht="22" customHeight="1">
      <x:c r="A732" s="17" t="str">
        <x:f>"08195000"</x:f>
        <x:v>08195000</x:v>
      </x:c>
      <x:c r="B732" s="13" t="n">
        <x:v>42</x:v>
      </x:c>
      <x:c r="C732" s="22" t="b">
        <x:v>1</x:v>
      </x:c>
      <x:c r="D732" s="11" t="n">
        <x:v>0.02227722791333987</x:v>
      </x:c>
      <x:c r="E732" s="11" t="n">
        <x:v>0.00042475727968846667</x:v>
      </x:c>
      <x:c r="F732" s="11" t="n">
        <x:v>0.2970297038555145</x:v>
      </x:c>
      <x:c r="G732" s="13" t="n">
        <x:v>1</x:v>
      </x:c>
      <x:c r="H732" s="11" t="n">
        <x:v>0.0740111544728279</x:v>
      </x:c>
      <x:c r="I732" s="11" t="n">
        <x:v>0.1224939748644828</x:v>
      </x:c>
      <x:c r="J732" s="24" t="n">
        <x:v>137.67293827515095</x:v>
      </x:c>
      <x:c r="K732" s="24" t="n">
        <x:v>156.341623544693</x:v>
      </x:c>
      <x:c r="L732" s="11" t="n">
        <x:v>0.9009901285171508</x:v>
      </x:c>
      <x:c r="M732" s="11" t="n">
        <x:v>0.0999393239617347</x:v>
      </x:c>
    </x:row>
    <x:row r="733" ht="22" customHeight="1">
      <x:c r="A733" s="17" t="str">
        <x:f>"08195000"</x:f>
        <x:v>08195000</x:v>
      </x:c>
      <x:c r="B733" s="13" t="n">
        <x:v>42</x:v>
      </x:c>
      <x:c r="C733" s="22" t="b">
        <x:v>0</x:v>
      </x:c>
      <x:c r="D733" s="11" t="n">
        <x:v>0.018196856913467167</x:v>
      </x:c>
      <x:c r="E733" s="11" t="n">
        <x:v>0.0002563687351842333</x:v>
      </x:c>
      <x:c r="F733" s="11" t="n">
        <x:v>0.3151364624500274</x:v>
      </x:c>
      <x:c r="G733" s="13" t="n">
        <x:v>1</x:v>
      </x:c>
      <x:c r="H733" s="11" t="n">
        <x:v>0.0994352400302887</x:v>
      </x:c>
      <x:c r="I733" s="11" t="n">
        <x:v>0.1557629555463791</x:v>
      </x:c>
      <x:c r="J733" s="24" t="n">
        <x:v>139.3696313612163</x:v>
      </x:c>
      <x:c r="K733" s="24" t="n">
        <x:v>157.66586565971375</x:v>
      </x:c>
      <x:c r="L733" s="11" t="n">
        <x:v>0.8387096524238586</x:v>
      </x:c>
      <x:c r="M733" s="11" t="n">
        <x:v>0.0999332070350647</x:v>
      </x:c>
    </x:row>
    <x:row r="734" ht="22" customHeight="1">
      <x:c r="A734" s="17" t="str">
        <x:f>"08196000"</x:f>
        <x:v>08196000</x:v>
      </x:c>
      <x:c r="B734" s="13" t="n">
        <x:v>42</x:v>
      </x:c>
      <x:c r="C734" s="22" t="b">
        <x:v>1</x:v>
      </x:c>
      <x:c r="D734" s="11" t="n">
        <x:v>0.019801980194946067</x:v>
      </x:c>
      <x:c r="E734" s="11" t="n">
        <x:v>0.00028991369860396665</x:v>
      </x:c>
      <x:c r="F734" s="11" t="n">
        <x:v>0.2326732724905014</x:v>
      </x:c>
      <x:c r="G734" s="13" t="n">
        <x:v>7</x:v>
      </x:c>
      <x:c r="H734" s="11" t="n">
        <x:v>0.0579125694930553</x:v>
      </x:c>
      <x:c r="I734" s="11" t="n">
        <x:v>0.0799390450119972</x:v>
      </x:c>
      <x:c r="J734" s="24" t="n">
        <x:v>136.7831787345931</x:v>
      </x:c>
      <x:c r="K734" s="24" t="n">
        <x:v>146.06127333641052</x:v>
      </x:c>
      <x:c r="L734" s="11" t="n">
        <x:v>0.2896039485931396</x:v>
      </x:c>
      <x:c r="M734" s="11" t="n">
        <x:v>0.0999393239617347</x:v>
      </x:c>
    </x:row>
    <x:row r="735" ht="22" customHeight="1">
      <x:c r="A735" s="17" t="str">
        <x:f>"08196000"</x:f>
        <x:v>08196000</x:v>
      </x:c>
      <x:c r="B735" s="13" t="n">
        <x:v>42</x:v>
      </x:c>
      <x:c r="C735" s="22" t="b">
        <x:v>0</x:v>
      </x:c>
      <x:c r="D735" s="11" t="n">
        <x:v>0.016542597363392433</x:v>
      </x:c>
      <x:c r="E735" s="11" t="n">
        <x:v>0.0004924978420603334</x:v>
      </x:c>
      <x:c r="F735" s="11" t="n">
        <x:v>0.2828783988952636</x:v>
      </x:c>
      <x:c r="G735" s="13" t="n">
        <x:v>1</x:v>
      </x:c>
      <x:c r="H735" s="11" t="n">
        <x:v>0.0784280523657798</x:v>
      </x:c>
      <x:c r="I735" s="11" t="n">
        <x:v>0.0972999855875969</x:v>
      </x:c>
      <x:c r="J735" s="24" t="n">
        <x:v>133.6897431211546</x:v>
      </x:c>
      <x:c r="K735" s="24" t="n">
        <x:v>146.51847791671753</x:v>
      </x:c>
      <x:c r="L735" s="11" t="n">
        <x:v>0.8114144206047058</x:v>
      </x:c>
      <x:c r="M735" s="11" t="n">
        <x:v>0.0999332070350647</x:v>
      </x:c>
    </x:row>
    <x:row r="736" ht="22" customHeight="1">
      <x:c r="A736" s="17" t="str">
        <x:f>"08198500"</x:f>
        <x:v>08198500</x:v>
      </x:c>
      <x:c r="B736" s="13" t="n">
        <x:v>42</x:v>
      </x:c>
      <x:c r="C736" s="22" t="b">
        <x:v>1</x:v>
      </x:c>
      <x:c r="D736" s="11" t="n">
        <x:v>0.017326733097434002</x:v>
      </x:c>
      <x:c r="E736" s="11" t="n">
        <x:v>0.0006877022581950667</x:v>
      </x:c>
      <x:c r="F736" s="11" t="n">
        <x:v>0.1584158390760421</x:v>
      </x:c>
      <x:c r="G736" s="13" t="n">
        <x:v>1</x:v>
      </x:c>
      <x:c r="H736" s="11" t="n">
        <x:v>0.2290269285440445</x:v>
      </x:c>
      <x:c r="I736" s="11" t="n">
        <x:v>0.2395424842834472</x:v>
      </x:c>
      <x:c r="J736" s="24" t="n">
        <x:v>136.45192210469395</x:v>
      </x:c>
      <x:c r="K736" s="24" t="n">
        <x:v>147.54300999641418</x:v>
      </x:c>
      <x:c r="L736" s="11" t="n">
        <x:v>0.8391088843345642</x:v>
      </x:c>
      <x:c r="M736" s="11" t="n">
        <x:v>0.0999393239617347</x:v>
      </x:c>
    </x:row>
    <x:row r="737" ht="22" customHeight="1">
      <x:c r="A737" s="17" t="str">
        <x:f>"08198500"</x:f>
        <x:v>08198500</x:v>
      </x:c>
      <x:c r="B737" s="13" t="n">
        <x:v>42</x:v>
      </x:c>
      <x:c r="C737" s="22" t="b">
        <x:v>0</x:v>
      </x:c>
      <x:c r="D737" s="11" t="n">
        <x:v>0.018196856913467167</x:v>
      </x:c>
      <x:c r="E737" s="11" t="n">
        <x:v>0.0007353735078746334</x:v>
      </x:c>
      <x:c r="F737" s="11" t="n">
        <x:v>0.2481389641761779</x:v>
      </x:c>
      <x:c r="G737" s="13" t="n">
        <x:v>4</x:v>
      </x:c>
      <x:c r="H737" s="11" t="n">
        <x:v>0.2407791912555694</x:v>
      </x:c>
      <x:c r="I737" s="11" t="n">
        <x:v>0.2552542984485626</x:v>
      </x:c>
      <x:c r="J737" s="24" t="n">
        <x:v>131.99318007845432</x:v>
      </x:c>
      <x:c r="K737" s="24" t="n">
        <x:v>146.09925270080566</x:v>
      </x:c>
      <x:c r="L737" s="11" t="n">
        <x:v>0.4342431724071502</x:v>
      </x:c>
      <x:c r="M737" s="11" t="n">
        <x:v>0.0999332070350647</x:v>
      </x:c>
    </x:row>
    <x:row r="738" ht="22" customHeight="1">
      <x:c r="A738" s="17" t="str">
        <x:f>"08200000"</x:f>
        <x:v>08200000</x:v>
      </x:c>
      <x:c r="B738" s="13" t="n">
        <x:v>42</x:v>
      </x:c>
      <x:c r="C738" s="22" t="b">
        <x:v>1</x:v>
      </x:c>
      <x:c r="D738" s="11" t="n">
        <x:v>0.010726072670270967</x:v>
      </x:c>
      <x:c r="E738" s="11" t="n">
        <x:v>0.0009506472270003667</x:v>
      </x:c>
      <x:c r="F738" s="11" t="n">
        <x:v>0.1435643583536148</x:v>
      </x:c>
      <x:c r="G738" s="13" t="n">
        <x:v>1</x:v>
      </x:c>
      <x:c r="H738" s="11" t="n">
        <x:v>0.3010651171207428</x:v>
      </x:c>
      <x:c r="I738" s="11" t="n">
        <x:v>0.3149603903293609</x:v>
      </x:c>
      <x:c r="J738" s="24" t="n">
        <x:v>132.6756423804909</x:v>
      </x:c>
      <x:c r="K738" s="24" t="n">
        <x:v>144.25169157981873</x:v>
      </x:c>
      <x:c r="L738" s="11" t="n">
        <x:v>0.7227723002433777</x:v>
      </x:c>
      <x:c r="M738" s="11" t="n">
        <x:v>0.0999393239617347</x:v>
      </x:c>
    </x:row>
    <x:row r="739" ht="22" customHeight="1">
      <x:c r="A739" s="17" t="str">
        <x:f>"08200000"</x:f>
        <x:v>08200000</x:v>
      </x:c>
      <x:c r="B739" s="13" t="n">
        <x:v>42</x:v>
      </x:c>
      <x:c r="C739" s="22" t="b">
        <x:v>0</x:v>
      </x:c>
      <x:c r="D739" s="11" t="n">
        <x:v>0.020678246393799702</x:v>
      </x:c>
      <x:c r="E739" s="11" t="n">
        <x:v>0.0003238341935987333</x:v>
      </x:c>
      <x:c r="F739" s="11" t="n">
        <x:v>0.270471453666687</x:v>
      </x:c>
      <x:c r="G739" s="13" t="n">
        <x:v>9</x:v>
      </x:c>
      <x:c r="H739" s="11" t="n">
        <x:v>0.3123878538608551</x:v>
      </x:c>
      <x:c r="I739" s="11" t="n">
        <x:v>0.3420466780662536</x:v>
      </x:c>
      <x:c r="J739" s="24" t="n">
        <x:v>135.196155291982</x:v>
      </x:c>
      <x:c r="K739" s="24" t="n">
        <x:v>146.9960653781891</x:v>
      </x:c>
      <x:c r="L739" s="11" t="n">
        <x:v>0.2779156267642975</x:v>
      </x:c>
      <x:c r="M739" s="11" t="n">
        <x:v>0.0999332070350647</x:v>
      </x:c>
    </x:row>
    <x:row r="740" ht="22" customHeight="1">
      <x:c r="A740" s="17" t="str">
        <x:f>"08202700"</x:f>
        <x:v>08202700</x:v>
      </x:c>
      <x:c r="B740" s="13" t="n">
        <x:v>42</x:v>
      </x:c>
      <x:c r="C740" s="22" t="b">
        <x:v>1</x:v>
      </x:c>
      <x:c r="D740" s="11" t="n">
        <x:v>0.027227722729245767</x:v>
      </x:c>
      <x:c r="E740" s="11" t="n">
        <x:v>0.0006337648277015334</x:v>
      </x:c>
      <x:c r="F740" s="11" t="n">
        <x:v>0.2029702961444854</x:v>
      </x:c>
      <x:c r="G740" s="13" t="n">
        <x:v>2</x:v>
      </x:c>
      <x:c r="H740" s="11" t="n">
        <x:v>3.0779004096984863</x:v>
      </x:c>
      <x:c r="I740" s="11" t="n">
        <x:v>3.0945863723754883</x:v>
      </x:c>
      <x:c r="J740" s="24" t="n">
        <x:v>139.524878337048</x:v>
      </x:c>
      <x:c r="K740" s="24" t="n">
        <x:v>151.32008838653564</x:v>
      </x:c>
      <x:c r="L740" s="11" t="n">
        <x:v>0.5569307208061218</x:v>
      </x:c>
      <x:c r="M740" s="11" t="n">
        <x:v>0.0999393239617347</x:v>
      </x:c>
    </x:row>
    <x:row r="741" ht="22" customHeight="1">
      <x:c r="A741" s="17" t="str">
        <x:f>"08202700"</x:f>
        <x:v>08202700</x:v>
      </x:c>
      <x:c r="B741" s="13" t="n">
        <x:v>42</x:v>
      </x:c>
      <x:c r="C741" s="22" t="b">
        <x:v>0</x:v>
      </x:c>
      <x:c r="D741" s="11" t="n">
        <x:v>0.015715467433134633</x:v>
      </x:c>
      <x:c r="E741" s="11" t="n">
        <x:v>0.0009782491251825668</x:v>
      </x:c>
      <x:c r="F741" s="11" t="n">
        <x:v>0.1761786639690399</x:v>
      </x:c>
      <x:c r="G741" s="13" t="n">
        <x:v>5</x:v>
      </x:c>
      <x:c r="H741" s="11" t="n">
        <x:v>3.027745485305786</x:v>
      </x:c>
      <x:c r="I741" s="11" t="n">
        <x:v>3.108819007873535</x:v>
      </x:c>
      <x:c r="J741" s="24" t="n">
        <x:v>133.87565714027733</x:v>
      </x:c>
      <x:c r="K741" s="24" t="n">
        <x:v>144.11453080177307</x:v>
      </x:c>
      <x:c r="L741" s="11" t="n">
        <x:v>0.2580645084381103</x:v>
      </x:c>
      <x:c r="M741" s="11" t="n">
        <x:v>0.0999332070350647</x:v>
      </x:c>
    </x:row>
    <x:row r="742" ht="22" customHeight="1">
      <x:c r="A742" s="17" t="str">
        <x:f>"08267500"</x:f>
        <x:v>08267500</x:v>
      </x:c>
      <x:c r="B742" s="13" t="n">
        <x:v>42</x:v>
      </x:c>
      <x:c r="C742" s="22" t="b">
        <x:v>1</x:v>
      </x:c>
      <x:c r="D742" s="11" t="n">
        <x:v>0.0074257426119098665</x:v>
      </x:c>
      <x:c r="E742" s="11" t="n">
        <x:v>0.0005596008656235667</x:v>
      </x:c>
      <x:c r="F742" s="11" t="n">
        <x:v>0.1831683218479156</x:v>
      </x:c>
      <x:c r="G742" s="13" t="n">
        <x:v>4</x:v>
      </x:c>
      <x:c r="H742" s="11" t="n">
        <x:v>0.022327646613121</x:v>
      </x:c>
      <x:c r="I742" s="11" t="n">
        <x:v>0.0242659263312816</x:v>
      </x:c>
      <x:c r="J742" s="24" t="n">
        <x:v>138.25656657200307</x:v>
      </x:c>
      <x:c r="K742" s="24" t="n">
        <x:v>148.33797144889832</x:v>
      </x:c>
      <x:c r="L742" s="11" t="n">
        <x:v>0.4628712832927704</x:v>
      </x:c>
      <x:c r="M742" s="11" t="n">
        <x:v>0.0999393239617347</x:v>
      </x:c>
    </x:row>
    <x:row r="743" ht="22" customHeight="1">
      <x:c r="A743" s="17" t="str">
        <x:f>"08267500"</x:f>
        <x:v>08267500</x:v>
      </x:c>
      <x:c r="B743" s="13" t="n">
        <x:v>42</x:v>
      </x:c>
      <x:c r="C743" s="22" t="b">
        <x:v>0</x:v>
      </x:c>
      <x:c r="D743" s="11" t="n">
        <x:v>0.029776675005753764</x:v>
      </x:c>
      <x:c r="E743" s="11" t="n">
        <x:v>0.0005059909405341333</x:v>
      </x:c>
      <x:c r="F743" s="11" t="n">
        <x:v>0.4044665098190307</x:v>
      </x:c>
      <x:c r="G743" s="13" t="n">
        <x:v>6</x:v>
      </x:c>
      <x:c r="H743" s="11" t="n">
        <x:v>0.4002204537391662</x:v>
      </x:c>
      <x:c r="I743" s="11" t="n">
        <x:v>0.4800696969032287</x:v>
      </x:c>
      <x:c r="J743" s="24" t="n">
        <x:v>134.93214471358806</x:v>
      </x:c>
      <x:c r="K743" s="24" t="n">
        <x:v>150.7762417793274</x:v>
      </x:c>
      <x:c r="L743" s="11" t="n">
        <x:v>0.6253101825714111</x:v>
      </x:c>
      <x:c r="M743" s="11" t="n">
        <x:v>0.0999332070350647</x:v>
      </x:c>
    </x:row>
    <x:row r="744" ht="22" customHeight="1">
      <x:c r="A744" s="17" t="str">
        <x:f>"08269000"</x:f>
        <x:v>08269000</x:v>
      </x:c>
      <x:c r="B744" s="13" t="n">
        <x:v>42</x:v>
      </x:c>
      <x:c r="C744" s="22" t="b">
        <x:v>1</x:v>
      </x:c>
      <x:c r="D744" s="11" t="n">
        <x:v>0.010726072670270967</x:v>
      </x:c>
      <x:c r="E744" s="11" t="n">
        <x:v>0.00035059331275983334</x:v>
      </x:c>
      <x:c r="F744" s="11" t="n">
        <x:v>0.2450495064258575</x:v>
      </x:c>
      <x:c r="G744" s="13" t="n">
        <x:v>8</x:v>
      </x:c>
      <x:c r="H744" s="11" t="n">
        <x:v>0.0040204096585512</x:v>
      </x:c>
      <x:c r="I744" s="11" t="n">
        <x:v>0.0041624992154538</x:v>
      </x:c>
      <x:c r="J744" s="24" t="n">
        <x:v>134.43328084796667</x:v>
      </x:c>
      <x:c r="K744" s="24" t="n">
        <x:v>143.40510249137878</x:v>
      </x:c>
      <x:c r="L744" s="11" t="n">
        <x:v>0.2846534550189972</x:v>
      </x:c>
      <x:c r="M744" s="11" t="n">
        <x:v>0.0999393239617347</x:v>
      </x:c>
    </x:row>
    <x:row r="745" ht="22" customHeight="1">
      <x:c r="A745" s="17" t="str">
        <x:f>"08269000"</x:f>
        <x:v>08269000</x:v>
      </x:c>
      <x:c r="B745" s="13" t="n">
        <x:v>42</x:v>
      </x:c>
      <x:c r="C745" s="22" t="b">
        <x:v>0</x:v>
      </x:c>
      <x:c r="D745" s="11" t="n">
        <x:v>0.03391232403616103</x:v>
      </x:c>
      <x:c r="E745" s="11" t="n">
        <x:v>0.00023612909474946667</x:v>
      </x:c>
      <x:c r="F745" s="11" t="n">
        <x:v>0.4913151264190674</x:v>
      </x:c>
      <x:c r="G745" s="13" t="n">
        <x:v>2</x:v>
      </x:c>
      <x:c r="H745" s="11" t="n">
        <x:v>0.2331076115369796</x:v>
      </x:c>
      <x:c r="I745" s="11" t="n">
        <x:v>0.3257533311843872</x:v>
      </x:c>
      <x:c r="J745" s="24" t="n">
        <x:v>132.82683904562145</x:v>
      </x:c>
      <x:c r="K745" s="24" t="n">
        <x:v>157.5983943939209</x:v>
      </x:c>
      <x:c r="L745" s="11" t="n">
        <x:v>0.9156327247619628</x:v>
      </x:c>
      <x:c r="M745" s="11" t="n">
        <x:v>0.0999332070350647</x:v>
      </x:c>
    </x:row>
    <x:row r="746" ht="22" customHeight="1">
      <x:c r="A746" s="17" t="str">
        <x:f>"08271000"</x:f>
        <x:v>08271000</x:v>
      </x:c>
      <x:c r="B746" s="13" t="n">
        <x:v>42</x:v>
      </x:c>
      <x:c r="C746" s="22" t="b">
        <x:v>1</x:v>
      </x:c>
      <x:c r="D746" s="11" t="n">
        <x:v>0.020627063078184866</x:v>
      </x:c>
      <x:c r="E746" s="11" t="n">
        <x:v>0.00037756203285723333</x:v>
      </x:c>
      <x:c r="F746" s="11" t="n">
        <x:v>0.2227722704410553</x:v>
      </x:c>
      <x:c r="G746" s="13" t="n">
        <x:v>7</x:v>
      </x:c>
      <x:c r="H746" s="11" t="n">
        <x:v>0.0057979798875749</x:v>
      </x:c>
      <x:c r="I746" s="11" t="n">
        <x:v>0.0059091174043715</x:v>
      </x:c>
      <x:c r="J746" s="24" t="n">
        <x:v>135.8566687963903</x:v>
      </x:c>
      <x:c r="K746" s="24" t="n">
        <x:v>145.38634276390076</x:v>
      </x:c>
      <x:c r="L746" s="11" t="n">
        <x:v>0.3193069398403168</x:v>
      </x:c>
      <x:c r="M746" s="11" t="n">
        <x:v>0.0999393239617347</x:v>
      </x:c>
    </x:row>
    <x:row r="747" ht="22" customHeight="1">
      <x:c r="A747" s="17" t="str">
        <x:f>"08271000"</x:f>
        <x:v>08271000</x:v>
      </x:c>
      <x:c r="B747" s="13" t="n">
        <x:v>42</x:v>
      </x:c>
      <x:c r="C747" s="22" t="b">
        <x:v>0</x:v>
      </x:c>
      <x:c r="D747" s="11" t="n">
        <x:v>0.02646815528472256</x:v>
      </x:c>
      <x:c r="E747" s="11" t="n">
        <x:v>0.0007691062055527666</x:v>
      </x:c>
      <x:c r="F747" s="11" t="n">
        <x:v>0.4069478809833526</x:v>
      </x:c>
      <x:c r="G747" s="13" t="n">
        <x:v>4</x:v>
      </x:c>
      <x:c r="H747" s="11" t="n">
        <x:v>0.2396146357059478</x:v>
      </x:c>
      <x:c r="I747" s="11" t="n">
        <x:v>0.2633901834487915</x:v>
      </x:c>
      <x:c r="J747" s="24" t="n">
        <x:v>138.3735242858529</x:v>
      </x:c>
      <x:c r="K747" s="24" t="n">
        <x:v>158.78815817832947</x:v>
      </x:c>
      <x:c r="L747" s="11" t="n">
        <x:v>0.7320099472999573</x:v>
      </x:c>
      <x:c r="M747" s="11" t="n">
        <x:v>0.0999332070350647</x:v>
      </x:c>
    </x:row>
    <x:row r="748" ht="22" customHeight="1">
      <x:c r="A748" s="17" t="str">
        <x:f>"08324000"</x:f>
        <x:v>08324000</x:v>
      </x:c>
      <x:c r="B748" s="13" t="n">
        <x:v>42</x:v>
      </x:c>
      <x:c r="C748" s="22" t="b">
        <x:v>1</x:v>
      </x:c>
      <x:c r="D748" s="11" t="n">
        <x:v>0.016501650524636067</x:v>
      </x:c>
      <x:c r="E748" s="11" t="n">
        <x:v>0.0003977885644416667</x:v>
      </x:c>
      <x:c r="F748" s="11" t="n">
        <x:v>0.292079210281372</x:v>
      </x:c>
      <x:c r="G748" s="13" t="n">
        <x:v>3</x:v>
      </x:c>
      <x:c r="H748" s="11" t="n">
        <x:v>0.0191234238445758</x:v>
      </x:c>
      <x:c r="I748" s="11" t="n">
        <x:v>0.0201591718941926</x:v>
      </x:c>
      <x:c r="J748" s="24" t="n">
        <x:v>136.095080293715</x:v>
      </x:c>
      <x:c r="K748" s="24" t="n">
        <x:v>153.93109154701233</x:v>
      </x:c>
      <x:c r="L748" s="11" t="n">
        <x:v>0.698019802570343</x:v>
      </x:c>
      <x:c r="M748" s="11" t="n">
        <x:v>0.0999393239617347</x:v>
      </x:c>
    </x:row>
    <x:row r="749" ht="22" customHeight="1">
      <x:c r="A749" s="17" t="str">
        <x:f>"08324000"</x:f>
        <x:v>08324000</x:v>
      </x:c>
      <x:c r="B749" s="13" t="n">
        <x:v>42</x:v>
      </x:c>
      <x:c r="C749" s="22" t="b">
        <x:v>0</x:v>
      </x:c>
      <x:c r="D749" s="11" t="n">
        <x:v>0.04880066215991966</x:v>
      </x:c>
      <x:c r="E749" s="11" t="n">
        <x:v>0.0002091429147791</x:v>
      </x:c>
      <x:c r="F749" s="11" t="n">
        <x:v>0.540942907333374</x:v>
      </x:c>
      <x:c r="G749" s="13" t="n">
        <x:v>4</x:v>
      </x:c>
      <x:c r="H749" s="11" t="n">
        <x:v>0.1816033869981765</x:v>
      </x:c>
      <x:c r="I749" s="11" t="n">
        <x:v>0.2229354977607727</x:v>
      </x:c>
      <x:c r="J749" s="24" t="n">
        <x:v>134.1338529260829</x:v>
      </x:c>
      <x:c r="K749" s="24" t="n">
        <x:v>162.3896758556366</x:v>
      </x:c>
      <x:c r="L749" s="11" t="n">
        <x:v>0.8163771629333496</x:v>
      </x:c>
      <x:c r="M749" s="11" t="n">
        <x:v>0.0999332070350647</x:v>
      </x:c>
    </x:row>
    <x:row r="750" ht="22" customHeight="1">
      <x:c r="A750" s="17" t="str">
        <x:f>"08377900"</x:f>
        <x:v>08377900</x:v>
      </x:c>
      <x:c r="B750" s="13" t="n">
        <x:v>42</x:v>
      </x:c>
      <x:c r="C750" s="22" t="b">
        <x:v>1</x:v>
      </x:c>
      <x:c r="D750" s="11" t="n">
        <x:v>0.009900990097473033</x:v>
      </x:c>
      <x:c r="E750" s="11" t="n">
        <x:v>0.0006202804894807</x:v>
      </x:c>
      <x:c r="F750" s="11" t="n">
        <x:v>0.2376237660646438</x:v>
      </x:c>
      <x:c r="G750" s="13" t="n">
        <x:v>10</x:v>
      </x:c>
      <x:c r="H750" s="11" t="n">
        <x:v>0.0141694210469722</x:v>
      </x:c>
      <x:c r="I750" s="11" t="n">
        <x:v>0.0141694210469722</x:v>
      </x:c>
      <x:c r="J750" s="24" t="n">
        <x:v>138.29286629427224</x:v>
      </x:c>
      <x:c r="K750" s="24" t="n">
        <x:v>149.23636198043823</x:v>
      </x:c>
      <x:c r="L750" s="11" t="n">
        <x:v>0.2376237660646438</x:v>
      </x:c>
      <x:c r="M750" s="11" t="n">
        <x:v>0.0999393239617347</x:v>
      </x:c>
    </x:row>
    <x:row r="751" ht="22" customHeight="1">
      <x:c r="A751" s="17" t="str">
        <x:f>"08377900"</x:f>
        <x:v>08377900</x:v>
      </x:c>
      <x:c r="B751" s="13" t="n">
        <x:v>42</x:v>
      </x:c>
      <x:c r="C751" s="22" t="b">
        <x:v>0</x:v>
      </x:c>
      <x:c r="D751" s="11" t="n">
        <x:v>0.03473945396641883</x:v>
      </x:c>
      <x:c r="E751" s="11" t="n">
        <x:v>0.0003373272872219</x:v>
      </x:c>
      <x:c r="F751" s="11" t="n">
        <x:v>0.4590570628643036</x:v>
      </x:c>
      <x:c r="G751" s="13" t="n">
        <x:v>3</x:v>
      </x:c>
      <x:c r="H751" s="11" t="n">
        <x:v>0.2388681024312973</x:v>
      </x:c>
      <x:c r="I751" s="11" t="n">
        <x:v>0.2628145813941955</x:v>
      </x:c>
      <x:c r="J751" s="24" t="n">
        <x:v>135.79931315872818</x:v>
      </x:c>
      <x:c r="K751" s="24" t="n">
        <x:v>159.38475584983826</x:v>
      </x:c>
      <x:c r="L751" s="11" t="n">
        <x:v>0.826302707195282</x:v>
      </x:c>
      <x:c r="M751" s="11" t="n">
        <x:v>0.0999332070350647</x:v>
      </x:c>
    </x:row>
    <x:row r="752" ht="22" customHeight="1">
      <x:c r="A752" s="17" t="str">
        <x:f>"08378500"</x:f>
        <x:v>08378500</x:v>
      </x:c>
      <x:c r="B752" s="13" t="n">
        <x:v>42</x:v>
      </x:c>
      <x:c r="C752" s="22" t="b">
        <x:v>1</x:v>
      </x:c>
      <x:c r="D752" s="11" t="n">
        <x:v>0.0090759075246751</x:v>
      </x:c>
      <x:c r="E752" s="11" t="n">
        <x:v>0.0003775620328572</x:v>
      </x:c>
      <x:c r="F752" s="11" t="n">
        <x:v>0.2301980257034301</x:v>
      </x:c>
      <x:c r="G752" s="13" t="n">
        <x:v>10</x:v>
      </x:c>
      <x:c r="H752" s="11" t="n">
        <x:v>0.0091523015871644</x:v>
      </x:c>
      <x:c r="I752" s="11" t="n">
        <x:v>0.0091523015871644</x:v>
      </x:c>
      <x:c r="J752" s="24" t="n">
        <x:v>134.04486649949104</x:v>
      </x:c>
      <x:c r="K752" s="24" t="n">
        <x:v>144.74713492393494</x:v>
      </x:c>
      <x:c r="L752" s="11" t="n">
        <x:v>0.2301980257034301</x:v>
      </x:c>
      <x:c r="M752" s="11" t="n">
        <x:v>0.0999393239617347</x:v>
      </x:c>
    </x:row>
    <x:row r="753" ht="22" customHeight="1">
      <x:c r="A753" s="17" t="str">
        <x:f>"08378500"</x:f>
        <x:v>08378500</x:v>
      </x:c>
      <x:c r="B753" s="13" t="n">
        <x:v>42</x:v>
      </x:c>
      <x:c r="C753" s="22" t="b">
        <x:v>0</x:v>
      </x:c>
      <x:c r="D753" s="11" t="n">
        <x:v>0.0463192723691463</x:v>
      </x:c>
      <x:c r="E753" s="11" t="n">
        <x:v>0.0005262305785436</x:v>
      </x:c>
      <x:c r="F753" s="11" t="n">
        <x:v>0.4267989993095398</x:v>
      </x:c>
      <x:c r="G753" s="13" t="n">
        <x:v>3</x:v>
      </x:c>
      <x:c r="H753" s="11" t="n">
        <x:v>0.2886265218257904</x:v>
      </x:c>
      <x:c r="I753" s="11" t="n">
        <x:v>0.3285460770130157</x:v>
      </x:c>
      <x:c r="J753" s="24" t="n">
        <x:v>136.84547813329846</x:v>
      </x:c>
      <x:c r="K753" s="24" t="n">
        <x:v>160.33738446235657</x:v>
      </x:c>
      <x:c r="L753" s="11" t="n">
        <x:v>0.7568238377571106</x:v>
      </x:c>
      <x:c r="M753" s="11" t="n">
        <x:v>0.0999332070350647</x:v>
      </x:c>
    </x:row>
    <x:row r="754" ht="22" customHeight="1">
      <x:c r="A754" s="17" t="str">
        <x:f>"08380500"</x:f>
        <x:v>08380500</x:v>
      </x:c>
      <x:c r="B754" s="13" t="n">
        <x:v>42</x:v>
      </x:c>
      <x:c r="C754" s="22" t="b">
        <x:v>1</x:v>
      </x:c>
      <x:c r="D754" s="11" t="n">
        <x:v>0.0313531359036763</x:v>
      </x:c>
      <x:c r="E754" s="11" t="n">
        <x:v>0.0005730852232468999</x:v>
      </x:c>
      <x:c r="F754" s="11" t="n">
        <x:v>0.4108910858631134</x:v>
      </x:c>
      <x:c r="G754" s="13" t="n">
        <x:v>3</x:v>
      </x:c>
      <x:c r="H754" s="11" t="n">
        <x:v>0.0660405755043029</x:v>
      </x:c>
      <x:c r="I754" s="11" t="n">
        <x:v>0.0726376771926879</x:v>
      </x:c>
      <x:c r="J754" s="24" t="n">
        <x:v>142.70426032040268</x:v>
      </x:c>
      <x:c r="K754" s="24" t="n">
        <x:v>169.84723901748657</x:v>
      </x:c>
      <x:c r="L754" s="11" t="n">
        <x:v>0.7772276997566223</x:v>
      </x:c>
      <x:c r="M754" s="11" t="n">
        <x:v>0.0999393239617347</x:v>
      </x:c>
    </x:row>
    <x:row r="755" ht="22" customHeight="1">
      <x:c r="A755" s="17" t="str">
        <x:f>"08380500"</x:f>
        <x:v>08380500</x:v>
      </x:c>
      <x:c r="B755" s="13" t="n">
        <x:v>42</x:v>
      </x:c>
      <x:c r="C755" s="22" t="b">
        <x:v>0</x:v>
      </x:c>
      <x:c r="D755" s="11" t="n">
        <x:v>0.0446650125086307</x:v>
      </x:c>
      <x:c r="E755" s="11" t="n">
        <x:v>0.0005194840196054</x:v>
      </x:c>
      <x:c r="F755" s="11" t="n">
        <x:v>0.4888337552547455</x:v>
      </x:c>
      <x:c r="G755" s="13" t="n">
        <x:v>9</x:v>
      </x:c>
      <x:c r="H755" s="11" t="n">
        <x:v>0.1979109495878219</x:v>
      </x:c>
      <x:c r="I755" s="11" t="n">
        <x:v>0.1984150558710098</x:v>
      </x:c>
      <x:c r="J755" s="24" t="n">
        <x:v>138.16189591679722</x:v>
      </x:c>
      <x:c r="K755" s="24" t="n">
        <x:v>157.96789407730103</x:v>
      </x:c>
      <x:c r="L755" s="11" t="n">
        <x:v>0.5210918188095093</x:v>
      </x:c>
      <x:c r="M755" s="11" t="n">
        <x:v>0.0999332070350647</x:v>
      </x:c>
    </x:row>
    <x:row r="756" ht="22" customHeight="1">
      <x:c r="A756" s="17" t="str">
        <x:f>"09034900"</x:f>
        <x:v>09034900</x:v>
      </x:c>
      <x:c r="B756" s="13" t="n">
        <x:v>42</x:v>
      </x:c>
      <x:c r="C756" s="22" t="b">
        <x:v>1</x:v>
      </x:c>
      <x:c r="D756" s="11" t="n">
        <x:v>0.014026402806242266</x:v>
      </x:c>
      <x:c r="E756" s="11" t="n">
        <x:v>0.0002292340941494</x:v>
      </x:c>
      <x:c r="F756" s="11" t="n">
        <x:v>0.2227722704410553</x:v>
      </x:c>
      <x:c r="G756" s="13" t="n">
        <x:v>10</x:v>
      </x:c>
      <x:c r="H756" s="11" t="n">
        <x:v>0.0093002077192068</x:v>
      </x:c>
      <x:c r="I756" s="11" t="n">
        <x:v>0.0093002077192068</x:v>
      </x:c>
      <x:c r="J756" s="24" t="n">
        <x:v>139.69239950180054</x:v>
      </x:c>
      <x:c r="K756" s="24" t="n">
        <x:v>148.0970549583435</x:v>
      </x:c>
      <x:c r="L756" s="11" t="n">
        <x:v>0.2227722704410553</x:v>
      </x:c>
      <x:c r="M756" s="11" t="n">
        <x:v>0.0999393239617347</x:v>
      </x:c>
    </x:row>
    <x:row r="757" ht="22" customHeight="1">
      <x:c r="A757" s="17" t="str">
        <x:f>"09034900"</x:f>
        <x:v>09034900</x:v>
      </x:c>
      <x:c r="B757" s="13" t="n">
        <x:v>42</x:v>
      </x:c>
      <x:c r="C757" s="22" t="b">
        <x:v>0</x:v>
      </x:c>
      <x:c r="D757" s="11" t="n">
        <x:v>0.0363937132060527</x:v>
      </x:c>
      <x:c r="E757" s="11" t="n">
        <x:v>0.0005397236576147999</x:v>
      </x:c>
      <x:c r="F757" s="11" t="n">
        <x:v>0.4590570628643036</x:v>
      </x:c>
      <x:c r="G757" s="13" t="n">
        <x:v>5</x:v>
      </x:c>
      <x:c r="H757" s="11" t="n">
        <x:v>0.1063302531838417</x:v>
      </x:c>
      <x:c r="I757" s="11" t="n">
        <x:v>0.122726134955883</x:v>
      </x:c>
      <x:c r="J757" s="24" t="n">
        <x:v>140.257342194207</x:v>
      </x:c>
      <x:c r="K757" s="24" t="n">
        <x:v>158.5401623249054</x:v>
      </x:c>
      <x:c r="L757" s="11" t="n">
        <x:v>0.6625310182571411</x:v>
      </x:c>
      <x:c r="M757" s="11" t="n">
        <x:v>0.0999332070350647</x:v>
      </x:c>
    </x:row>
    <x:row r="758" ht="22" customHeight="1">
      <x:c r="A758" s="17" t="str">
        <x:f>"09035900"</x:f>
        <x:v>09035900</x:v>
      </x:c>
      <x:c r="B758" s="13" t="n">
        <x:v>42</x:v>
      </x:c>
      <x:c r="C758" s="22" t="b">
        <x:v>1</x:v>
      </x:c>
      <x:c r="D758" s="11" t="n">
        <x:v>0.012376237660646402</x:v>
      </x:c>
      <x:c r="E758" s="11" t="n">
        <x:v>0.0003708198491949</x:v>
      </x:c>
      <x:c r="F758" s="11" t="n">
        <x:v>0.2252475321292877</x:v>
      </x:c>
      <x:c r="G758" s="13" t="n">
        <x:v>5</x:v>
      </x:c>
      <x:c r="H758" s="11" t="n">
        <x:v>0.0045299679040908</x:v>
      </x:c>
      <x:c r="I758" s="11" t="n">
        <x:v>0.0045784199610352</x:v>
      </x:c>
      <x:c r="J758" s="24" t="n">
        <x:v>140.07630122359842</x:v>
      </x:c>
      <x:c r="K758" s="24" t="n">
        <x:v>148.50934648513794</x:v>
      </x:c>
      <x:c r="L758" s="11" t="n">
        <x:v>0.4232673346996307</x:v>
      </x:c>
      <x:c r="M758" s="11" t="n">
        <x:v>0.0999393239617347</x:v>
      </x:c>
    </x:row>
    <x:row r="759" ht="22" customHeight="1">
      <x:c r="A759" s="17" t="str">
        <x:f>"09035900"</x:f>
        <x:v>09035900</x:v>
      </x:c>
      <x:c r="B759" s="13" t="n">
        <x:v>42</x:v>
      </x:c>
      <x:c r="C759" s="22" t="b">
        <x:v>0</x:v>
      </x:c>
      <x:c r="D759" s="11" t="n">
        <x:v>0.028949544454614232</x:v>
      </x:c>
      <x:c r="E759" s="11" t="n">
        <x:v>0.0005329771180792</x:v>
      </x:c>
      <x:c r="F759" s="11" t="n">
        <x:v>0.4019851088523865</x:v>
      </x:c>
      <x:c r="G759" s="13" t="n">
        <x:v>5</x:v>
      </x:c>
      <x:c r="H759" s="11" t="n">
        <x:v>0.1140241473913192</x:v>
      </x:c>
      <x:c r="I759" s="11" t="n">
        <x:v>0.1422339081764221</x:v>
      </x:c>
      <x:c r="J759" s="24" t="n">
        <x:v>140.55722123291343</x:v>
      </x:c>
      <x:c r="K759" s="24" t="n">
        <x:v>158.79716873168945</x:v>
      </x:c>
      <x:c r="L759" s="11" t="n">
        <x:v>0.6004962921142578</x:v>
      </x:c>
      <x:c r="M759" s="11" t="n">
        <x:v>0.0999332070350647</x:v>
      </x:c>
    </x:row>
    <x:row r="760" ht="22" customHeight="1">
      <x:c r="A760" s="17" t="str">
        <x:f>"09047700"</x:f>
        <x:v>09047700</x:v>
      </x:c>
      <x:c r="B760" s="13" t="n">
        <x:v>42</x:v>
      </x:c>
      <x:c r="C760" s="22" t="b">
        <x:v>1</x:v>
      </x:c>
      <x:c r="D760" s="11" t="n">
        <x:v>0.015676567641397268</x:v>
      </x:c>
      <x:c r="E760" s="11" t="n">
        <x:v>0.0009439050530393333</x:v>
      </x:c>
      <x:c r="F760" s="11" t="n">
        <x:v>0.2475247532129287</x:v>
      </x:c>
      <x:c r="G760" s="13" t="n">
        <x:v>5</x:v>
      </x:c>
      <x:c r="H760" s="11" t="n">
        <x:v>0.0059800986200571</x:v>
      </x:c>
      <x:c r="I760" s="11" t="n">
        <x:v>0.0078509850427508</x:v>
      </x:c>
      <x:c r="J760" s="24" t="n">
        <x:v>137.29355838242918</x:v>
      </x:c>
      <x:c r="K760" s="24" t="n">
        <x:v>147.71021509170532</x:v>
      </x:c>
      <x:c r="L760" s="11" t="n">
        <x:v>0.4059405922889709</x:v>
      </x:c>
      <x:c r="M760" s="11" t="n">
        <x:v>0.0999393239617347</x:v>
      </x:c>
    </x:row>
    <x:row r="761" ht="22" customHeight="1">
      <x:c r="A761" s="17" t="str">
        <x:f>"09047700"</x:f>
        <x:v>09047700</x:v>
      </x:c>
      <x:c r="B761" s="13" t="n">
        <x:v>42</x:v>
      </x:c>
      <x:c r="C761" s="22" t="b">
        <x:v>0</x:v>
      </x:c>
      <x:c r="D761" s="11" t="n">
        <x:v>0.0430107526481151</x:v>
      </x:c>
      <x:c r="E761" s="11" t="n">
        <x:v>0.0007016407713914667</x:v>
      </x:c>
      <x:c r="F761" s="11" t="n">
        <x:v>0.503722071647644</x:v>
      </x:c>
      <x:c r="G761" s="13" t="n">
        <x:v>10</x:v>
      </x:c>
      <x:c r="H761" s="11" t="n">
        <x:v>0.1799004673957824</x:v>
      </x:c>
      <x:c r="I761" s="11" t="n">
        <x:v>0.1799004673957824</x:v>
      </x:c>
      <x:c r="J761" s="24" t="n">
        <x:v>137.84953736606985</x:v>
      </x:c>
      <x:c r="K761" s="24" t="n">
        <x:v>156.55701279640198</x:v>
      </x:c>
      <x:c r="L761" s="11" t="n">
        <x:v>0.503722071647644</x:v>
      </x:c>
      <x:c r="M761" s="11" t="n">
        <x:v>0.0999332070350647</x:v>
      </x:c>
    </x:row>
    <x:row r="762" ht="22" customHeight="1">
      <x:c r="A762" s="17" t="str">
        <x:f>"09065500"</x:f>
        <x:v>09065500</x:v>
      </x:c>
      <x:c r="B762" s="13" t="n">
        <x:v>42</x:v>
      </x:c>
      <x:c r="C762" s="22" t="b">
        <x:v>1</x:v>
      </x:c>
      <x:c r="D762" s="11" t="n">
        <x:v>0.016501649903754367</x:v>
      </x:c>
      <x:c r="E762" s="11" t="n">
        <x:v>0.00045846817859753337</x:v>
      </x:c>
      <x:c r="F762" s="11" t="n">
        <x:v>0.2376237660646438</x:v>
      </x:c>
      <x:c r="G762" s="13" t="n">
        <x:v>7</x:v>
      </x:c>
      <x:c r="H762" s="11" t="n">
        <x:v>0.0191483795642852</x:v>
      </x:c>
      <x:c r="I762" s="11" t="n">
        <x:v>0.0199154820293188</x:v>
      </x:c>
      <x:c r="J762" s="24" t="n">
        <x:v>139.2611565226689</x:v>
      </x:c>
      <x:c r="K762" s="24" t="n">
        <x:v>149.23743963241577</x:v>
      </x:c>
      <x:c r="L762" s="11" t="n">
        <x:v>0.3465346395969391</x:v>
      </x:c>
      <x:c r="M762" s="11" t="n">
        <x:v>0.0999393239617347</x:v>
      </x:c>
    </x:row>
    <x:row r="763" ht="22" customHeight="1">
      <x:c r="A763" s="17" t="str">
        <x:f>"09065500"</x:f>
        <x:v>09065500</x:v>
      </x:c>
      <x:c r="B763" s="13" t="n">
        <x:v>42</x:v>
      </x:c>
      <x:c r="C763" s="22" t="b">
        <x:v>0</x:v>
      </x:c>
      <x:c r="D763" s="11" t="n">
        <x:v>0.02646815528472256</x:v>
      </x:c>
      <x:c r="E763" s="11" t="n">
        <x:v>0.0003980461915489</x:v>
      </x:c>
      <x:c r="F763" s="11" t="n">
        <x:v>0.3697270452976227</x:v>
      </x:c>
      <x:c r="G763" s="13" t="n">
        <x:v>2</x:v>
      </x:c>
      <x:c r="H763" s="11" t="n">
        <x:v>0.1498873233795166</x:v>
      </x:c>
      <x:c r="I763" s="11" t="n">
        <x:v>0.2468698769807815</x:v>
      </x:c>
      <x:c r="J763" s="24" t="n">
        <x:v>136.17069546412677</x:v>
      </x:c>
      <x:c r="K763" s="24" t="n">
        <x:v>154.99216985702515</x:v>
      </x:c>
      <x:c r="L763" s="11" t="n">
        <x:v>0.7940446734428406</x:v>
      </x:c>
      <x:c r="M763" s="11" t="n">
        <x:v>0.0999332070350647</x:v>
      </x:c>
    </x:row>
    <x:row r="764" ht="22" customHeight="1">
      <x:c r="A764" s="17" t="str">
        <x:f>"09066000"</x:f>
        <x:v>09066000</x:v>
      </x:c>
      <x:c r="B764" s="13" t="n">
        <x:v>42</x:v>
      </x:c>
      <x:c r="C764" s="22" t="b">
        <x:v>1</x:v>
      </x:c>
      <x:c r="D764" s="11" t="n">
        <x:v>0.013201320233444334</x:v>
      </x:c>
      <x:c r="E764" s="11" t="n">
        <x:v>0.0003573354915715</x:v>
      </x:c>
      <x:c r="F764" s="11" t="n">
        <x:v>0.2004950493574142</x:v>
      </x:c>
      <x:c r="G764" s="13" t="n">
        <x:v>2</x:v>
      </x:c>
      <x:c r="H764" s="11" t="n">
        <x:v>0.0065380143932998</x:v>
      </x:c>
      <x:c r="I764" s="11" t="n">
        <x:v>0.006957986857742</x:v>
      </x:c>
      <x:c r="J764" s="24" t="n">
        <x:v>137.87849783338606</x:v>
      </x:c>
      <x:c r="K764" s="24" t="n">
        <x:v>150.62724471092224</x:v>
      </x:c>
      <x:c r="L764" s="11" t="n">
        <x:v>0.6831682920455933</x:v>
      </x:c>
      <x:c r="M764" s="11" t="n">
        <x:v>0.0999393239617347</x:v>
      </x:c>
    </x:row>
    <x:row r="765" ht="22" customHeight="1">
      <x:c r="A765" s="17" t="str">
        <x:f>"09066000"</x:f>
        <x:v>09066000</x:v>
      </x:c>
      <x:c r="B765" s="13" t="n">
        <x:v>42</x:v>
      </x:c>
      <x:c r="C765" s="22" t="b">
        <x:v>0</x:v>
      </x:c>
      <x:c r="D765" s="11" t="n">
        <x:v>0.02646815528472257</x:v>
      </x:c>
      <x:c r="E765" s="11" t="n">
        <x:v>0.00023612910202543334</x:v>
      </x:c>
      <x:c r="F765" s="11" t="n">
        <x:v>0.4689826369285583</x:v>
      </x:c>
      <x:c r="G765" s="13" t="n">
        <x:v>9</x:v>
      </x:c>
      <x:c r="H765" s="11" t="n">
        <x:v>0.2082225531339645</x:v>
      </x:c>
      <x:c r="I765" s="11" t="n">
        <x:v>0.2301597595214843</x:v>
      </x:c>
      <x:c r="J765" s="24" t="n">
        <x:v>137.06240333709866</x:v>
      </x:c>
      <x:c r="K765" s="24" t="n">
        <x:v>156.77546906471252</x:v>
      </x:c>
      <x:c r="L765" s="11" t="n">
        <x:v>0.5086848735809326</x:v>
      </x:c>
      <x:c r="M765" s="11" t="n">
        <x:v>0.0999332070350647</x:v>
      </x:c>
    </x:row>
    <x:row r="766" ht="22" customHeight="1">
      <x:c r="A766" s="17" t="str">
        <x:f>"09066200"</x:f>
        <x:v>09066200</x:v>
      </x:c>
      <x:c r="B766" s="13" t="n">
        <x:v>42</x:v>
      </x:c>
      <x:c r="C766" s="22" t="b">
        <x:v>1</x:v>
      </x:c>
      <x:c r="D766" s="11" t="n">
        <x:v>0.01897689762214813</x:v>
      </x:c>
      <x:c r="E766" s="11" t="n">
        <x:v>0.0004921790775065999</x:v>
      </x:c>
      <x:c r="F766" s="11" t="n">
        <x:v>0.2425742596387863</x:v>
      </x:c>
      <x:c r="G766" s="13" t="n">
        <x:v>10</x:v>
      </x:c>
      <x:c r="H766" s="11" t="n">
        <x:v>0.0176680404692888</x:v>
      </x:c>
      <x:c r="I766" s="11" t="n">
        <x:v>0.0176680404692888</x:v>
      </x:c>
      <x:c r="J766" s="24" t="n">
        <x:v>135.44411380589008</x:v>
      </x:c>
      <x:c r="K766" s="24" t="n">
        <x:v>143.6351022720337</x:v>
      </x:c>
      <x:c r="L766" s="11" t="n">
        <x:v>0.2425742596387863</x:v>
      </x:c>
      <x:c r="M766" s="11" t="n">
        <x:v>0.0999393239617347</x:v>
      </x:c>
    </x:row>
    <x:row r="767" ht="22" customHeight="1">
      <x:c r="A767" s="17" t="str">
        <x:f>"09066200"</x:f>
        <x:v>09066200</x:v>
      </x:c>
      <x:c r="B767" s="13" t="n">
        <x:v>42</x:v>
      </x:c>
      <x:c r="C767" s="22" t="b">
        <x:v>0</x:v>
      </x:c>
      <x:c r="D767" s="11" t="n">
        <x:v>0.030603804315129827</x:v>
      </x:c>
      <x:c r="E767" s="11" t="n">
        <x:v>0.0005194840293066668</x:v>
      </x:c>
      <x:c r="F767" s="11" t="n">
        <x:v>0.4267989993095398</x:v>
      </x:c>
      <x:c r="G767" s="13" t="n">
        <x:v>4</x:v>
      </x:c>
      <x:c r="H767" s="11" t="n">
        <x:v>0.1819884926080703</x:v>
      </x:c>
      <x:c r="I767" s="11" t="n">
        <x:v>0.2129094749689102</x:v>
      </x:c>
      <x:c r="J767" s="24" t="n">
        <x:v>138.16716281883419</x:v>
      </x:c>
      <x:c r="K767" s="24" t="n">
        <x:v>158.9541778564453</x:v>
      </x:c>
      <x:c r="L767" s="11" t="n">
        <x:v>0.7394540905952454</x:v>
      </x:c>
      <x:c r="M767" s="11" t="n">
        <x:v>0.0999332070350647</x:v>
      </x:c>
    </x:row>
    <x:row r="768" ht="22" customHeight="1">
      <x:c r="A768" s="17" t="str">
        <x:f>"09066300"</x:f>
        <x:v>09066300</x:v>
      </x:c>
      <x:c r="B768" s="13" t="n">
        <x:v>42</x:v>
      </x:c>
      <x:c r="C768" s="22" t="b">
        <x:v>1</x:v>
      </x:c>
      <x:c r="D768" s="11" t="n">
        <x:v>0.005775577621534433</x:v>
      </x:c>
      <x:c r="E768" s="11" t="n">
        <x:v>0.000404530748104</x:v>
      </x:c>
      <x:c r="F768" s="11" t="n">
        <x:v>0.1930693089962005</x:v>
      </x:c>
      <x:c r="G768" s="13" t="n">
        <x:v>9</x:v>
      </x:c>
      <x:c r="H768" s="11" t="n">
        <x:v>0.0039225271902978</x:v>
      </x:c>
      <x:c r="I768" s="11" t="n">
        <x:v>0.0051300139166414</x:v>
      </x:c>
      <x:c r="J768" s="24" t="n">
        <x:v>135.04654668550938</x:v>
      </x:c>
      <x:c r="K768" s="24" t="n">
        <x:v>143.06417036056519</x:v>
      </x:c>
      <x:c r="L768" s="11" t="n">
        <x:v>0.2227722704410553</x:v>
      </x:c>
      <x:c r="M768" s="11" t="n">
        <x:v>0.0999393239617347</x:v>
      </x:c>
    </x:row>
    <x:row r="769" ht="22" customHeight="1">
      <x:c r="A769" s="17" t="str">
        <x:f>"09066300"</x:f>
        <x:v>09066300</x:v>
      </x:c>
      <x:c r="B769" s="13" t="n">
        <x:v>42</x:v>
      </x:c>
      <x:c r="C769" s="22" t="b">
        <x:v>0</x:v>
      </x:c>
      <x:c r="D769" s="11" t="n">
        <x:v>0.03804797368745003</x:v>
      </x:c>
      <x:c r="E769" s="11" t="n">
        <x:v>0.0005059909308328666</x:v>
      </x:c>
      <x:c r="F769" s="11" t="n">
        <x:v>0.3473945558071136</x:v>
      </x:c>
      <x:c r="G769" s="13" t="n">
        <x:v>2</x:v>
      </x:c>
      <x:c r="H769" s="11" t="n">
        <x:v>0.1343855112791061</x:v>
      </x:c>
      <x:c r="I769" s="11" t="n">
        <x:v>0.1916670799255371</x:v>
      </x:c>
      <x:c r="J769" s="24" t="n">
        <x:v>136.5338089223951</x:v>
      </x:c>
      <x:c r="K769" s="24" t="n">
        <x:v>157.09684014320374</x:v>
      </x:c>
      <x:c r="L769" s="11" t="n">
        <x:v>0.8784118890762329</x:v>
      </x:c>
      <x:c r="M769" s="11" t="n">
        <x:v>0.0999332070350647</x:v>
      </x:c>
    </x:row>
    <x:row r="770" ht="22" customHeight="1">
      <x:c r="A770" s="17" t="str">
        <x:f>"09081600"</x:f>
        <x:v>09081600</x:v>
      </x:c>
      <x:c r="B770" s="13" t="n">
        <x:v>42</x:v>
      </x:c>
      <x:c r="C770" s="22" t="b">
        <x:v>1</x:v>
      </x:c>
      <x:c r="D770" s="11" t="n">
        <x:v>0.01815181535979107</x:v>
      </x:c>
      <x:c r="E770" s="11" t="n">
        <x:v>0.0003977885644416667</x:v>
      </x:c>
      <x:c r="F770" s="11" t="n">
        <x:v>0.198019802570343</x:v>
      </x:c>
      <x:c r="G770" s="13" t="n">
        <x:v>7</x:v>
      </x:c>
      <x:c r="H770" s="11" t="n">
        <x:v>0.0080090444535017</x:v>
      </x:c>
      <x:c r="I770" s="11" t="n">
        <x:v>0.008789281360805</x:v>
      </x:c>
      <x:c r="J770" s="24" t="n">
        <x:v>139.32787470333278</x:v>
      </x:c>
      <x:c r="K770" s="24" t="n">
        <x:v>147.59205889701843</x:v>
      </x:c>
      <x:c r="L770" s="11" t="n">
        <x:v>0.2846534550189972</x:v>
      </x:c>
      <x:c r="M770" s="11" t="n">
        <x:v>0.0999393239617347</x:v>
      </x:c>
    </x:row>
    <x:row r="771" ht="22" customHeight="1">
      <x:c r="A771" s="17" t="str">
        <x:f>"09081600"</x:f>
        <x:v>09081600</x:v>
      </x:c>
      <x:c r="B771" s="13" t="n">
        <x:v>42</x:v>
      </x:c>
      <x:c r="C771" s="22" t="b">
        <x:v>0</x:v>
      </x:c>
      <x:c r="D771" s="11" t="n">
        <x:v>0.0372208431363105</x:v>
      </x:c>
      <x:c r="E771" s="11" t="n">
        <x:v>0.00045201856604150007</x:v>
      </x:c>
      <x:c r="F771" s="11" t="n">
        <x:v>0.4218362271785736</x:v>
      </x:c>
      <x:c r="G771" s="13" t="n">
        <x:v>2</x:v>
      </x:c>
      <x:c r="H771" s="11" t="n">
        <x:v>0.0760984197258949</x:v>
      </x:c>
      <x:c r="I771" s="11" t="n">
        <x:v>0.1081505864858627</x:v>
      </x:c>
      <x:c r="J771" s="24" t="n">
        <x:v>137.05911266524345</x:v>
      </x:c>
      <x:c r="K771" s="24" t="n">
        <x:v>156.8991630077362</x:v>
      </x:c>
      <x:c r="L771" s="11" t="n">
        <x:v>0.8709677457809448</x:v>
      </x:c>
      <x:c r="M771" s="11" t="n">
        <x:v>0.0999332070350647</x:v>
      </x:c>
    </x:row>
    <x:row r="772" ht="22" customHeight="1">
      <x:c r="A772" s="17" t="str">
        <x:f>"09210500"</x:f>
        <x:v>09210500</x:v>
      </x:c>
      <x:c r="B772" s="13" t="n">
        <x:v>42</x:v>
      </x:c>
      <x:c r="C772" s="22" t="b">
        <x:v>1</x:v>
      </x:c>
      <x:c r="D772" s="11" t="n">
        <x:v>0.020627062457303166</x:v>
      </x:c>
      <x:c r="E772" s="11" t="n">
        <x:v>0.00041127292206503334</x:v>
      </x:c>
      <x:c r="F772" s="11" t="n">
        <x:v>0.2574257552623749</x:v>
      </x:c>
      <x:c r="G772" s="13" t="n">
        <x:v>9</x:v>
      </x:c>
      <x:c r="H772" s="11" t="n">
        <x:v>0.0105521343648433</x:v>
      </x:c>
      <x:c r="I772" s="11" t="n">
        <x:v>0.011539664119482</x:v>
      </x:c>
      <x:c r="J772" s="24" t="n">
        <x:v>136.98165141325444</x:v>
      </x:c>
      <x:c r="K772" s="24" t="n">
        <x:v>145.7276954650879</x:v>
      </x:c>
      <x:c r="L772" s="11" t="n">
        <x:v>0.2846534550189972</x:v>
      </x:c>
      <x:c r="M772" s="11" t="n">
        <x:v>0.0999393239617347</x:v>
      </x:c>
    </x:row>
    <x:row r="773" ht="22" customHeight="1">
      <x:c r="A773" s="17" t="str">
        <x:f>"09210500"</x:f>
        <x:v>09210500</x:v>
      </x:c>
      <x:c r="B773" s="13" t="n">
        <x:v>42</x:v>
      </x:c>
      <x:c r="C773" s="22" t="b">
        <x:v>0</x:v>
      </x:c>
      <x:c r="D773" s="11" t="n">
        <x:v>0.0446650125086307</x:v>
      </x:c>
      <x:c r="E773" s="11" t="n">
        <x:v>0.0005059909405341333</x:v>
      </x:c>
      <x:c r="F773" s="11" t="n">
        <x:v>0.4863523542881012</x:v>
      </x:c>
      <x:c r="G773" s="13" t="n">
        <x:v>1</x:v>
      </x:c>
      <x:c r="H773" s="11" t="n">
        <x:v>0.1581848263740539</x:v>
      </x:c>
      <x:c r="I773" s="11" t="n">
        <x:v>0.3022848665714264</x:v>
      </x:c>
      <x:c r="J773" s="24" t="n">
        <x:v>136.31217030715197</x:v>
      </x:c>
      <x:c r="K773" s="24" t="n">
        <x:v>165.46215724945068</x:v>
      </x:c>
      <x:c r="L773" s="11" t="n">
        <x:v>0.9950371980667114</x:v>
      </x:c>
      <x:c r="M773" s="11" t="n">
        <x:v>0.0999332070350647</x:v>
      </x:c>
    </x:row>
    <x:row r="774" ht="22" customHeight="1">
      <x:c r="A774" s="17" t="str">
        <x:f>"09223000"</x:f>
        <x:v>09223000</x:v>
      </x:c>
      <x:c r="B774" s="13" t="n">
        <x:v>42</x:v>
      </x:c>
      <x:c r="C774" s="22" t="b">
        <x:v>1</x:v>
      </x:c>
      <x:c r="D774" s="11" t="n">
        <x:v>0.015676567641397268</x:v>
      </x:c>
      <x:c r="E774" s="11" t="n">
        <x:v>0.0002764293434059333</x:v>
      </x:c>
      <x:c r="F774" s="11" t="n">
        <x:v>0.2549504935741424</x:v>
      </x:c>
      <x:c r="G774" s="13" t="n">
        <x:v>5</x:v>
      </x:c>
      <x:c r="H774" s="11" t="n">
        <x:v>0.0062235225923359</x:v>
      </x:c>
      <x:c r="I774" s="11" t="n">
        <x:v>0.0064068180508911</x:v>
      </x:c>
      <x:c r="J774" s="24" t="n">
        <x:v>138.95774965547025</x:v>
      </x:c>
      <x:c r="K774" s="24" t="n">
        <x:v>149.72965931892395</x:v>
      </x:c>
      <x:c r="L774" s="11" t="n">
        <x:v>0.4430693089962005</x:v>
      </x:c>
      <x:c r="M774" s="11" t="n">
        <x:v>0.0999393239617347</x:v>
      </x:c>
    </x:row>
    <x:row r="775" ht="22" customHeight="1">
      <x:c r="A775" s="17" t="str">
        <x:f>"09223000"</x:f>
        <x:v>09223000</x:v>
      </x:c>
      <x:c r="B775" s="13" t="n">
        <x:v>42</x:v>
      </x:c>
      <x:c r="C775" s="22" t="b">
        <x:v>0</x:v>
      </x:c>
      <x:c r="D775" s="11" t="n">
        <x:v>0.023986765804390034</x:v>
      </x:c>
      <x:c r="E775" s="11" t="n">
        <x:v>0.0004115392900226667</x:v>
      </x:c>
      <x:c r="F775" s="11" t="n">
        <x:v>0.5012406706809998</x:v>
      </x:c>
      <x:c r="G775" s="13" t="n">
        <x:v>1</x:v>
      </x:c>
      <x:c r="H775" s="11" t="n">
        <x:v>0.1448188573122024</x:v>
      </x:c>
      <x:c r="I775" s="11" t="n">
        <x:v>0.1944725811481475</x:v>
      </x:c>
      <x:c r="J775" s="24" t="n">
        <x:v>138.27371793426573</x:v>
      </x:c>
      <x:c r="K775" s="24" t="n">
        <x:v>166.44457340240479</x:v>
      </x:c>
      <x:c r="L775" s="11" t="n">
        <x:v>0.9751861095428468</x:v>
      </x:c>
      <x:c r="M775" s="11" t="n">
        <x:v>0.0999332070350647</x:v>
      </x:c>
    </x:row>
    <x:row r="776" ht="22" customHeight="1">
      <x:c r="A776" s="17" t="str">
        <x:f>"09306242"</x:f>
        <x:v>09306242</x:v>
      </x:c>
      <x:c r="B776" s="13" t="n">
        <x:v>42</x:v>
      </x:c>
      <x:c r="C776" s="22" t="b">
        <x:v>1</x:v>
      </x:c>
      <x:c r="D776" s="11" t="n">
        <x:v>0.020627063388625733</x:v>
      </x:c>
      <x:c r="E776" s="11" t="n">
        <x:v>0.0004449838112729001</x:v>
      </x:c>
      <x:c r="F776" s="11" t="n">
        <x:v>0.3539603948593139</x:v>
      </x:c>
      <x:c r="G776" s="13" t="n">
        <x:v>2</x:v>
      </x:c>
      <x:c r="H776" s="11" t="n">
        <x:v>0.0011678037699311</x:v>
      </x:c>
      <x:c r="I776" s="11" t="n">
        <x:v>0.0014123712899163</x:v>
      </x:c>
      <x:c r="J776" s="24" t="n">
        <x:v>137.38708940614015</x:v>
      </x:c>
      <x:c r="K776" s="24" t="n">
        <x:v>164.9220893383026</x:v>
      </x:c>
      <x:c r="L776" s="11" t="n">
        <x:v>0.8217821717262268</x:v>
      </x:c>
      <x:c r="M776" s="11" t="n">
        <x:v>0.0999393239617347</x:v>
      </x:c>
    </x:row>
    <x:row r="777" ht="22" customHeight="1">
      <x:c r="A777" s="17" t="str">
        <x:f>"09306242"</x:f>
        <x:v>09306242</x:v>
      </x:c>
      <x:c r="B777" s="13" t="n">
        <x:v>42</x:v>
      </x:c>
      <x:c r="C777" s="22" t="b">
        <x:v>0</x:v>
      </x:c>
      <x:c r="D777" s="11" t="n">
        <x:v>0.027295285214980366</x:v>
      </x:c>
      <x:c r="E777" s="11" t="n">
        <x:v>0.00027660837319363335</x:v>
      </x:c>
      <x:c r="F777" s="11" t="n">
        <x:v>0.4267989993095398</x:v>
      </x:c>
      <x:c r="G777" s="13" t="n">
        <x:v>2</x:v>
      </x:c>
      <x:c r="H777" s="11" t="n">
        <x:v>0.0530900582671165</x:v>
      </x:c>
      <x:c r="I777" s="11" t="n">
        <x:v>0.0873940885066986</x:v>
      </x:c>
      <x:c r="J777" s="24" t="n">
        <x:v>137.27462059538811</x:v>
      </x:c>
      <x:c r="K777" s="24" t="n">
        <x:v>156.98754858970642</x:v>
      </x:c>
      <x:c r="L777" s="11" t="n">
        <x:v>0.7171216011047363</x:v>
      </x:c>
      <x:c r="M777" s="11" t="n">
        <x:v>0.0999332070350647</x:v>
      </x:c>
    </x:row>
    <x:row r="778" ht="22" customHeight="1">
      <x:c r="A778" s="17" t="str">
        <x:f>"09312600"</x:f>
        <x:v>09312600</x:v>
      </x:c>
      <x:c r="B778" s="13" t="n">
        <x:v>42</x:v>
      </x:c>
      <x:c r="C778" s="22" t="b">
        <x:v>1</x:v>
      </x:c>
      <x:c r="D778" s="11" t="n">
        <x:v>0.022277227602899033</x:v>
      </x:c>
      <x:c r="E778" s="11" t="n">
        <x:v>0.0005191477830521333</x:v>
      </x:c>
      <x:c r="F778" s="11" t="n">
        <x:v>0.2995049357414245</x:v>
      </x:c>
      <x:c r="G778" s="13" t="n">
        <x:v>8</x:v>
      </x:c>
      <x:c r="H778" s="11" t="n">
        <x:v>0.007718957029283</x:v>
      </x:c>
      <x:c r="I778" s="11" t="n">
        <x:v>0.0078771905973553</x:v>
      </x:c>
      <x:c r="J778" s="24" t="n">
        <x:v>135.51615579240024</x:v>
      </x:c>
      <x:c r="K778" s="24" t="n">
        <x:v>146.7091212272644</x:v>
      </x:c>
      <x:c r="L778" s="11" t="n">
        <x:v>0.3638613820075989</x:v>
      </x:c>
      <x:c r="M778" s="11" t="n">
        <x:v>0.0999393239617347</x:v>
      </x:c>
    </x:row>
    <x:row r="779" ht="22" customHeight="1">
      <x:c r="A779" s="17" t="str">
        <x:f>"09312600"</x:f>
        <x:v>09312600</x:v>
      </x:c>
      <x:c r="B779" s="13" t="n">
        <x:v>42</x:v>
      </x:c>
      <x:c r="C779" s="22" t="b">
        <x:v>0</x:v>
      </x:c>
      <x:c r="D779" s="11" t="n">
        <x:v>0.042183622717857305</x:v>
      </x:c>
      <x:c r="E779" s="11" t="n">
        <x:v>0.0004115392803213667</x:v>
      </x:c>
      <x:c r="F779" s="11" t="n">
        <x:v>0.5161290168762207</x:v>
      </x:c>
      <x:c r="G779" s="13" t="n">
        <x:v>8</x:v>
      </x:c>
      <x:c r="H779" s="11" t="n">
        <x:v>0.3002972304821014</x:v>
      </x:c>
      <x:c r="I779" s="11" t="n">
        <x:v>0.3493127226829529</x:v>
      </x:c>
      <x:c r="J779" s="24" t="n">
        <x:v>136.91143641714007</x:v>
      </x:c>
      <x:c r="K779" s="24" t="n">
        <x:v>162.26033663749695</x:v>
      </x:c>
      <x:c r="L779" s="11" t="n">
        <x:v>0.5682381987571716</x:v>
      </x:c>
      <x:c r="M779" s="11" t="n">
        <x:v>0.0999332070350647</x:v>
      </x:c>
    </x:row>
    <x:row r="780" ht="22" customHeight="1">
      <x:c r="A780" s="17" t="str">
        <x:f>"09352900"</x:f>
        <x:v>09352900</x:v>
      </x:c>
      <x:c r="B780" s="13" t="n">
        <x:v>42</x:v>
      </x:c>
      <x:c r="C780" s="22" t="b">
        <x:v>1</x:v>
      </x:c>
      <x:c r="D780" s="11" t="n">
        <x:v>0.023102310175696934</x:v>
      </x:c>
      <x:c r="E780" s="11" t="n">
        <x:v>0.00028317152464289996</x:v>
      </x:c>
      <x:c r="F780" s="11" t="n">
        <x:v>0.2698019742965698</x:v>
      </x:c>
      <x:c r="G780" s="13" t="n">
        <x:v>6</x:v>
      </x:c>
      <x:c r="H780" s="11" t="n">
        <x:v>0.0723758786916732</x:v>
      </x:c>
      <x:c r="I780" s="11" t="n">
        <x:v>0.0770176723599433</x:v>
      </x:c>
      <x:c r="J780" s="24" t="n">
        <x:v>137.30188435222954</x:v>
      </x:c>
      <x:c r="K780" s="24" t="n">
        <x:v>150.82229351997375</x:v>
      </x:c>
      <x:c r="L780" s="11" t="n">
        <x:v>0.4183168411254883</x:v>
      </x:c>
      <x:c r="M780" s="11" t="n">
        <x:v>0.0999393239617347</x:v>
      </x:c>
    </x:row>
    <x:row r="781" ht="22" customHeight="1">
      <x:c r="A781" s="17" t="str">
        <x:f>"09352900"</x:f>
        <x:v>09352900</x:v>
      </x:c>
      <x:c r="B781" s="13" t="n">
        <x:v>42</x:v>
      </x:c>
      <x:c r="C781" s="22" t="b">
        <x:v>0</x:v>
      </x:c>
      <x:c r="D781" s="11" t="n">
        <x:v>0.0421836227178573</x:v>
      </x:c>
      <x:c r="E781" s="11" t="n">
        <x:v>0.0005329771180792</x:v>
      </x:c>
      <x:c r="F781" s="11" t="n">
        <x:v>0.4739454090595245</x:v>
      </x:c>
      <x:c r="G781" s="13" t="n">
        <x:v>9</x:v>
      </x:c>
      <x:c r="H781" s="11" t="n">
        <x:v>0.3469823896884918</x:v>
      </x:c>
      <x:c r="I781" s="11" t="n">
        <x:v>0.3908791244029999</x:v>
      </x:c>
      <x:c r="J781" s="24" t="n">
        <x:v>141.04672810714692</x:v>
      </x:c>
      <x:c r="K781" s="24" t="n">
        <x:v>161.70127320289612</x:v>
      </x:c>
      <x:c r="L781" s="11" t="n">
        <x:v>0.5086848735809326</x:v>
      </x:c>
      <x:c r="M781" s="11" t="n">
        <x:v>0.0999332070350647</x:v>
      </x:c>
    </x:row>
    <x:row r="782" ht="22" customHeight="1">
      <x:c r="A782" s="17" t="str">
        <x:f>"09378630"</x:f>
        <x:v>09378630</x:v>
      </x:c>
      <x:c r="B782" s="13" t="n">
        <x:v>42</x:v>
      </x:c>
      <x:c r="C782" s="22" t="b">
        <x:v>1</x:v>
      </x:c>
      <x:c r="D782" s="11" t="n">
        <x:v>0.028877887874841635</x:v>
      </x:c>
      <x:c r="E782" s="11" t="n">
        <x:v>0.00045846818829879996</x:v>
      </x:c>
      <x:c r="F782" s="11" t="n">
        <x:v>0.3762376308441162</x:v>
      </x:c>
      <x:c r="G782" s="13" t="n">
        <x:v>4</x:v>
      </x:c>
      <x:c r="H782" s="11" t="n">
        <x:v>0.0501756444573402</x:v>
      </x:c>
      <x:c r="I782" s="11" t="n">
        <x:v>0.0505954697728157</x:v>
      </x:c>
      <x:c r="J782" s="24" t="n">
        <x:v>137.43222652561963</x:v>
      </x:c>
      <x:c r="K782" s="24" t="n">
        <x:v>153.78286242485046</x:v>
      </x:c>
      <x:c r="L782" s="11" t="n">
        <x:v>0.6113861203193665</x:v>
      </x:c>
      <x:c r="M782" s="11" t="n">
        <x:v>0.0999393239617347</x:v>
      </x:c>
    </x:row>
    <x:row r="783" ht="22" customHeight="1">
      <x:c r="A783" s="17" t="str">
        <x:f>"09378630"</x:f>
        <x:v>09378630</x:v>
      </x:c>
      <x:c r="B783" s="13" t="n">
        <x:v>42</x:v>
      </x:c>
      <x:c r="C783" s="22" t="b">
        <x:v>0</x:v>
      </x:c>
      <x:c r="D783" s="11" t="n">
        <x:v>0.03556658389667663</x:v>
      </x:c>
      <x:c r="E783" s="11" t="n">
        <x:v>0.0004587651055771333</x:v>
      </x:c>
      <x:c r="F783" s="11" t="n">
        <x:v>0.4863523542881012</x:v>
      </x:c>
      <x:c r="G783" s="13" t="n">
        <x:v>6</x:v>
      </x:c>
      <x:c r="H783" s="11" t="n">
        <x:v>0.7790378332138062</x:v>
      </x:c>
      <x:c r="I783" s="11" t="n">
        <x:v>0.8533153533935547</x:v>
      </x:c>
      <x:c r="J783" s="24" t="n">
        <x:v>140.14700859878212</x:v>
      </x:c>
      <x:c r="K783" s="24" t="n">
        <x:v>165.4986412525177</x:v>
      </x:c>
      <x:c r="L783" s="11" t="n">
        <x:v>0.6674938201904297</x:v>
      </x:c>
      <x:c r="M783" s="11" t="n">
        <x:v>0.0999332070350647</x:v>
      </x:c>
    </x:row>
    <x:row r="784" ht="22" customHeight="1">
      <x:c r="A784" s="17" t="str">
        <x:f>"09386900"</x:f>
        <x:v>09386900</x:v>
      </x:c>
      <x:c r="B784" s="13" t="n">
        <x:v>42</x:v>
      </x:c>
      <x:c r="C784" s="22" t="b">
        <x:v>1</x:v>
      </x:c>
      <x:c r="D784" s="11" t="n">
        <x:v>0.014851485301429967</x:v>
      </x:c>
      <x:c r="E784" s="11" t="n">
        <x:v>0.0007888349549223667</x:v>
      </x:c>
      <x:c r="F784" s="11" t="n">
        <x:v>0.2896039485931396</x:v>
      </x:c>
      <x:c r="G784" s="13" t="n">
        <x:v>8</x:v>
      </x:c>
      <x:c r="H784" s="11" t="n">
        <x:v>0.0628749504685401</x:v>
      </x:c>
      <x:c r="I784" s="11" t="n">
        <x:v>0.0649716556072235</x:v>
      </x:c>
      <x:c r="J784" s="24" t="n">
        <x:v>144.33275834284723</x:v>
      </x:c>
      <x:c r="K784" s="24" t="n">
        <x:v>156.1590883731842</x:v>
      </x:c>
      <x:c r="L784" s="11" t="n">
        <x:v>0.3490099012851715</x:v>
      </x:c>
      <x:c r="M784" s="11" t="n">
        <x:v>0.0999393239617347</x:v>
      </x:c>
    </x:row>
    <x:row r="785" ht="22" customHeight="1">
      <x:c r="A785" s="17" t="str">
        <x:f>"09386900"</x:f>
        <x:v>09386900</x:v>
      </x:c>
      <x:c r="B785" s="13" t="n">
        <x:v>42</x:v>
      </x:c>
      <x:c r="C785" s="22" t="b">
        <x:v>0</x:v>
      </x:c>
      <x:c r="D785" s="11" t="n">
        <x:v>0.0438378825783729</x:v>
      </x:c>
      <x:c r="E785" s="11" t="n">
        <x:v>0.0005599632956242333</x:v>
      </x:c>
      <x:c r="F785" s="11" t="n">
        <x:v>0.5583126544952393</x:v>
      </x:c>
      <x:c r="G785" s="13" t="n">
        <x:v>8</x:v>
      </x:c>
      <x:c r="H785" s="11" t="n">
        <x:v>0.2262974381446838</x:v>
      </x:c>
      <x:c r="I785" s="11" t="n">
        <x:v>0.3288176953792572</x:v>
      </x:c>
      <x:c r="J785" s="24" t="n">
        <x:v>142.018877918832</x:v>
      </x:c>
      <x:c r="K785" s="24" t="n">
        <x:v>161.61591911315918</x:v>
      </x:c>
      <x:c r="L785" s="11" t="n">
        <x:v>0.6153846383094788</x:v>
      </x:c>
      <x:c r="M785" s="11" t="n">
        <x:v>0.0999332070350647</x:v>
      </x:c>
    </x:row>
    <x:row r="786" ht="22" customHeight="1">
      <x:c r="A786" s="17" t="str">
        <x:f>"09404450"</x:f>
        <x:v>09404450</x:v>
      </x:c>
      <x:c r="B786" s="13" t="n">
        <x:v>42</x:v>
      </x:c>
      <x:c r="C786" s="22" t="b">
        <x:v>1</x:v>
      </x:c>
      <x:c r="D786" s="11" t="n">
        <x:v>0.0115511552430689</x:v>
      </x:c>
      <x:c r="E786" s="11" t="n">
        <x:v>0.0004247572893897333</x:v>
      </x:c>
      <x:c r="F786" s="11" t="n">
        <x:v>0.2301980257034301</x:v>
      </x:c>
      <x:c r="G786" s="13" t="n">
        <x:v>10</x:v>
      </x:c>
      <x:c r="H786" s="11" t="n">
        <x:v>0.118844635784626</x:v>
      </x:c>
      <x:c r="I786" s="11" t="n">
        <x:v>0.118844635784626</x:v>
      </x:c>
      <x:c r="J786" s="24" t="n">
        <x:v>142.17272821161896</x:v>
      </x:c>
      <x:c r="K786" s="24" t="n">
        <x:v>151.2159984111786</x:v>
      </x:c>
      <x:c r="L786" s="11" t="n">
        <x:v>0.2301980257034301</x:v>
      </x:c>
      <x:c r="M786" s="11" t="n">
        <x:v>0.0999393239617347</x:v>
      </x:c>
    </x:row>
    <x:row r="787" ht="22" customHeight="1">
      <x:c r="A787" s="17" t="str">
        <x:f>"09404450"</x:f>
        <x:v>09404450</x:v>
      </x:c>
      <x:c r="B787" s="13" t="n">
        <x:v>42</x:v>
      </x:c>
      <x:c r="C787" s="22" t="b">
        <x:v>0</x:v>
      </x:c>
      <x:c r="D787" s="11" t="n">
        <x:v>0.040529362857341704</x:v>
      </x:c>
      <x:c r="E787" s="11" t="n">
        <x:v>0.0006139356604156</x:v>
      </x:c>
      <x:c r="F787" s="11" t="n">
        <x:v>0.4292804002761841</x:v>
      </x:c>
      <x:c r="G787" s="13" t="n">
        <x:v>2</x:v>
      </x:c>
      <x:c r="H787" s="11" t="n">
        <x:v>0.7003570795059204</x:v>
      </x:c>
      <x:c r="I787" s="11" t="n">
        <x:v>0.7919614911079407</x:v>
      </x:c>
      <x:c r="J787" s="24" t="n">
        <x:v>140.9370580399409</x:v>
      </x:c>
      <x:c r="K787" s="24" t="n">
        <x:v>159.16478729248047</x:v>
      </x:c>
      <x:c r="L787" s="11" t="n">
        <x:v>0.7493796348571777</x:v>
      </x:c>
      <x:c r="M787" s="11" t="n">
        <x:v>0.0999332070350647</x:v>
      </x:c>
    </x:row>
    <x:row r="788" ht="22" customHeight="1">
      <x:c r="A788" s="17" t="str">
        <x:f>"09430500"</x:f>
        <x:v>09430500</x:v>
      </x:c>
      <x:c r="B788" s="13" t="n">
        <x:v>42</x:v>
      </x:c>
      <x:c r="C788" s="22" t="b">
        <x:v>1</x:v>
      </x:c>
      <x:c r="D788" s="11" t="n">
        <x:v>0.014026402651021832</x:v>
      </x:c>
      <x:c r="E788" s="11" t="n">
        <x:v>0.0003640776752338334</x:v>
      </x:c>
      <x:c r="F788" s="11" t="n">
        <x:v>0.3242574334144592</x:v>
      </x:c>
      <x:c r="G788" s="13" t="n">
        <x:v>9</x:v>
      </x:c>
      <x:c r="H788" s="11" t="n">
        <x:v>0.3596155345439911</x:v>
      </x:c>
      <x:c r="I788" s="11" t="n">
        <x:v>0.605713963508606</x:v>
      </x:c>
      <x:c r="J788" s="24" t="n">
        <x:v>137.71615834534168</x:v>
      </x:c>
      <x:c r="K788" s="24" t="n">
        <x:v>152.38363933563232</x:v>
      </x:c>
      <x:c r="L788" s="11" t="n">
        <x:v>0.3564356565475464</x:v>
      </x:c>
      <x:c r="M788" s="11" t="n">
        <x:v>0.0999393239617347</x:v>
      </x:c>
    </x:row>
    <x:row r="789" ht="22" customHeight="1">
      <x:c r="A789" s="17" t="str">
        <x:f>"09430500"</x:f>
        <x:v>09430500</x:v>
      </x:c>
      <x:c r="B789" s="13" t="n">
        <x:v>42</x:v>
      </x:c>
      <x:c r="C789" s="22" t="b">
        <x:v>0</x:v>
      </x:c>
      <x:c r="D789" s="11" t="n">
        <x:v>0.029776674384872037</x:v>
      </x:c>
      <x:c r="E789" s="11" t="n">
        <x:v>0.0005734563940980334</x:v>
      </x:c>
      <x:c r="F789" s="11" t="n">
        <x:v>0.4367245733737945</x:v>
      </x:c>
      <x:c r="G789" s="13" t="n">
        <x:v>7</x:v>
      </x:c>
      <x:c r="H789" s="11" t="n">
        <x:v>0.6936047077178955</x:v>
      </x:c>
      <x:c r="I789" s="11" t="n">
        <x:v>0.8507768511772156</x:v>
      </x:c>
      <x:c r="J789" s="24" t="n">
        <x:v>138.3549955682829</x:v>
      </x:c>
      <x:c r="K789" s="24" t="n">
        <x:v>158.4597737789154</x:v>
      </x:c>
      <x:c r="L789" s="11" t="n">
        <x:v>0.5260545611381531</x:v>
      </x:c>
      <x:c r="M789" s="11" t="n">
        <x:v>0.0999332070350647</x:v>
      </x:c>
    </x:row>
    <x:row r="790" ht="22" customHeight="1">
      <x:c r="A790" s="17" t="str">
        <x:f>"09430600"</x:f>
        <x:v>09430600</x:v>
      </x:c>
      <x:c r="B790" s="13" t="n">
        <x:v>42</x:v>
      </x:c>
      <x:c r="C790" s="22" t="b">
        <x:v>1</x:v>
      </x:c>
      <x:c r="D790" s="11" t="n">
        <x:v>0.03052805364131923</x:v>
      </x:c>
      <x:c r="E790" s="11" t="n">
        <x:v>0.0004180150960261333</x:v>
      </x:c>
      <x:c r="F790" s="11" t="n">
        <x:v>0.344059407711029</x:v>
      </x:c>
      <x:c r="G790" s="13" t="n">
        <x:v>9</x:v>
      </x:c>
      <x:c r="H790" s="11" t="n">
        <x:v>5.825074195861816</x:v>
      </x:c>
      <x:c r="I790" s="11" t="n">
        <x:v>5.907160758972168</x:v>
      </x:c>
      <x:c r="J790" s="24" t="n">
        <x:v>135.98535690363497</x:v>
      </x:c>
      <x:c r="K790" s="24" t="n">
        <x:v>151.6838653087616</x:v>
      </x:c>
      <x:c r="L790" s="11" t="n">
        <x:v>0.3638613820075989</x:v>
      </x:c>
      <x:c r="M790" s="11" t="n">
        <x:v>0.0999393239617347</x:v>
      </x:c>
    </x:row>
    <x:row r="791" ht="22" customHeight="1">
      <x:c r="A791" s="17" t="str">
        <x:f>"09430600"</x:f>
        <x:v>09430600</x:v>
      </x:c>
      <x:c r="B791" s="13" t="n">
        <x:v>42</x:v>
      </x:c>
      <x:c r="C791" s="22" t="b">
        <x:v>0</x:v>
      </x:c>
      <x:c r="D791" s="11" t="n">
        <x:v>0.03473945396641883</x:v>
      </x:c>
      <x:c r="E791" s="11" t="n">
        <x:v>0.00020914292448036666</x:v>
      </x:c>
      <x:c r="F791" s="11" t="n">
        <x:v>0.4640198647975921</x:v>
      </x:c>
      <x:c r="G791" s="13" t="n">
        <x:v>8</x:v>
      </x:c>
      <x:c r="H791" s="11" t="n">
        <x:v>6.319049835205078</x:v>
      </x:c>
      <x:c r="I791" s="11" t="n">
        <x:v>6.353355407714844</x:v>
      </x:c>
      <x:c r="J791" s="24" t="n">
        <x:v>133.5016474807635</x:v>
      </x:c>
      <x:c r="K791" s="24" t="n">
        <x:v>152.98843693733215</x:v>
      </x:c>
      <x:c r="L791" s="11" t="n">
        <x:v>0.5334987640380859</x:v>
      </x:c>
      <x:c r="M791" s="11" t="n">
        <x:v>0.0999332070350647</x:v>
      </x:c>
    </x:row>
    <x:row r="792" ht="22" customHeight="1">
      <x:c r="A792" s="17" t="str">
        <x:f>"09492400"</x:f>
        <x:v>09492400</x:v>
      </x:c>
      <x:c r="B792" s="13" t="n">
        <x:v>42</x:v>
      </x:c>
      <x:c r="C792" s="22" t="b">
        <x:v>1</x:v>
      </x:c>
      <x:c r="D792" s="11" t="n">
        <x:v>0.0165016502141952</x:v>
      </x:c>
      <x:c r="E792" s="11" t="n">
        <x:v>0.0006000539287924333</x:v>
      </x:c>
      <x:c r="F792" s="11" t="n">
        <x:v>0.2252475321292877</x:v>
      </x:c>
      <x:c r="G792" s="13" t="n">
        <x:v>9</x:v>
      </x:c>
      <x:c r="H792" s="11" t="n">
        <x:v>0.0313302651047706</x:v>
      </x:c>
      <x:c r="I792" s="11" t="n">
        <x:v>0.0324052758514881</x:v>
      </x:c>
      <x:c r="J792" s="24" t="n">
        <x:v>138.08304074127227</x:v>
      </x:c>
      <x:c r="K792" s="24" t="n">
        <x:v>149.380304813385</x:v>
      </x:c>
      <x:c r="L792" s="11" t="n">
        <x:v>0.2673267424106598</x:v>
      </x:c>
      <x:c r="M792" s="11" t="n">
        <x:v>0.0999393239617347</x:v>
      </x:c>
    </x:row>
    <x:row r="793" ht="22" customHeight="1">
      <x:c r="A793" s="17" t="str">
        <x:f>"09492400"</x:f>
        <x:v>09492400</x:v>
      </x:c>
      <x:c r="B793" s="13" t="n">
        <x:v>42</x:v>
      </x:c>
      <x:c r="C793" s="22" t="b">
        <x:v>0</x:v>
      </x:c>
      <x:c r="D793" s="11" t="n">
        <x:v>0.0504549220204353</x:v>
      </x:c>
      <x:c r="E793" s="11" t="n">
        <x:v>0.00041828582955830005</x:v>
      </x:c>
      <x:c r="F793" s="11" t="n">
        <x:v>0.5905707478523254</x:v>
      </x:c>
      <x:c r="G793" s="13" t="n">
        <x:v>8</x:v>
      </x:c>
      <x:c r="H793" s="11" t="n">
        <x:v>0.2164582759141922</x:v>
      </x:c>
      <x:c r="I793" s="11" t="n">
        <x:v>0.2238341569900512</x:v>
      </x:c>
      <x:c r="J793" s="24" t="n">
        <x:v>136.59027360379696</x:v>
      </x:c>
      <x:c r="K793" s="24" t="n">
        <x:v>160.21666812896729</x:v>
      </x:c>
      <x:c r="L793" s="11" t="n">
        <x:v>0.6476426720619202</x:v>
      </x:c>
      <x:c r="M793" s="11" t="n">
        <x:v>0.0999332070350647</x:v>
      </x:c>
    </x:row>
    <x:row r="794" ht="22" customHeight="1">
      <x:c r="A794" s="17" t="str">
        <x:f>"09494000"</x:f>
        <x:v>09494000</x:v>
      </x:c>
      <x:c r="B794" s="13" t="n">
        <x:v>42</x:v>
      </x:c>
      <x:c r="C794" s="22" t="b">
        <x:v>1</x:v>
      </x:c>
      <x:c r="D794" s="11" t="n">
        <x:v>0.020627062457303166</x:v>
      </x:c>
      <x:c r="E794" s="11" t="n">
        <x:v>0.0008697411006626333</x:v>
      </x:c>
      <x:c r="F794" s="11" t="n">
        <x:v>0.2747524678707123</x:v>
      </x:c>
      <x:c r="G794" s="13" t="n">
        <x:v>2</x:v>
      </x:c>
      <x:c r="H794" s="11" t="n">
        <x:v>0.1878902316093444</x:v>
      </x:c>
      <x:c r="I794" s="11" t="n">
        <x:v>0.2018462270498275</x:v>
      </x:c>
      <x:c r="J794" s="24" t="n">
        <x:v>138.23914915695786</x:v>
      </x:c>
      <x:c r="K794" s="24" t="n">
        <x:v>156.10629105567932</x:v>
      </x:c>
      <x:c r="L794" s="11" t="n">
        <x:v>0.7252475023269653</x:v>
      </x:c>
      <x:c r="M794" s="11" t="n">
        <x:v>0.0999393239617347</x:v>
      </x:c>
    </x:row>
    <x:row r="795" ht="22" customHeight="1">
      <x:c r="A795" s="17" t="str">
        <x:f>"09494000"</x:f>
        <x:v>09494000</x:v>
      </x:c>
      <x:c r="B795" s="13" t="n">
        <x:v>42</x:v>
      </x:c>
      <x:c r="C795" s="22" t="b">
        <x:v>0</x:v>
      </x:c>
      <x:c r="D795" s="11" t="n">
        <x:v>0.0413564927875995</x:v>
      </x:c>
      <x:c r="E795" s="11" t="n">
        <x:v>0.00031708765406310004</x:v>
      </x:c>
      <x:c r="F795" s="11" t="n">
        <x:v>0.503722071647644</x:v>
      </x:c>
      <x:c r="G795" s="13" t="n">
        <x:v>7</x:v>
      </x:c>
      <x:c r="H795" s="11" t="n">
        <x:v>0.3432720899581909</x:v>
      </x:c>
      <x:c r="I795" s="11" t="n">
        <x:v>0.4113032817840576</x:v>
      </x:c>
      <x:c r="J795" s="24" t="n">
        <x:v>136.32299191970378</x:v>
      </x:c>
      <x:c r="K795" s="24" t="n">
        <x:v>158.63708090782166</x:v>
      </x:c>
      <x:c r="L795" s="11" t="n">
        <x:v>0.5880893468856812</x:v>
      </x:c>
      <x:c r="M795" s="11" t="n">
        <x:v>0.0999332070350647</x:v>
      </x:c>
    </x:row>
    <x:row r="796" ht="22" customHeight="1">
      <x:c r="A796" s="17" t="str">
        <x:f>"09497980"</x:f>
        <x:v>09497980</x:v>
      </x:c>
      <x:c r="B796" s="13" t="n">
        <x:v>42</x:v>
      </x:c>
      <x:c r="C796" s="22" t="b">
        <x:v>1</x:v>
      </x:c>
      <x:c r="D796" s="11" t="n">
        <x:v>0.04537953808903691</x:v>
      </x:c>
      <x:c r="E796" s="11" t="n">
        <x:v>0.00033036678117540004</x:v>
      </x:c>
      <x:c r="F796" s="11" t="n">
        <x:v>0.4826732575893402</x:v>
      </x:c>
      <x:c r="G796" s="13" t="n">
        <x:v>2</x:v>
      </x:c>
      <x:c r="H796" s="11" t="n">
        <x:v>1.1610188484191897</x:v>
      </x:c>
      <x:c r="I796" s="11" t="n">
        <x:v>1.1935652494430542</x:v>
      </x:c>
      <x:c r="J796" s="24" t="n">
        <x:v>140.50812954455614</x:v>
      </x:c>
      <x:c r="K796" s="24" t="n">
        <x:v>172.35252833366394</x:v>
      </x:c>
      <x:c r="L796" s="11" t="n">
        <x:v>0.8514851331710815</x:v>
      </x:c>
      <x:c r="M796" s="11" t="n">
        <x:v>0.0999393239617347</x:v>
      </x:c>
    </x:row>
    <x:row r="797" ht="22" customHeight="1">
      <x:c r="A797" s="17" t="str">
        <x:f>"09497980"</x:f>
        <x:v>09497980</x:v>
      </x:c>
      <x:c r="B797" s="13" t="n">
        <x:v>42</x:v>
      </x:c>
      <x:c r="C797" s="22" t="b">
        <x:v>0</x:v>
      </x:c>
      <x:c r="D797" s="11" t="n">
        <x:v>0.028949544454614232</x:v>
      </x:c>
      <x:c r="E797" s="11" t="n">
        <x:v>0.0004587651152784</x:v>
      </x:c>
      <x:c r="F797" s="11" t="n">
        <x:v>0.4069478809833526</x:v>
      </x:c>
      <x:c r="G797" s="13" t="n">
        <x:v>8</x:v>
      </x:c>
      <x:c r="H797" s="11" t="n">
        <x:v>1.0166114568710327</x:v>
      </x:c>
      <x:c r="I797" s="11" t="n">
        <x:v>1.155728101730347</x:v>
      </x:c>
      <x:c r="J797" s="24" t="n">
        <x:v>144.13280997332186</x:v>
      </x:c>
      <x:c r="K797" s="24" t="n">
        <x:v>158.38691401481628</x:v>
      </x:c>
      <x:c r="L797" s="11" t="n">
        <x:v>0.4590570628643036</x:v>
      </x:c>
      <x:c r="M797" s="11" t="n">
        <x:v>0.0999332070350647</x:v>
      </x:c>
    </x:row>
    <x:row r="798" ht="22" customHeight="1">
      <x:c r="A798" s="17" t="str">
        <x:f>"09505350"</x:f>
        <x:v>09505350</x:v>
      </x:c>
      <x:c r="B798" s="13" t="n">
        <x:v>42</x:v>
      </x:c>
      <x:c r="C798" s="22" t="b">
        <x:v>1</x:v>
      </x:c>
      <x:c r="D798" s="11" t="n">
        <x:v>0.02970297013719873</x:v>
      </x:c>
      <x:c r="E798" s="11" t="n">
        <x:v>0.0010787486486757332</x:v>
      </x:c>
      <x:c r="F798" s="11" t="n">
        <x:v>0.3712871372699737</x:v>
      </x:c>
      <x:c r="G798" s="13" t="n">
        <x:v>10</x:v>
      </x:c>
      <x:c r="H798" s="11" t="n">
        <x:v>0.465679794549942</x:v>
      </x:c>
      <x:c r="I798" s="11" t="n">
        <x:v>0.465679794549942</x:v>
      </x:c>
      <x:c r="J798" s="24" t="n">
        <x:v>138.15664498973638</x:v>
      </x:c>
      <x:c r="K798" s="24" t="n">
        <x:v>153.12066459655762</x:v>
      </x:c>
      <x:c r="L798" s="11" t="n">
        <x:v>0.3712871372699737</x:v>
      </x:c>
      <x:c r="M798" s="11" t="n">
        <x:v>0.0999393239617347</x:v>
      </x:c>
    </x:row>
    <x:row r="799" ht="22" customHeight="1">
      <x:c r="A799" s="17" t="str">
        <x:f>"09505350"</x:f>
        <x:v>09505350</x:v>
      </x:c>
      <x:c r="B799" s="13" t="n">
        <x:v>42</x:v>
      </x:c>
      <x:c r="C799" s="22" t="b">
        <x:v>0</x:v>
      </x:c>
      <x:c r="D799" s="11" t="n">
        <x:v>0.04549214305977023</x:v>
      </x:c>
      <x:c r="E799" s="11" t="n">
        <x:v>0.00031034110482623336</x:v>
      </x:c>
      <x:c r="F799" s="11" t="n">
        <x:v>0.4739454090595245</x:v>
      </x:c>
      <x:c r="G799" s="13" t="n">
        <x:v>4</x:v>
      </x:c>
      <x:c r="H799" s="11" t="n">
        <x:v>0.5077020525932312</x:v>
      </x:c>
      <x:c r="I799" s="11" t="n">
        <x:v>0.5672682523727417</x:v>
      </x:c>
      <x:c r="J799" s="24" t="n">
        <x:v>140.26465093437582</x:v>
      </x:c>
      <x:c r="K799" s="24" t="n">
        <x:v>159.25783896446228</x:v>
      </x:c>
      <x:c r="L799" s="11" t="n">
        <x:v>0.7022332549095154</x:v>
      </x:c>
      <x:c r="M799" s="11" t="n">
        <x:v>0.0999332070350647</x:v>
      </x:c>
    </x:row>
    <x:row r="800" ht="22" customHeight="1">
      <x:c r="A800" s="17" t="str">
        <x:f>"09505800"</x:f>
        <x:v>09505800</x:v>
      </x:c>
      <x:c r="B800" s="13" t="n">
        <x:v>42</x:v>
      </x:c>
      <x:c r="C800" s="22" t="b">
        <x:v>1</x:v>
      </x:c>
      <x:c r="D800" s="11" t="n">
        <x:v>0.04867986838022864</x:v>
      </x:c>
      <x:c r="E800" s="11" t="n">
        <x:v>0.0007011866255197333</x:v>
      </x:c>
      <x:c r="F800" s="11" t="n">
        <x:v>0.4133663475513458</x:v>
      </x:c>
      <x:c r="G800" s="13" t="n">
        <x:v>5</x:v>
      </x:c>
      <x:c r="H800" s="11" t="n">
        <x:v>0.7473114132881165</x:v>
      </x:c>
      <x:c r="I800" s="11" t="n">
        <x:v>0.8123856782913208</x:v>
      </x:c>
      <x:c r="J800" s="24" t="n">
        <x:v>140.6944252466783</x:v>
      </x:c>
      <x:c r="K800" s="24" t="n">
        <x:v>155.1268334388733</x:v>
      </x:c>
      <x:c r="L800" s="11" t="n">
        <x:v>0.6311880946159363</x:v>
      </x:c>
      <x:c r="M800" s="11" t="n">
        <x:v>0.0999393239617347</x:v>
      </x:c>
    </x:row>
    <x:row r="801" ht="22" customHeight="1">
      <x:c r="A801" s="17" t="str">
        <x:f>"09505800"</x:f>
        <x:v>09505800</x:v>
      </x:c>
      <x:c r="B801" s="13" t="n">
        <x:v>42</x:v>
      </x:c>
      <x:c r="C801" s="22" t="b">
        <x:v>0</x:v>
      </x:c>
      <x:c r="D801" s="11" t="n">
        <x:v>0.03887510361770783</x:v>
      </x:c>
      <x:c r="E801" s="11" t="n">
        <x:v>0.0003103411096768333</x:v>
      </x:c>
      <x:c r="F801" s="11" t="n">
        <x:v>0.4243176281452179</x:v>
      </x:c>
      <x:c r="G801" s="13" t="n">
        <x:v>1</x:v>
      </x:c>
      <x:c r="H801" s="11" t="n">
        <x:v>0.8150879144668579</x:v>
      </x:c>
      <x:c r="I801" s="11" t="n">
        <x:v>1.0225385427474976</x:v>
      </x:c>
      <x:c r="J801" s="24" t="n">
        <x:v>140.05454864166677</x:v>
      </x:c>
      <x:c r="K801" s="24" t="n">
        <x:v>160.504949092865</x:v>
      </x:c>
      <x:c r="L801" s="11" t="n">
        <x:v>0.9478908181190492</x:v>
      </x:c>
      <x:c r="M801" s="11" t="n">
        <x:v>0.0999332070350647</x:v>
      </x:c>
    </x:row>
    <x:row r="802" ht="22" customHeight="1">
      <x:c r="A802" s="17" t="str">
        <x:f>"09508300"</x:f>
        <x:v>09508300</x:v>
      </x:c>
      <x:c r="B802" s="13" t="n">
        <x:v>42</x:v>
      </x:c>
      <x:c r="C802" s="22" t="b">
        <x:v>1</x:v>
      </x:c>
      <x:c r="D802" s="11" t="n">
        <x:v>0.028052805612484567</x:v>
      </x:c>
      <x:c r="E802" s="11" t="n">
        <x:v>0.0006202804894806667</x:v>
      </x:c>
      <x:c r="F802" s="11" t="n">
        <x:v>0.3217821717262268</x:v>
      </x:c>
      <x:c r="G802" s="13" t="n">
        <x:v>3</x:v>
      </x:c>
      <x:c r="H802" s="11" t="n">
        <x:v>1.4957884550094604</x:v>
      </x:c>
      <x:c r="I802" s="11" t="n">
        <x:v>1.6126152276992798</x:v>
      </x:c>
      <x:c r="J802" s="24" t="n">
        <x:v>135.36274049337953</x:v>
      </x:c>
      <x:c r="K802" s="24" t="n">
        <x:v>150.2012300491333</x:v>
      </x:c>
      <x:c r="L802" s="11" t="n">
        <x:v>0.6336633563041687</x:v>
      </x:c>
      <x:c r="M802" s="11" t="n">
        <x:v>0.0999393239617347</x:v>
      </x:c>
    </x:row>
    <x:row r="803" ht="22" customHeight="1">
      <x:c r="A803" s="17" t="str">
        <x:f>"09508300"</x:f>
        <x:v>09508300</x:v>
      </x:c>
      <x:c r="B803" s="13" t="n">
        <x:v>42</x:v>
      </x:c>
      <x:c r="C803" s="22" t="b">
        <x:v>0</x:v>
      </x:c>
      <x:c r="D803" s="11" t="n">
        <x:v>0.027295285214980366</x:v>
      </x:c>
      <x:c r="E803" s="11" t="n">
        <x:v>0.0004992443912972666</x:v>
      </x:c>
      <x:c r="F803" s="11" t="n">
        <x:v>0.3424317538738251</x:v>
      </x:c>
      <x:c r="G803" s="13" t="n">
        <x:v>10</x:v>
      </x:c>
      <x:c r="H803" s="11" t="n">
        <x:v>1.5840202569961548</x:v>
      </x:c>
      <x:c r="I803" s="11" t="n">
        <x:v>1.5840202569961548</x:v>
      </x:c>
      <x:c r="J803" s="24" t="n">
        <x:v>136.8609795924276</x:v>
      </x:c>
      <x:c r="K803" s="24" t="n">
        <x:v>148.24149417877197</x:v>
      </x:c>
      <x:c r="L803" s="11" t="n">
        <x:v>0.3424317538738251</x:v>
      </x:c>
      <x:c r="M803" s="11" t="n">
        <x:v>0.0999332070350647</x:v>
      </x:c>
    </x:row>
    <x:row r="804" ht="22" customHeight="1">
      <x:c r="A804" s="17" t="str">
        <x:f>"09510200"</x:f>
        <x:v>09510200</x:v>
      </x:c>
      <x:c r="B804" s="13" t="n">
        <x:v>42</x:v>
      </x:c>
      <x:c r="C804" s="22" t="b">
        <x:v>1</x:v>
      </x:c>
      <x:c r="D804" s="11" t="n">
        <x:v>0.017326733097434</x:v>
      </x:c>
      <x:c r="E804" s="11" t="n">
        <x:v>0.0006809600939353001</x:v>
      </x:c>
      <x:c r="F804" s="11" t="n">
        <x:v>0.3069306910037994</x:v>
      </x:c>
      <x:c r="G804" s="13" t="n">
        <x:v>1</x:v>
      </x:c>
      <x:c r="H804" s="11" t="n">
        <x:v>1.1730247735977173</x:v>
      </x:c>
      <x:c r="I804" s="11" t="n">
        <x:v>1.284022569656372</x:v>
      </x:c>
      <x:c r="J804" s="24" t="n">
        <x:v>138.39031750708818</x:v>
      </x:c>
      <x:c r="K804" s="24" t="n">
        <x:v>161.28345274925232</x:v>
      </x:c>
      <x:c r="L804" s="11" t="n">
        <x:v>0.8564356565475464</x:v>
      </x:c>
      <x:c r="M804" s="11" t="n">
        <x:v>0.0999393239617347</x:v>
      </x:c>
    </x:row>
    <x:row r="805" ht="22" customHeight="1">
      <x:c r="A805" s="17" t="str">
        <x:f>"09510200"</x:f>
        <x:v>09510200</x:v>
      </x:c>
      <x:c r="B805" s="13" t="n">
        <x:v>42</x:v>
      </x:c>
      <x:c r="C805" s="22" t="b">
        <x:v>0</x:v>
      </x:c>
      <x:c r="D805" s="11" t="n">
        <x:v>0.02894954445461423</x:v>
      </x:c>
      <x:c r="E805" s="11" t="n">
        <x:v>0.0004452720265059</x:v>
      </x:c>
      <x:c r="F805" s="11" t="n">
        <x:v>0.3473945558071136</x:v>
      </x:c>
      <x:c r="G805" s="13" t="n">
        <x:v>7</x:v>
      </x:c>
      <x:c r="H805" s="11" t="n">
        <x:v>1.1258659362792969</x:v>
      </x:c>
      <x:c r="I805" s="11" t="n">
        <x:v>1.3281267881393433</x:v>
      </x:c>
      <x:c r="J805" s="24" t="n">
        <x:v>139.3204022916034</x:v>
      </x:c>
      <x:c r="K805" s="24" t="n">
        <x:v>153.61791825294495</x:v>
      </x:c>
      <x:c r="L805" s="11" t="n">
        <x:v>0.4243176281452179</x:v>
      </x:c>
      <x:c r="M805" s="11" t="n">
        <x:v>0.0999332070350647</x:v>
      </x:c>
    </x:row>
    <x:row r="806" ht="22" customHeight="1">
      <x:c r="A806" s="17" t="str">
        <x:f>"09513780"</x:f>
        <x:v>09513780</x:v>
      </x:c>
      <x:c r="B806" s="13" t="n">
        <x:v>42</x:v>
      </x:c>
      <x:c r="C806" s="22" t="b">
        <x:v>1</x:v>
      </x:c>
      <x:c r="D806" s="11" t="n">
        <x:v>0.018976897932589002</x:v>
      </x:c>
      <x:c r="E806" s="11" t="n">
        <x:v>0.00034385113879876664</x:v>
      </x:c>
      <x:c r="F806" s="11" t="n">
        <x:v>0.3168316781520843</x:v>
      </x:c>
      <x:c r="G806" s="13" t="n">
        <x:v>1</x:v>
      </x:c>
      <x:c r="H806" s="11" t="n">
        <x:v>0.4179246723651886</x:v>
      </x:c>
      <x:c r="I806" s="11" t="n">
        <x:v>0.4364765882492065</x:v>
      </x:c>
      <x:c r="J806" s="24" t="n">
        <x:v>139.39441084396094</x:v>
      </x:c>
      <x:c r="K806" s="24" t="n">
        <x:v>162.8232479095459</x:v>
      </x:c>
      <x:c r="L806" s="11" t="n">
        <x:v>0.9603960514068604</x:v>
      </x:c>
      <x:c r="M806" s="11" t="n">
        <x:v>0.0999393239617347</x:v>
      </x:c>
    </x:row>
    <x:row r="807" ht="22" customHeight="1">
      <x:c r="A807" s="17" t="str">
        <x:f>"09513780"</x:f>
        <x:v>09513780</x:v>
      </x:c>
      <x:c r="B807" s="13" t="n">
        <x:v>42</x:v>
      </x:c>
      <x:c r="C807" s="22" t="b">
        <x:v>0</x:v>
      </x:c>
      <x:c r="D807" s="11" t="n">
        <x:v>0.0231596361845731</x:v>
      </x:c>
      <x:c r="E807" s="11" t="n">
        <x:v>0.00021588946886663335</x:v>
      </x:c>
      <x:c r="F807" s="11" t="n">
        <x:v>0.3473945558071136</x:v>
      </x:c>
      <x:c r="G807" s="13" t="n">
        <x:v>8</x:v>
      </x:c>
      <x:c r="H807" s="11" t="n">
        <x:v>0.4156418442726135</x:v>
      </x:c>
      <x:c r="I807" s="11" t="n">
        <x:v>0.4330958724021911</x:v>
      </x:c>
      <x:c r="J807" s="24" t="n">
        <x:v>138.78322207089514</x:v>
      </x:c>
      <x:c r="K807" s="24" t="n">
        <x:v>152.13986992835999</x:v>
      </x:c>
      <x:c r="L807" s="11" t="n">
        <x:v>0.3895781636238098</x:v>
      </x:c>
      <x:c r="M807" s="11" t="n">
        <x:v>0.0999332070350647</x:v>
      </x:c>
    </x:row>
    <x:row r="808" ht="22" customHeight="1">
      <x:c r="A808" s="17" t="str">
        <x:f>"10172700"</x:f>
        <x:v>10172700</x:v>
      </x:c>
      <x:c r="B808" s="13" t="n">
        <x:v>42</x:v>
      </x:c>
      <x:c r="C808" s="22" t="b">
        <x:v>1</x:v>
      </x:c>
      <x:c r="D808" s="11" t="n">
        <x:v>0.02310231017569697</x:v>
      </x:c>
      <x:c r="E808" s="11" t="n">
        <x:v>0.0006877022678963667</x:v>
      </x:c>
      <x:c r="F808" s="11" t="n">
        <x:v>0.3663366436958313</x:v>
      </x:c>
      <x:c r="G808" s="13" t="n">
        <x:v>10</x:v>
      </x:c>
      <x:c r="H808" s="11" t="n">
        <x:v>0.1103907972574234</x:v>
      </x:c>
      <x:c r="I808" s="11" t="n">
        <x:v>0.1103907972574234</x:v>
      </x:c>
      <x:c r="J808" s="24" t="n">
        <x:v>138.7070580162108</x:v>
      </x:c>
      <x:c r="K808" s="24" t="n">
        <x:v>149.0699610710144</x:v>
      </x:c>
      <x:c r="L808" s="11" t="n">
        <x:v>0.3663366436958313</x:v>
      </x:c>
      <x:c r="M808" s="11" t="n">
        <x:v>0.0999393239617347</x:v>
      </x:c>
    </x:row>
    <x:row r="809" ht="22" customHeight="1">
      <x:c r="A809" s="17" t="str">
        <x:f>"10172700"</x:f>
        <x:v>10172700</x:v>
      </x:c>
      <x:c r="B809" s="13" t="n">
        <x:v>42</x:v>
      </x:c>
      <x:c r="C809" s="22" t="b">
        <x:v>0</x:v>
      </x:c>
      <x:c r="D809" s="11" t="n">
        <x:v>0.03639371382693443</x:v>
      </x:c>
      <x:c r="E809" s="11" t="n">
        <x:v>0.00039129965201326663</x:v>
      </x:c>
      <x:c r="F809" s="11" t="n">
        <x:v>0.394540935754776</x:v>
      </x:c>
      <x:c r="G809" s="13" t="n">
        <x:v>6</x:v>
      </x:c>
      <x:c r="H809" s="11" t="n">
        <x:v>0.5212814807891846</x:v>
      </x:c>
      <x:c r="I809" s="11" t="n">
        <x:v>0.6002331972122192</x:v>
      </x:c>
      <x:c r="J809" s="24" t="n">
        <x:v>136.51292482670397</x:v>
      </x:c>
      <x:c r="K809" s="24" t="n">
        <x:v>152.79269576072693</x:v>
      </x:c>
      <x:c r="L809" s="11" t="n">
        <x:v>0.518610417842865</x:v>
      </x:c>
      <x:c r="M809" s="11" t="n">
        <x:v>0.0999332070350647</x:v>
      </x:c>
    </x:row>
    <x:row r="810" ht="22" customHeight="1">
      <x:c r="A810" s="17" t="str">
        <x:f>"10172800"</x:f>
        <x:v>10172800</x:v>
      </x:c>
      <x:c r="B810" s="13" t="n">
        <x:v>42</x:v>
      </x:c>
      <x:c r="C810" s="22" t="b">
        <x:v>1</x:v>
      </x:c>
      <x:c r="D810" s="11" t="n">
        <x:v>0.010726072515050533</x:v>
      </x:c>
      <x:c r="E810" s="11" t="n">
        <x:v>0.0007079288091820665</x:v>
      </x:c>
      <x:c r="F810" s="11" t="n">
        <x:v>0.2425742596387863</x:v>
      </x:c>
      <x:c r="G810" s="13" t="n">
        <x:v>2</x:v>
      </x:c>
      <x:c r="H810" s="11" t="n">
        <x:v>0.031859278678894</x:v>
      </x:c>
      <x:c r="I810" s="11" t="n">
        <x:v>0.0334503911435604</x:v>
      </x:c>
      <x:c r="J810" s="24" t="n">
        <x:v>141.64296062849462</x:v>
      </x:c>
      <x:c r="K810" s="24" t="n">
        <x:v>157.96085166931152</x:v>
      </x:c>
      <x:c r="L810" s="11" t="n">
        <x:v>0.75</x:v>
      </x:c>
      <x:c r="M810" s="11" t="n">
        <x:v>0.0999393239617347</x:v>
      </x:c>
    </x:row>
    <x:row r="811" ht="22" customHeight="1">
      <x:c r="A811" s="17" t="str">
        <x:f>"10172800"</x:f>
        <x:v>10172800</x:v>
      </x:c>
      <x:c r="B811" s="13" t="n">
        <x:v>42</x:v>
      </x:c>
      <x:c r="C811" s="22" t="b">
        <x:v>0</x:v>
      </x:c>
      <x:c r="D811" s="11" t="n">
        <x:v>0.033085194105903236</x:v>
      </x:c>
      <x:c r="E811" s="11" t="n">
        <x:v>0.00029010146196613334</x:v>
      </x:c>
      <x:c r="F811" s="11" t="n">
        <x:v>0.4367245733737945</x:v>
      </x:c>
      <x:c r="G811" s="13" t="n">
        <x:v>3</x:v>
      </x:c>
      <x:c r="H811" s="11" t="n">
        <x:v>0.292820394039154</x:v>
      </x:c>
      <x:c r="I811" s="11" t="n">
        <x:v>0.3449852764606476</x:v>
      </x:c>
      <x:c r="J811" s="24" t="n">
        <x:v>140.6346326014027</x:v>
      </x:c>
      <x:c r="K811" s="24" t="n">
        <x:v>162.1591033935547</x:v>
      </x:c>
      <x:c r="L811" s="11" t="n">
        <x:v>0.774193525314331</x:v>
      </x:c>
      <x:c r="M811" s="11" t="n">
        <x:v>0.0999332070350647</x:v>
      </x:c>
    </x:row>
    <x:row r="812" ht="22" customHeight="1">
      <x:c r="A812" s="17" t="str">
        <x:f>"10173450"</x:f>
        <x:v>10173450</x:v>
      </x:c>
      <x:c r="B812" s="13" t="n">
        <x:v>42</x:v>
      </x:c>
      <x:c r="C812" s="22" t="b">
        <x:v>1</x:v>
      </x:c>
      <x:c r="D812" s="11" t="n">
        <x:v>0.009900990097473033</x:v>
      </x:c>
      <x:c r="E812" s="11" t="n">
        <x:v>0.0004921790872079</x:v>
      </x:c>
      <x:c r="F812" s="11" t="n">
        <x:v>0.2029702961444854</x:v>
      </x:c>
      <x:c r="G812" s="13" t="n">
        <x:v>10</x:v>
      </x:c>
      <x:c r="H812" s="11" t="n">
        <x:v>0.0549440272152423</x:v>
      </x:c>
      <x:c r="I812" s="11" t="n">
        <x:v>0.0549440272152423</x:v>
      </x:c>
      <x:c r="J812" s="24" t="n">
        <x:v>137.07638413459063</x:v>
      </x:c>
      <x:c r="K812" s="24" t="n">
        <x:v>144.06710958480835</x:v>
      </x:c>
      <x:c r="L812" s="11" t="n">
        <x:v>0.2029702961444854</x:v>
      </x:c>
      <x:c r="M812" s="11" t="n">
        <x:v>0.0999393239617347</x:v>
      </x:c>
    </x:row>
    <x:row r="813" ht="22" customHeight="1">
      <x:c r="A813" s="17" t="str">
        <x:f>"10173450"</x:f>
        <x:v>10173450</x:v>
      </x:c>
      <x:c r="B813" s="13" t="n">
        <x:v>42</x:v>
      </x:c>
      <x:c r="C813" s="22" t="b">
        <x:v>0</x:v>
      </x:c>
      <x:c r="D813" s="11" t="n">
        <x:v>0.041356493408481236</x:v>
      </x:c>
      <x:c r="E813" s="11" t="n">
        <x:v>0.00033058074768626666</x:v>
      </x:c>
      <x:c r="F813" s="11" t="n">
        <x:v>0.4640198647975921</x:v>
      </x:c>
      <x:c r="G813" s="13" t="n">
        <x:v>4</x:v>
      </x:c>
      <x:c r="H813" s="11" t="n">
        <x:v>1.1013985872268677</x:v>
      </x:c>
      <x:c r="I813" s="11" t="n">
        <x:v>1.3539398908615112</x:v>
      </x:c>
      <x:c r="J813" s="24" t="n">
        <x:v>137.33564480673522</x:v>
      </x:c>
      <x:c r="K813" s="24" t="n">
        <x:v>160.97894716262817</x:v>
      </x:c>
      <x:c r="L813" s="11" t="n">
        <x:v>0.707196056842804</x:v>
      </x:c>
      <x:c r="M813" s="11" t="n">
        <x:v>0.0999332070350647</x:v>
      </x:c>
    </x:row>
    <x:row r="814" ht="22" customHeight="1">
      <x:c r="A814" s="17" t="str">
        <x:f>"10205030"</x:f>
        <x:v>10205030</x:v>
      </x:c>
      <x:c r="B814" s="13" t="n">
        <x:v>42</x:v>
      </x:c>
      <x:c r="C814" s="22" t="b">
        <x:v>1</x:v>
      </x:c>
      <x:c r="D814" s="11" t="n">
        <x:v>0.010726072515050533</x:v>
      </x:c>
      <x:c r="E814" s="11" t="n">
        <x:v>0.0005933117742339334</x:v>
      </x:c>
      <x:c r="F814" s="11" t="n">
        <x:v>0.344059407711029</x:v>
      </x:c>
      <x:c r="G814" s="13" t="n">
        <x:v>10</x:v>
      </x:c>
      <x:c r="H814" s="11" t="n">
        <x:v>0.0113622192293405</x:v>
      </x:c>
      <x:c r="I814" s="11" t="n">
        <x:v>0.0113622192293405</x:v>
      </x:c>
      <x:c r="J814" s="24" t="n">
        <x:v>137.70463240891695</x:v>
      </x:c>
      <x:c r="K814" s="24" t="n">
        <x:v>147.0498652458191</x:v>
      </x:c>
      <x:c r="L814" s="11" t="n">
        <x:v>0.344059407711029</x:v>
      </x:c>
      <x:c r="M814" s="11" t="n">
        <x:v>0.0999393239617347</x:v>
      </x:c>
    </x:row>
    <x:row r="815" ht="22" customHeight="1">
      <x:c r="A815" s="17" t="str">
        <x:f>"10205030"</x:f>
        <x:v>10205030</x:v>
      </x:c>
      <x:c r="B815" s="13" t="n">
        <x:v>42</x:v>
      </x:c>
      <x:c r="C815" s="22" t="b">
        <x:v>0</x:v>
      </x:c>
      <x:c r="D815" s="11" t="n">
        <x:v>0.034739453345537095</x:v>
      </x:c>
      <x:c r="E815" s="11" t="n">
        <x:v>0.0005464702068517334</x:v>
      </x:c>
      <x:c r="F815" s="11" t="n">
        <x:v>0.4416873455047607</x:v>
      </x:c>
      <x:c r="G815" s="13" t="n">
        <x:v>10</x:v>
      </x:c>
      <x:c r="H815" s="11" t="n">
        <x:v>0.1493207067251205</x:v>
      </x:c>
      <x:c r="I815" s="11" t="n">
        <x:v>0.1493207067251205</x:v>
      </x:c>
      <x:c r="J815" s="24" t="n">
        <x:v>135.86281683575362</x:v>
      </x:c>
      <x:c r="K815" s="24" t="n">
        <x:v>151.60546398162842</x:v>
      </x:c>
      <x:c r="L815" s="11" t="n">
        <x:v>0.4416873455047607</x:v>
      </x:c>
      <x:c r="M815" s="11" t="n">
        <x:v>0.0999332070350647</x:v>
      </x:c>
    </x:row>
    <x:row r="816" ht="22" customHeight="1">
      <x:c r="A816" s="17" t="str">
        <x:f>"10234500"</x:f>
        <x:v>10234500</x:v>
      </x:c>
      <x:c r="B816" s="13" t="n">
        <x:v>42</x:v>
      </x:c>
      <x:c r="C816" s="22" t="b">
        <x:v>1</x:v>
      </x:c>
      <x:c r="D816" s="11" t="n">
        <x:v>0.010726072670270965</x:v>
      </x:c>
      <x:c r="E816" s="11" t="n">
        <x:v>0.0006877022678963667</x:v>
      </x:c>
      <x:c r="F816" s="11" t="n">
        <x:v>0.3217821717262268</x:v>
      </x:c>
      <x:c r="G816" s="13" t="n">
        <x:v>1</x:v>
      </x:c>
      <x:c r="H816" s="11" t="n">
        <x:v>0.0127449389547109</x:v>
      </x:c>
      <x:c r="I816" s="11" t="n">
        <x:v>0.0170518737286329</x:v>
      </x:c>
      <x:c r="J816" s="24" t="n">
        <x:v>139.40720426291227</x:v>
      </x:c>
      <x:c r="K816" s="24" t="n">
        <x:v>164.86713695526123</x:v>
      </x:c>
      <x:c r="L816" s="11" t="n">
        <x:v>0.9257425665855408</x:v>
      </x:c>
      <x:c r="M816" s="11" t="n">
        <x:v>0.0999393239617347</x:v>
      </x:c>
    </x:row>
    <x:row r="817" ht="22" customHeight="1">
      <x:c r="A817" s="17" t="str">
        <x:f>"10234500"</x:f>
        <x:v>10234500</x:v>
      </x:c>
      <x:c r="B817" s="13" t="n">
        <x:v>42</x:v>
      </x:c>
      <x:c r="C817" s="22" t="b">
        <x:v>0</x:v>
      </x:c>
      <x:c r="D817" s="11" t="n">
        <x:v>0.03391232403616103</x:v>
      </x:c>
      <x:c r="E817" s="11" t="n">
        <x:v>0.0004520185660415333</x:v>
      </x:c>
      <x:c r="F817" s="11" t="n">
        <x:v>0.4367245733737945</x:v>
      </x:c>
      <x:c r="G817" s="13" t="n">
        <x:v>2</x:v>
      </x:c>
      <x:c r="H817" s="11" t="n">
        <x:v>0.4122233390808105</x:v>
      </x:c>
      <x:c r="I817" s="11" t="n">
        <x:v>0.5093433856964111</x:v>
      </x:c>
      <x:c r="J817" s="24" t="n">
        <x:v>136.56777177099138</x:v>
      </x:c>
      <x:c r="K817" s="24" t="n">
        <x:v>157.10322976112366</x:v>
      </x:c>
      <x:c r="L817" s="11" t="n">
        <x:v>0.8114144206047058</x:v>
      </x:c>
      <x:c r="M817" s="11" t="n">
        <x:v>0.0999332070350647</x:v>
      </x:c>
    </x:row>
    <x:row r="818" ht="22" customHeight="1">
      <x:c r="A818" s="17" t="str">
        <x:f>"10242000"</x:f>
        <x:v>10242000</x:v>
      </x:c>
      <x:c r="B818" s="13" t="n">
        <x:v>42</x:v>
      </x:c>
      <x:c r="C818" s="22" t="b">
        <x:v>1</x:v>
      </x:c>
      <x:c r="D818" s="11" t="n">
        <x:v>0.0082508251070976</x:v>
      </x:c>
      <x:c r="E818" s="11" t="n">
        <x:v>0.00023597626568513334</x:v>
      </x:c>
      <x:c r="F818" s="11" t="n">
        <x:v>0.3193069398403168</x:v>
      </x:c>
      <x:c r="G818" s="13" t="n">
        <x:v>9</x:v>
      </x:c>
      <x:c r="H818" s="11" t="n">
        <x:v>0.1166022419929504</x:v>
      </x:c>
      <x:c r="I818" s="11" t="n">
        <x:v>0.1313151717185974</x:v>
      </x:c>
      <x:c r="J818" s="24" t="n">
        <x:v>138.6061517689377</x:v>
      </x:c>
      <x:c r="K818" s="24" t="n">
        <x:v>150.22687697410583</x:v>
      </x:c>
      <x:c r="L818" s="11" t="n">
        <x:v>0.3514851629734039</x:v>
      </x:c>
      <x:c r="M818" s="11" t="n">
        <x:v>0.0999393239617347</x:v>
      </x:c>
    </x:row>
    <x:row r="819" ht="22" customHeight="1">
      <x:c r="A819" s="17" t="str">
        <x:f>"10242000"</x:f>
        <x:v>10242000</x:v>
      </x:c>
      <x:c r="B819" s="13" t="n">
        <x:v>42</x:v>
      </x:c>
      <x:c r="C819" s="22" t="b">
        <x:v>0</x:v>
      </x:c>
      <x:c r="D819" s="11" t="n">
        <x:v>0.0463192723691463</x:v>
      </x:c>
      <x:c r="E819" s="11" t="n">
        <x:v>0.00038455310277633333</x:v>
      </x:c>
      <x:c r="F819" s="11" t="n">
        <x:v>0.518610417842865</x:v>
      </x:c>
      <x:c r="G819" s="13" t="n">
        <x:v>5</x:v>
      </x:c>
      <x:c r="H819" s="11" t="n">
        <x:v>1.3424713611602783</x:v>
      </x:c>
      <x:c r="I819" s="11" t="n">
        <x:v>1.5430424213409424</x:v>
      </x:c>
      <x:c r="J819" s="24" t="n">
        <x:v>139.57679850887507</x:v>
      </x:c>
      <x:c r="K819" s="24" t="n">
        <x:v>163.40087699890137</x:v>
      </x:c>
      <x:c r="L819" s="11" t="n">
        <x:v>0.6997518539428711</x:v>
      </x:c>
      <x:c r="M819" s="11" t="n">
        <x:v>0.0999332070350647</x:v>
      </x:c>
    </x:row>
    <x:row r="820" ht="22" customHeight="1">
      <x:c r="A820" s="17" t="str">
        <x:f>"10244950"</x:f>
        <x:v>10244950</x:v>
      </x:c>
      <x:c r="B820" s="13" t="n">
        <x:v>42</x:v>
      </x:c>
      <x:c r="C820" s="22" t="b">
        <x:v>1</x:v>
      </x:c>
      <x:c r="D820" s="11" t="n">
        <x:v>0.0148514853790402</x:v>
      </x:c>
      <x:c r="E820" s="11" t="n">
        <x:v>0.0006135382961171</x:v>
      </x:c>
      <x:c r="F820" s="11" t="n">
        <x:v>0.2103960365056991</x:v>
      </x:c>
      <x:c r="G820" s="13" t="n">
        <x:v>3</x:v>
      </x:c>
      <x:c r="H820" s="11" t="n">
        <x:v>0.0055106729269027</x:v>
      </x:c>
      <x:c r="I820" s="11" t="n">
        <x:v>0.0060779508203268</x:v>
      </x:c>
      <x:c r="J820" s="24" t="n">
        <x:v>139.04851765092462</x:v>
      </x:c>
      <x:c r="K820" s="24" t="n">
        <x:v>154.585289478302</x:v>
      </x:c>
      <x:c r="L820" s="11" t="n">
        <x:v>0.5346534848213196</x:v>
      </x:c>
      <x:c r="M820" s="11" t="n">
        <x:v>0.0999393239617347</x:v>
      </x:c>
    </x:row>
    <x:row r="821" ht="22" customHeight="1">
      <x:c r="A821" s="17" t="str">
        <x:f>"10244950"</x:f>
        <x:v>10244950</x:v>
      </x:c>
      <x:c r="B821" s="13" t="n">
        <x:v>42</x:v>
      </x:c>
      <x:c r="C821" s="22" t="b">
        <x:v>0</x:v>
      </x:c>
      <x:c r="D821" s="11" t="n">
        <x:v>0.036393713206052704</x:v>
      </x:c>
      <x:c r="E821" s="11" t="n">
        <x:v>0.0003103411048262</x:v>
      </x:c>
      <x:c r="F821" s="11" t="n">
        <x:v>0.4218362271785736</x:v>
      </x:c>
      <x:c r="G821" s="13" t="n">
        <x:v>8</x:v>
      </x:c>
      <x:c r="H821" s="11" t="n">
        <x:v>0.6342239379882812</x:v>
      </x:c>
      <x:c r="I821" s="11" t="n">
        <x:v>0.7025275230407715</x:v>
      </x:c>
      <x:c r="J821" s="24" t="n">
        <x:v>135.87997462321073</x:v>
      </x:c>
      <x:c r="K821" s="24" t="n">
        <x:v>159.89574265480042</x:v>
      </x:c>
      <x:c r="L821" s="11" t="n">
        <x:v>0.5111662745475769</x:v>
      </x:c>
      <x:c r="M821" s="11" t="n">
        <x:v>0.0999332070350647</x:v>
      </x:c>
    </x:row>
    <x:row r="822" ht="22" customHeight="1">
      <x:c r="A822" s="17" t="str">
        <x:f>"10249300"</x:f>
        <x:v>10249300</x:v>
      </x:c>
      <x:c r="B822" s="13" t="n">
        <x:v>42</x:v>
      </x:c>
      <x:c r="C822" s="22" t="b">
        <x:v>1</x:v>
      </x:c>
      <x:c r="D822" s="11" t="n">
        <x:v>0.01980197972928483</x:v>
      </x:c>
      <x:c r="E822" s="11" t="n">
        <x:v>0.0003843042068183</x:v>
      </x:c>
      <x:c r="F822" s="11" t="n">
        <x:v>0.2722772359848022</x:v>
      </x:c>
      <x:c r="G822" s="13" t="n">
        <x:v>10</x:v>
      </x:c>
      <x:c r="H822" s="11" t="n">
        <x:v>0.0278227683156728</x:v>
      </x:c>
      <x:c r="I822" s="11" t="n">
        <x:v>0.0278227683156728</x:v>
      </x:c>
      <x:c r="J822" s="24" t="n">
        <x:v>136.00680038519204</x:v>
      </x:c>
      <x:c r="K822" s="24" t="n">
        <x:v>147.81195616722107</x:v>
      </x:c>
      <x:c r="L822" s="11" t="n">
        <x:v>0.2722772359848022</x:v>
      </x:c>
      <x:c r="M822" s="11" t="n">
        <x:v>0.0999393239617347</x:v>
      </x:c>
    </x:row>
    <x:row r="823" ht="22" customHeight="1">
      <x:c r="A823" s="17" t="str">
        <x:f>"10249300"</x:f>
        <x:v>10249300</x:v>
      </x:c>
      <x:c r="B823" s="13" t="n">
        <x:v>42</x:v>
      </x:c>
      <x:c r="C823" s="22" t="b">
        <x:v>0</x:v>
      </x:c>
      <x:c r="D823" s="11" t="n">
        <x:v>0.052936311811208704</x:v>
      </x:c>
      <x:c r="E823" s="11" t="n">
        <x:v>0.0004722581943496667</x:v>
      </x:c>
      <x:c r="F823" s="11" t="n">
        <x:v>0.4888337552547455</x:v>
      </x:c>
      <x:c r="G823" s="13" t="n">
        <x:v>6</x:v>
      </x:c>
      <x:c r="H823" s="11" t="n">
        <x:v>0.7835637927055359</x:v>
      </x:c>
      <x:c r="I823" s="11" t="n">
        <x:v>0.8943070769309998</x:v>
      </x:c>
      <x:c r="J823" s="24" t="n">
        <x:v>136.29529067873955</x:v>
      </x:c>
      <x:c r="K823" s="24" t="n">
        <x:v>156.88071751594543</x:v>
      </x:c>
      <x:c r="L823" s="11" t="n">
        <x:v>0.6004962921142578</x:v>
      </x:c>
      <x:c r="M823" s="11" t="n">
        <x:v>0.0999332070350647</x:v>
      </x:c>
    </x:row>
    <x:row r="824" ht="22" customHeight="1">
      <x:c r="A824" s="17" t="str">
        <x:f>"10258500"</x:f>
        <x:v>10258500</x:v>
      </x:c>
      <x:c r="B824" s="13" t="n">
        <x:v>42</x:v>
      </x:c>
      <x:c r="C824" s="22" t="b">
        <x:v>1</x:v>
      </x:c>
      <x:c r="D824" s="11" t="n">
        <x:v>0.023927393058935736</x:v>
      </x:c>
      <x:c r="E824" s="11" t="n">
        <x:v>0.00045172600463650006</x:v>
      </x:c>
      <x:c r="F824" s="11" t="n">
        <x:v>0.3118811845779419</x:v>
      </x:c>
      <x:c r="G824" s="13" t="n">
        <x:v>1</x:v>
      </x:c>
      <x:c r="H824" s="11" t="n">
        <x:v>0.1467040330171585</x:v>
      </x:c>
      <x:c r="I824" s="11" t="n">
        <x:v>0.1863381564617157</x:v>
      </x:c>
      <x:c r="J824" s="24" t="n">
        <x:v>139.2318515367806</x:v>
      </x:c>
      <x:c r="K824" s="24" t="n">
        <x:v>152.68253469467163</x:v>
      </x:c>
      <x:c r="L824" s="11" t="n">
        <x:v>0.8787128925323486</x:v>
      </x:c>
      <x:c r="M824" s="11" t="n">
        <x:v>0.0999393239617347</x:v>
      </x:c>
    </x:row>
    <x:row r="825" ht="22" customHeight="1">
      <x:c r="A825" s="17" t="str">
        <x:f>"10258500"</x:f>
        <x:v>10258500</x:v>
      </x:c>
      <x:c r="B825" s="13" t="n">
        <x:v>42</x:v>
      </x:c>
      <x:c r="C825" s="22" t="b">
        <x:v>0</x:v>
      </x:c>
      <x:c r="D825" s="11" t="n">
        <x:v>0.03639371382693443</x:v>
      </x:c>
      <x:c r="E825" s="11" t="n">
        <x:v>0.00043852547726900003</x:v>
      </x:c>
      <x:c r="F825" s="11" t="n">
        <x:v>0.4218362271785736</x:v>
      </x:c>
      <x:c r="G825" s="13" t="n">
        <x:v>5</x:v>
      </x:c>
      <x:c r="H825" s="11" t="n">
        <x:v>0.1648780405521392</x:v>
      </x:c>
      <x:c r="I825" s="11" t="n">
        <x:v>0.1714499592781067</x:v>
      </x:c>
      <x:c r="J825" s="24" t="n">
        <x:v>141.6524412408471</x:v>
      </x:c>
      <x:c r="K825" s="24" t="n">
        <x:v>161.6602327823639</x:v>
      </x:c>
      <x:c r="L825" s="11" t="n">
        <x:v>0.5880893468856812</x:v>
      </x:c>
      <x:c r="M825" s="11" t="n">
        <x:v>0.0999332070350647</x:v>
      </x:c>
    </x:row>
    <x:row r="826" ht="22" customHeight="1">
      <x:c r="A826" s="17" t="str">
        <x:f>"10259000"</x:f>
        <x:v>10259000</x:v>
      </x:c>
      <x:c r="B826" s="13" t="n">
        <x:v>42</x:v>
      </x:c>
      <x:c r="C826" s="22" t="b">
        <x:v>1</x:v>
      </x:c>
      <x:c r="D826" s="11" t="n">
        <x:v>0.023102311107019532</x:v>
      </x:c>
      <x:c r="E826" s="11" t="n">
        <x:v>0.00023597626811043331</x:v>
      </x:c>
      <x:c r="F826" s="11" t="n">
        <x:v>0.3712871372699737</x:v>
      </x:c>
      <x:c r="G826" s="13" t="n">
        <x:v>4</x:v>
      </x:c>
      <x:c r="H826" s="11" t="n">
        <x:v>0.4398505389690399</x:v>
      </x:c>
      <x:c r="I826" s="11" t="n">
        <x:v>0.5757748484611511</x:v>
      </x:c>
      <x:c r="J826" s="24" t="n">
        <x:v>141.99561763741076</x:v>
      </x:c>
      <x:c r="K826" s="24" t="n">
        <x:v>159.7929801940918</x:v>
      </x:c>
      <x:c r="L826" s="11" t="n">
        <x:v>0.6311880946159363</x:v>
      </x:c>
      <x:c r="M826" s="11" t="n">
        <x:v>0.0999393239617347</x:v>
      </x:c>
    </x:row>
    <x:row r="827" ht="22" customHeight="1">
      <x:c r="A827" s="17" t="str">
        <x:f>"10259000"</x:f>
        <x:v>10259000</x:v>
      </x:c>
      <x:c r="B827" s="13" t="n">
        <x:v>42</x:v>
      </x:c>
      <x:c r="C827" s="22" t="b">
        <x:v>0</x:v>
      </x:c>
      <x:c r="D827" s="11" t="n">
        <x:v>0.028949545075495964</x:v>
      </x:c>
      <x:c r="E827" s="11" t="n">
        <x:v>0.0003508203759944</x:v>
      </x:c>
      <x:c r="F827" s="11" t="n">
        <x:v>0.4044665098190307</x:v>
      </x:c>
      <x:c r="G827" s="13" t="n">
        <x:v>3</x:v>
      </x:c>
      <x:c r="H827" s="11" t="n">
        <x:v>0.6411881446838379</x:v>
      </x:c>
      <x:c r="I827" s="11" t="n">
        <x:v>0.7475989460945129</x:v>
      </x:c>
      <x:c r="J827" s="24" t="n">
        <x:v>138.08144584856927</x:v>
      </x:c>
      <x:c r="K827" s="24" t="n">
        <x:v>157.56044125556946</x:v>
      </x:c>
      <x:c r="L827" s="11" t="n">
        <x:v>0.7121587991714478</x:v>
      </x:c>
      <x:c r="M827" s="11" t="n">
        <x:v>0.0999332070350647</x:v>
      </x:c>
    </x:row>
    <x:row r="828" ht="22" customHeight="1">
      <x:c r="A828" s="17" t="str">
        <x:f>"10259200"</x:f>
        <x:v>10259200</x:v>
      </x:c>
      <x:c r="B828" s="13" t="n">
        <x:v>42</x:v>
      </x:c>
      <x:c r="C828" s="22" t="b">
        <x:v>1</x:v>
      </x:c>
      <x:c r="D828" s="11" t="n">
        <x:v>0.025577557894090764</x:v>
      </x:c>
      <x:c r="E828" s="11" t="n">
        <x:v>0.0003573354915715</x:v>
      </x:c>
      <x:c r="F828" s="11" t="n">
        <x:v>0.2772277295589447</x:v>
      </x:c>
      <x:c r="G828" s="13" t="n">
        <x:v>1</x:v>
      </x:c>
      <x:c r="H828" s="11" t="n">
        <x:v>0.5314361453056335</x:v>
      </x:c>
      <x:c r="I828" s="11" t="n">
        <x:v>0.5781516432762146</x:v>
      </x:c>
      <x:c r="J828" s="24" t="n">
        <x:v>137.43432544451207</x:v>
      </x:c>
      <x:c r="K828" s="24" t="n">
        <x:v>153.4303424358368</x:v>
      </x:c>
      <x:c r="L828" s="11" t="n">
        <x:v>0.8514851331710815</x:v>
      </x:c>
      <x:c r="M828" s="11" t="n">
        <x:v>0.0999393239617347</x:v>
      </x:c>
    </x:row>
    <x:row r="829" ht="22" customHeight="1">
      <x:c r="A829" s="17" t="str">
        <x:f>"10259200"</x:f>
        <x:v>10259200</x:v>
      </x:c>
      <x:c r="B829" s="13" t="n">
        <x:v>42</x:v>
      </x:c>
      <x:c r="C829" s="22" t="b">
        <x:v>0</x:v>
      </x:c>
      <x:c r="D829" s="11" t="n">
        <x:v>0.0272952858358621</x:v>
      </x:c>
      <x:c r="E829" s="11" t="n">
        <x:v>0.0004452720071033333</x:v>
      </x:c>
      <x:c r="F829" s="11" t="n">
        <x:v>0.2928039729595184</x:v>
      </x:c>
      <x:c r="G829" s="13" t="n">
        <x:v>2</x:v>
      </x:c>
      <x:c r="H829" s="11" t="n">
        <x:v>0.5256630778312683</x:v>
      </x:c>
      <x:c r="I829" s="11" t="n">
        <x:v>0.6379644870758057</x:v>
      </x:c>
      <x:c r="J829" s="24" t="n">
        <x:v>137.79828266240656</x:v>
      </x:c>
      <x:c r="K829" s="24" t="n">
        <x:v>150.7908821105957</x:v>
      </x:c>
      <x:c r="L829" s="11" t="n">
        <x:v>0.6600496172904968</x:v>
      </x:c>
      <x:c r="M829" s="11" t="n">
        <x:v>0.0999332070350647</x:v>
      </x:c>
    </x:row>
    <x:row r="830" ht="22" customHeight="1">
      <x:c r="A830" s="17" t="str">
        <x:f>"10263500"</x:f>
        <x:v>10263500</x:v>
      </x:c>
      <x:c r="B830" s="13" t="n">
        <x:v>42</x:v>
      </x:c>
      <x:c r="C830" s="22" t="b">
        <x:v>1</x:v>
      </x:c>
      <x:c r="D830" s="11" t="n">
        <x:v>0.0165016500589748</x:v>
      </x:c>
      <x:c r="E830" s="11" t="n">
        <x:v>0.0005326321697793667</x:v>
      </x:c>
      <x:c r="F830" s="11" t="n">
        <x:v>0.2970297038555145</x:v>
      </x:c>
      <x:c r="G830" s="13" t="n">
        <x:v>10</x:v>
      </x:c>
      <x:c r="H830" s="11" t="n">
        <x:v>0.5135548710823059</x:v>
      </x:c>
      <x:c r="I830" s="11" t="n">
        <x:v>0.5135548710823059</x:v>
      </x:c>
      <x:c r="J830" s="24" t="n">
        <x:v>136.19324643258005</x:v>
      </x:c>
      <x:c r="K830" s="24" t="n">
        <x:v>148.35073947906494</x:v>
      </x:c>
      <x:c r="L830" s="11" t="n">
        <x:v>0.2970297038555145</x:v>
      </x:c>
      <x:c r="M830" s="11" t="n">
        <x:v>0.0999393239617347</x:v>
      </x:c>
    </x:row>
    <x:row r="831" ht="22" customHeight="1">
      <x:c r="A831" s="17" t="str">
        <x:f>"10263500"</x:f>
        <x:v>10263500</x:v>
      </x:c>
      <x:c r="B831" s="13" t="n">
        <x:v>42</x:v>
      </x:c>
      <x:c r="C831" s="22" t="b">
        <x:v>0</x:v>
      </x:c>
      <x:c r="D831" s="11" t="n">
        <x:v>0.028122415145238167</x:v>
      </x:c>
      <x:c r="E831" s="11" t="n">
        <x:v>0.0003508203856956667</x:v>
      </x:c>
      <x:c r="F831" s="11" t="n">
        <x:v>0.3920595645904541</x:v>
      </x:c>
      <x:c r="G831" s="13" t="n">
        <x:v>7</x:v>
      </x:c>
      <x:c r="H831" s="11" t="n">
        <x:v>1.0828582048416138</x:v>
      </x:c>
      <x:c r="I831" s="11" t="n">
        <x:v>1.4097785949707031</x:v>
      </x:c>
      <x:c r="J831" s="24" t="n">
        <x:v>134.53819449804723</x:v>
      </x:c>
      <x:c r="K831" s="24" t="n">
        <x:v>152.8862578868866</x:v>
      </x:c>
      <x:c r="L831" s="11" t="n">
        <x:v>0.4913151264190674</x:v>
      </x:c>
      <x:c r="M831" s="11" t="n">
        <x:v>0.0999332070350647</x:v>
      </x:c>
    </x:row>
    <x:row r="832" ht="22" customHeight="1">
      <x:c r="A832" s="17" t="str">
        <x:f>"10316500"</x:f>
        <x:v>10316500</x:v>
      </x:c>
      <x:c r="B832" s="13" t="n">
        <x:v>42</x:v>
      </x:c>
      <x:c r="C832" s="22" t="b">
        <x:v>1</x:v>
      </x:c>
      <x:c r="D832" s="11" t="n">
        <x:v>0.012376237660646399</x:v>
      </x:c>
      <x:c r="E832" s="11" t="n">
        <x:v>0.0004921790775066333</x:v>
      </x:c>
      <x:c r="F832" s="11" t="n">
        <x:v>0.2252475321292877</x:v>
      </x:c>
      <x:c r="G832" s="13" t="n">
        <x:v>10</x:v>
      </x:c>
      <x:c r="H832" s="11" t="n">
        <x:v>0.010264222510159</x:v>
      </x:c>
      <x:c r="I832" s="11" t="n">
        <x:v>0.010264222510159</x:v>
      </x:c>
      <x:c r="J832" s="24" t="n">
        <x:v>138.18056730832905</x:v>
      </x:c>
      <x:c r="K832" s="24" t="n">
        <x:v>146.07709336280823</x:v>
      </x:c>
      <x:c r="L832" s="11" t="n">
        <x:v>0.2252475321292877</x:v>
      </x:c>
      <x:c r="M832" s="11" t="n">
        <x:v>0.0999393239617347</x:v>
      </x:c>
    </x:row>
    <x:row r="833" ht="22" customHeight="1">
      <x:c r="A833" s="17" t="str">
        <x:f>"10316500"</x:f>
        <x:v>10316500</x:v>
      </x:c>
      <x:c r="B833" s="13" t="n">
        <x:v>42</x:v>
      </x:c>
      <x:c r="C833" s="22" t="b">
        <x:v>0</x:v>
      </x:c>
      <x:c r="D833" s="11" t="n">
        <x:v>0.036393713206052704</x:v>
      </x:c>
      <x:c r="E833" s="11" t="n">
        <x:v>0.0004857512928234667</x:v>
      </x:c>
      <x:c r="F833" s="11" t="n">
        <x:v>0.4838709533214569</x:v>
      </x:c>
      <x:c r="G833" s="13" t="n">
        <x:v>1</x:v>
      </x:c>
      <x:c r="H833" s="11" t="n">
        <x:v>0.2039824575185775</x:v>
      </x:c>
      <x:c r="I833" s="11" t="n">
        <x:v>0.3641802668571472</x:v>
      </x:c>
      <x:c r="J833" s="24" t="n">
        <x:v>137.3603476472199</x:v>
      </x:c>
      <x:c r="K833" s="24" t="n">
        <x:v>167.12555360794067</x:v>
      </x:c>
      <x:c r="L833" s="11" t="n">
        <x:v>0.9602977633476256</x:v>
      </x:c>
      <x:c r="M833" s="11" t="n">
        <x:v>0.0999332070350647</x:v>
      </x:c>
    </x:row>
    <x:row r="834" ht="22" customHeight="1">
      <x:c r="A834" s="17" t="str">
        <x:f>"10329500"</x:f>
        <x:v>10329500</x:v>
      </x:c>
      <x:c r="B834" s="13" t="n">
        <x:v>42</x:v>
      </x:c>
      <x:c r="C834" s="22" t="b">
        <x:v>1</x:v>
      </x:c>
      <x:c r="D834" s="11" t="n">
        <x:v>0.03465346619486803</x:v>
      </x:c>
      <x:c r="E834" s="11" t="n">
        <x:v>0.0006405070113638667</x:v>
      </x:c>
      <x:c r="F834" s="11" t="n">
        <x:v>0.3787128627300262</x:v>
      </x:c>
      <x:c r="G834" s="13" t="n">
        <x:v>8</x:v>
      </x:c>
      <x:c r="H834" s="11" t="n">
        <x:v>0.1280040889978408</x:v>
      </x:c>
      <x:c r="I834" s="11" t="n">
        <x:v>0.1563715934753418</x:v>
      </x:c>
      <x:c r="J834" s="24" t="n">
        <x:v>133.23593124188483</x:v>
      </x:c>
      <x:c r="K834" s="24" t="n">
        <x:v>145.6299343109131</x:v>
      </x:c>
      <x:c r="L834" s="11" t="n">
        <x:v>0.4232673346996307</x:v>
      </x:c>
      <x:c r="M834" s="11" t="n">
        <x:v>0.0999393239617347</x:v>
      </x:c>
    </x:row>
    <x:row r="835" ht="22" customHeight="1">
      <x:c r="A835" s="17" t="str">
        <x:f>"10329500"</x:f>
        <x:v>10329500</x:v>
      </x:c>
      <x:c r="B835" s="13" t="n">
        <x:v>42</x:v>
      </x:c>
      <x:c r="C835" s="22" t="b">
        <x:v>0</x:v>
      </x:c>
      <x:c r="D835" s="11" t="n">
        <x:v>0.0463192723691463</x:v>
      </x:c>
      <x:c r="E835" s="11" t="n">
        <x:v>0.0005869494731693</x:v>
      </x:c>
      <x:c r="F835" s="11" t="n">
        <x:v>0.4789081811904907</x:v>
      </x:c>
      <x:c r="G835" s="13" t="n">
        <x:v>8</x:v>
      </x:c>
      <x:c r="H835" s="11" t="n">
        <x:v>0.2197925895452499</x:v>
      </x:c>
      <x:c r="I835" s="11" t="n">
        <x:v>0.3723368346691131</x:v>
      </x:c>
      <x:c r="J835" s="24" t="n">
        <x:v>136.01296927593648</x:v>
      </x:c>
      <x:c r="K835" s="24" t="n">
        <x:v>159.25634217262268</x:v>
      </x:c>
      <x:c r="L835" s="11" t="n">
        <x:v>0.5285359621047974</x:v>
      </x:c>
      <x:c r="M835" s="11" t="n">
        <x:v>0.0999332070350647</x:v>
      </x:c>
    </x:row>
    <x:row r="836" ht="22" customHeight="1">
      <x:c r="A836" s="17" t="str">
        <x:f>"10336660"</x:f>
        <x:v>10336660</x:v>
      </x:c>
      <x:c r="B836" s="13" t="n">
        <x:v>42</x:v>
      </x:c>
      <x:c r="C836" s="22" t="b">
        <x:v>1</x:v>
      </x:c>
      <x:c r="D836" s="11" t="n">
        <x:v>0.0132013200782239</x:v>
      </x:c>
      <x:c r="E836" s="11" t="n">
        <x:v>0.00029665587741566665</x:v>
      </x:c>
      <x:c r="F836" s="11" t="n">
        <x:v>0.2648514807224273</x:v>
      </x:c>
      <x:c r="G836" s="13" t="n">
        <x:v>10</x:v>
      </x:c>
      <x:c r="H836" s="11" t="n">
        <x:v>0.1222028210759162</x:v>
      </x:c>
      <x:c r="I836" s="11" t="n">
        <x:v>0.1222028210759162</x:v>
      </x:c>
      <x:c r="J836" s="24" t="n">
        <x:v>136.97491597291082</x:v>
      </x:c>
      <x:c r="K836" s="24" t="n">
        <x:v>148.80354809761047</x:v>
      </x:c>
      <x:c r="L836" s="11" t="n">
        <x:v>0.2648514807224273</x:v>
      </x:c>
      <x:c r="M836" s="11" t="n">
        <x:v>0.0999393239617347</x:v>
      </x:c>
    </x:row>
    <x:row r="837" ht="22" customHeight="1">
      <x:c r="A837" s="17" t="str">
        <x:f>"10336660"</x:f>
        <x:v>10336660</x:v>
      </x:c>
      <x:c r="B837" s="13" t="n">
        <x:v>42</x:v>
      </x:c>
      <x:c r="C837" s="22" t="b">
        <x:v>0</x:v>
      </x:c>
      <x:c r="D837" s="11" t="n">
        <x:v>0.03225806479652717</x:v>
      </x:c>
      <x:c r="E837" s="11" t="n">
        <x:v>0.0005194840196054</x:v>
      </x:c>
      <x:c r="F837" s="11" t="n">
        <x:v>0.4937965273857116</x:v>
      </x:c>
      <x:c r="G837" s="13" t="n">
        <x:v>9</x:v>
      </x:c>
      <x:c r="H837" s="11" t="n">
        <x:v>0.3604838848114013</x:v>
      </x:c>
      <x:c r="I837" s="11" t="n">
        <x:v>0.4368736743927002</x:v>
      </x:c>
      <x:c r="J837" s="24" t="n">
        <x:v>137.56779163796455</x:v>
      </x:c>
      <x:c r="K837" s="24" t="n">
        <x:v>156.3645474910736</x:v>
      </x:c>
      <x:c r="L837" s="11" t="n">
        <x:v>0.5285359621047974</x:v>
      </x:c>
      <x:c r="M837" s="11" t="n">
        <x:v>0.0999332070350647</x:v>
      </x:c>
    </x:row>
    <x:row r="838" ht="22" customHeight="1">
      <x:c r="A838" s="17" t="str">
        <x:f>"10343500"</x:f>
        <x:v>10343500</x:v>
      </x:c>
      <x:c r="B838" s="13" t="n">
        <x:v>42</x:v>
      </x:c>
      <x:c r="C838" s="22" t="b">
        <x:v>1</x:v>
      </x:c>
      <x:c r="D838" s="11" t="n">
        <x:v>0.028052805612484532</x:v>
      </x:c>
      <x:c r="E838" s="11" t="n">
        <x:v>0.0013416936465849</x:v>
      </x:c>
      <x:c r="F838" s="11" t="n">
        <x:v>0.2326732724905014</x:v>
      </x:c>
      <x:c r="G838" s="13" t="n">
        <x:v>5</x:v>
      </x:c>
      <x:c r="H838" s="11" t="n">
        <x:v>0.104793757200241</x:v>
      </x:c>
      <x:c r="I838" s="11" t="n">
        <x:v>0.1457994729280471</x:v>
      </x:c>
      <x:c r="J838" s="24" t="n">
        <x:v>138.307749976404</x:v>
      </x:c>
      <x:c r="K838" s="24" t="n">
        <x:v>150.22516512870789</x:v>
      </x:c>
      <x:c r="L838" s="11" t="n">
        <x:v>0.4381188154220581</x:v>
      </x:c>
      <x:c r="M838" s="11" t="n">
        <x:v>0.0999393239617347</x:v>
      </x:c>
    </x:row>
    <x:row r="839" ht="22" customHeight="1">
      <x:c r="A839" s="17" t="str">
        <x:f>"10343500"</x:f>
        <x:v>10343500</x:v>
      </x:c>
      <x:c r="B839" s="13" t="n">
        <x:v>42</x:v>
      </x:c>
      <x:c r="C839" s="22" t="b">
        <x:v>0</x:v>
      </x:c>
      <x:c r="D839" s="11" t="n">
        <x:v>0.0256410259753465</x:v>
      </x:c>
      <x:c r="E839" s="11" t="n">
        <x:v>0.0004520185757428</x:v>
      </x:c>
      <x:c r="F839" s="11" t="n">
        <x:v>0.4094292819499969</x:v>
      </x:c>
      <x:c r="G839" s="13" t="n">
        <x:v>8</x:v>
      </x:c>
      <x:c r="H839" s="11" t="n">
        <x:v>0.2881911396980285</x:v>
      </x:c>
      <x:c r="I839" s="11" t="n">
        <x:v>0.2968791425228119</x:v>
      </x:c>
      <x:c r="J839" s="24" t="n">
        <x:v>139.82643937598914</x:v>
      </x:c>
      <x:c r="K839" s="24" t="n">
        <x:v>159.63039827346802</x:v>
      </x:c>
      <x:c r="L839" s="11" t="n">
        <x:v>0.4714640080928802</x:v>
      </x:c>
      <x:c r="M839" s="11" t="n">
        <x:v>0.0999332070350647</x:v>
      </x:c>
    </x:row>
    <x:row r="840" ht="22" customHeight="1">
      <x:c r="A840" s="17" t="str">
        <x:f>"10396000"</x:f>
        <x:v>10396000</x:v>
      </x:c>
      <x:c r="B840" s="13" t="n">
        <x:v>42</x:v>
      </x:c>
      <x:c r="C840" s="22" t="b">
        <x:v>1</x:v>
      </x:c>
      <x:c r="D840" s="11" t="n">
        <x:v>0.02310231017569697</x:v>
      </x:c>
      <x:c r="E840" s="11" t="n">
        <x:v>0.0006539913883897667</x:v>
      </x:c>
      <x:c r="F840" s="11" t="n">
        <x:v>0.3886138498783111</x:v>
      </x:c>
      <x:c r="G840" s="13" t="n">
        <x:v>6</x:v>
      </x:c>
      <x:c r="H840" s="11" t="n">
        <x:v>0.1803816705942154</x:v>
      </x:c>
      <x:c r="I840" s="11" t="n">
        <x:v>0.1872329860925674</x:v>
      </x:c>
      <x:c r="J840" s="24" t="n">
        <x:v>141.76687099505216</x:v>
      </x:c>
      <x:c r="K840" s="24" t="n">
        <x:v>155.69671273231506</x:v>
      </x:c>
      <x:c r="L840" s="11" t="n">
        <x:v>0.5470296740531921</x:v>
      </x:c>
      <x:c r="M840" s="11" t="n">
        <x:v>0.0999393239617347</x:v>
      </x:c>
    </x:row>
    <x:row r="841" ht="22" customHeight="1">
      <x:c r="A841" s="17" t="str">
        <x:f>"10396000"</x:f>
        <x:v>10396000</x:v>
      </x:c>
      <x:c r="B841" s="13" t="n">
        <x:v>42</x:v>
      </x:c>
      <x:c r="C841" s="22" t="b">
        <x:v>0</x:v>
      </x:c>
      <x:c r="D841" s="11" t="n">
        <x:v>0.02977667500575377</x:v>
      </x:c>
      <x:c r="E841" s="11" t="n">
        <x:v>0.0002833549175799</x:v>
      </x:c>
      <x:c r="F841" s="11" t="n">
        <x:v>0.5210918188095093</x:v>
      </x:c>
      <x:c r="G841" s="13" t="n">
        <x:v>9</x:v>
      </x:c>
      <x:c r="H841" s="11" t="n">
        <x:v>0.2976579368114471</x:v>
      </x:c>
      <x:c r="I841" s="11" t="n">
        <x:v>0.3763204216957092</x:v>
      </x:c>
      <x:c r="J841" s="24" t="n">
        <x:v>137.6785791926086</x:v>
      </x:c>
      <x:c r="K841" s="24" t="n">
        <x:v>158.86517643928528</x:v>
      </x:c>
      <x:c r="L841" s="11" t="n">
        <x:v>0.5483871102333069</x:v>
      </x:c>
      <x:c r="M841" s="11" t="n">
        <x:v>0.0999332070350647</x:v>
      </x:c>
    </x:row>
    <x:row r="842" ht="22" customHeight="1">
      <x:c r="A842" s="17" t="str">
        <x:f>"11098000"</x:f>
        <x:v>11098000</x:v>
      </x:c>
      <x:c r="B842" s="13" t="n">
        <x:v>42</x:v>
      </x:c>
      <x:c r="C842" s="22" t="b">
        <x:v>1</x:v>
      </x:c>
      <x:c r="D842" s="11" t="n">
        <x:v>0.028052805612484567</x:v>
      </x:c>
      <x:c r="E842" s="11" t="n">
        <x:v>0.00050566343513</x:v>
      </x:c>
      <x:c r="F842" s="11" t="n">
        <x:v>0.3688118755817413</x:v>
      </x:c>
      <x:c r="G842" s="13" t="n">
        <x:v>10</x:v>
      </x:c>
      <x:c r="H842" s="11" t="n">
        <x:v>1.2776143550872805</x:v>
      </x:c>
      <x:c r="I842" s="11" t="n">
        <x:v>1.2776143550872805</x:v>
      </x:c>
      <x:c r="J842" s="24" t="n">
        <x:v>139.5365829411894</x:v>
      </x:c>
      <x:c r="K842" s="24" t="n">
        <x:v>152.28963208198547</x:v>
      </x:c>
      <x:c r="L842" s="11" t="n">
        <x:v>0.3688118755817413</x:v>
      </x:c>
      <x:c r="M842" s="11" t="n">
        <x:v>0.0999393239617347</x:v>
      </x:c>
    </x:row>
    <x:row r="843" ht="22" customHeight="1">
      <x:c r="A843" s="17" t="str">
        <x:f>"11098000"</x:f>
        <x:v>11098000</x:v>
      </x:c>
      <x:c r="B843" s="13" t="n">
        <x:v>42</x:v>
      </x:c>
      <x:c r="C843" s="22" t="b">
        <x:v>0</x:v>
      </x:c>
      <x:c r="D843" s="11" t="n">
        <x:v>0.02729528459409863</x:v>
      </x:c>
      <x:c r="E843" s="11" t="n">
        <x:v>0.00025636874003483336</x:v>
      </x:c>
      <x:c r="F843" s="11" t="n">
        <x:v>0.3548386991024017</x:v>
      </x:c>
      <x:c r="G843" s="13" t="n">
        <x:v>4</x:v>
      </x:c>
      <x:c r="H843" s="11" t="n">
        <x:v>1.83281672000885</x:v>
      </x:c>
      <x:c r="I843" s="11" t="n">
        <x:v>2.039728879928589</x:v>
      </x:c>
      <x:c r="J843" s="24" t="n">
        <x:v>137.28282481525093</x:v>
      </x:c>
      <x:c r="K843" s="24" t="n">
        <x:v>153.414644241333</x:v>
      </x:c>
      <x:c r="L843" s="11" t="n">
        <x:v>0.6327543258666992</x:v>
      </x:c>
      <x:c r="M843" s="11" t="n">
        <x:v>0.0999332070350647</x:v>
      </x:c>
    </x:row>
    <x:row r="844" ht="22" customHeight="1">
      <x:c r="A844" s="17" t="str">
        <x:f>"11124500"</x:f>
        <x:v>11124500</x:v>
      </x:c>
      <x:c r="B844" s="13" t="n">
        <x:v>42</x:v>
      </x:c>
      <x:c r="C844" s="22" t="b">
        <x:v>1</x:v>
      </x:c>
      <x:c r="D844" s="11" t="n">
        <x:v>0.043729372943441</x:v>
      </x:c>
      <x:c r="E844" s="11" t="n">
        <x:v>0.0006539913689872667</x:v>
      </x:c>
      <x:c r="F844" s="11" t="n">
        <x:v>0.4108910858631134</x:v>
      </x:c>
      <x:c r="G844" s="13" t="n">
        <x:v>7</x:v>
      </x:c>
      <x:c r="H844" s="11" t="n">
        <x:v>0.9801543354988098</x:v>
      </x:c>
      <x:c r="I844" s="11" t="n">
        <x:v>1.0018839836120603</x:v>
      </x:c>
      <x:c r="J844" s="24" t="n">
        <x:v>137.6317968023941</x:v>
      </x:c>
      <x:c r="K844" s="24" t="n">
        <x:v>153.1037518978119</x:v>
      </x:c>
      <x:c r="L844" s="11" t="n">
        <x:v>0.5569307208061218</x:v>
      </x:c>
      <x:c r="M844" s="11" t="n">
        <x:v>0.0999393239617347</x:v>
      </x:c>
    </x:row>
    <x:row r="845" ht="22" customHeight="1">
      <x:c r="A845" s="17" t="str">
        <x:f>"11124500"</x:f>
        <x:v>11124500</x:v>
      </x:c>
      <x:c r="B845" s="13" t="n">
        <x:v>42</x:v>
      </x:c>
      <x:c r="C845" s="22" t="b">
        <x:v>0</x:v>
      </x:c>
      <x:c r="D845" s="11" t="n">
        <x:v>0.033085194105903236</x:v>
      </x:c>
      <x:c r="E845" s="11" t="n">
        <x:v>0.00045201856604149996</x:v>
      </x:c>
      <x:c r="F845" s="11" t="n">
        <x:v>0.4888337552547455</x:v>
      </x:c>
      <x:c r="G845" s="13" t="n">
        <x:v>3</x:v>
      </x:c>
      <x:c r="H845" s="11" t="n">
        <x:v>1.0430328845977783</x:v>
      </x:c>
      <x:c r="I845" s="11" t="n">
        <x:v>1.1639289855957031</x:v>
      </x:c>
      <x:c r="J845" s="24" t="n">
        <x:v>138.64359385706484</x:v>
      </x:c>
      <x:c r="K845" s="24" t="n">
        <x:v>163.78749752044678</x:v>
      </x:c>
      <x:c r="L845" s="11" t="n">
        <x:v>0.8163771629333496</x:v>
      </x:c>
      <x:c r="M845" s="11" t="n">
        <x:v>0.0999332070350647</x:v>
      </x:c>
    </x:row>
    <x:row r="846" ht="22" customHeight="1">
      <x:c r="A846" s="17" t="str">
        <x:f>"11141280"</x:f>
        <x:v>11141280</x:v>
      </x:c>
      <x:c r="B846" s="13" t="n">
        <x:v>42</x:v>
      </x:c>
      <x:c r="C846" s="22" t="b">
        <x:v>1</x:v>
      </x:c>
      <x:c r="D846" s="11" t="n">
        <x:v>0.0214521456509828</x:v>
      </x:c>
      <x:c r="E846" s="11" t="n">
        <x:v>0.0005865695614678</x:v>
      </x:c>
      <x:c r="F846" s="11" t="n">
        <x:v>0.3415841460227966</x:v>
      </x:c>
      <x:c r="G846" s="13" t="n">
        <x:v>1</x:v>
      </x:c>
      <x:c r="H846" s="11" t="n">
        <x:v>0.347886711359024</x:v>
      </x:c>
      <x:c r="I846" s="11" t="n">
        <x:v>0.3654794991016388</x:v>
      </x:c>
      <x:c r="J846" s="24" t="n">
        <x:v>135.97079367376864</x:v>
      </x:c>
      <x:c r="K846" s="24" t="n">
        <x:v>160.19791078567505</x:v>
      </x:c>
      <x:c r="L846" s="11" t="n">
        <x:v>0.9356435537338256</x:v>
      </x:c>
      <x:c r="M846" s="11" t="n">
        <x:v>0.0999393239617347</x:v>
      </x:c>
    </x:row>
    <x:row r="847" ht="22" customHeight="1">
      <x:c r="A847" s="17" t="str">
        <x:f>"11141280"</x:f>
        <x:v>11141280</x:v>
      </x:c>
      <x:c r="B847" s="13" t="n">
        <x:v>42</x:v>
      </x:c>
      <x:c r="C847" s="22" t="b">
        <x:v>0</x:v>
      </x:c>
      <x:c r="D847" s="11" t="n">
        <x:v>0.0430107526481151</x:v>
      </x:c>
      <x:c r="E847" s="11" t="n">
        <x:v>0.00028335492243053336</x:v>
      </x:c>
      <x:c r="F847" s="11" t="n">
        <x:v>0.4640198647975921</x:v>
      </x:c>
      <x:c r="G847" s="13" t="n">
        <x:v>1</x:v>
      </x:c>
      <x:c r="H847" s="11" t="n">
        <x:v>0.417673259973526</x:v>
      </x:c>
      <x:c r="I847" s="11" t="n">
        <x:v>0.4652225375175476</x:v>
      </x:c>
      <x:c r="J847" s="24" t="n">
        <x:v>135.6482013128698</x:v>
      </x:c>
      <x:c r="K847" s="24" t="n">
        <x:v>164.58748507499695</x:v>
      </x:c>
      <x:c r="L847" s="11" t="n">
        <x:v>0.9900744557380676</x:v>
      </x:c>
      <x:c r="M847" s="11" t="n">
        <x:v>0.0999332070350647</x:v>
      </x:c>
    </x:row>
    <x:row r="848" ht="22" customHeight="1">
      <x:c r="A848" s="17" t="str">
        <x:f>"11143000"</x:f>
        <x:v>11143000</x:v>
      </x:c>
      <x:c r="B848" s="13" t="n">
        <x:v>42</x:v>
      </x:c>
      <x:c r="C848" s="22" t="b">
        <x:v>1</x:v>
      </x:c>
      <x:c r="D848" s="11" t="n">
        <x:v>0.028877887874841635</x:v>
      </x:c>
      <x:c r="E848" s="11" t="n">
        <x:v>0.00048543688414303337</x:v>
      </x:c>
      <x:c r="F848" s="11" t="n">
        <x:v>0.4504950642585754</x:v>
      </x:c>
      <x:c r="G848" s="13" t="n">
        <x:v>5</x:v>
      </x:c>
      <x:c r="H848" s="11" t="n">
        <x:v>0.1301948875188827</x:v>
      </x:c>
      <x:c r="I848" s="11" t="n">
        <x:v>0.1350046098232269</x:v>
      </x:c>
      <x:c r="J848" s="24" t="n">
        <x:v>139.8352015921846</x:v>
      </x:c>
      <x:c r="K848" s="24" t="n">
        <x:v>157.3138406276703</x:v>
      </x:c>
      <x:c r="L848" s="11" t="n">
        <x:v>0.6584158539772034</x:v>
      </x:c>
      <x:c r="M848" s="11" t="n">
        <x:v>0.0999393239617347</x:v>
      </x:c>
    </x:row>
    <x:row r="849" ht="22" customHeight="1">
      <x:c r="A849" s="17" t="str">
        <x:f>"11143000"</x:f>
        <x:v>11143000</x:v>
      </x:c>
      <x:c r="B849" s="13" t="n">
        <x:v>42</x:v>
      </x:c>
      <x:c r="C849" s="22" t="b">
        <x:v>0</x:v>
      </x:c>
      <x:c r="D849" s="11" t="n">
        <x:v>0.0463192723691463</x:v>
      </x:c>
      <x:c r="E849" s="11" t="n">
        <x:v>0.0003845531027763666</x:v>
      </x:c>
      <x:c r="F849" s="11" t="n">
        <x:v>0.4714640080928802</x:v>
      </x:c>
      <x:c r="G849" s="13" t="n">
        <x:v>1</x:v>
      </x:c>
      <x:c r="H849" s="11" t="n">
        <x:v>0.2124142199754715</x:v>
      </x:c>
      <x:c r="I849" s="11" t="n">
        <x:v>0.2399206459522247</x:v>
      </x:c>
      <x:c r="J849" s="24" t="n">
        <x:v>140.60185604728758</x:v>
      </x:c>
      <x:c r="K849" s="24" t="n">
        <x:v>173.27769088745117</x:v>
      </x:c>
      <x:c r="L849" s="11" t="n">
        <x:v>0.970223307609558</x:v>
      </x:c>
      <x:c r="M849" s="11" t="n">
        <x:v>0.0999332070350647</x:v>
      </x:c>
    </x:row>
    <x:row r="850" ht="22" customHeight="1">
      <x:c r="A850" s="17" t="str">
        <x:f>"11148900"</x:f>
        <x:v>11148900</x:v>
      </x:c>
      <x:c r="B850" s="13" t="n">
        <x:v>42</x:v>
      </x:c>
      <x:c r="C850" s="22" t="b">
        <x:v>1</x:v>
      </x:c>
      <x:c r="D850" s="11" t="n">
        <x:v>0.0354785484572251</x:v>
      </x:c>
      <x:c r="E850" s="11" t="n">
        <x:v>0.00018878101157793334</x:v>
      </x:c>
      <x:c r="F850" s="11" t="n">
        <x:v>0.4579207897186279</x:v>
      </x:c>
      <x:c r="G850" s="13" t="n">
        <x:v>3</x:v>
      </x:c>
      <x:c r="H850" s="11" t="n">
        <x:v>0.2749622762203216</x:v>
      </x:c>
      <x:c r="I850" s="11" t="n">
        <x:v>0.3018318712711334</x:v>
      </x:c>
      <x:c r="J850" s="24" t="n">
        <x:v>140.6799206379801</x:v>
      </x:c>
      <x:c r="K850" s="24" t="n">
        <x:v>173.6287772655487</x:v>
      </x:c>
      <x:c r="L850" s="11" t="n">
        <x:v>0.7425742745399475</x:v>
      </x:c>
      <x:c r="M850" s="11" t="n">
        <x:v>0.0999393239617347</x:v>
      </x:c>
    </x:row>
    <x:row r="851" ht="22" customHeight="1">
      <x:c r="A851" s="17" t="str">
        <x:f>"11148900"</x:f>
        <x:v>11148900</x:v>
      </x:c>
      <x:c r="B851" s="13" t="n">
        <x:v>42</x:v>
      </x:c>
      <x:c r="C851" s="22" t="b">
        <x:v>0</x:v>
      </x:c>
      <x:c r="D851" s="11" t="n">
        <x:v>0.024813895424206964</x:v>
      </x:c>
      <x:c r="E851" s="11" t="n">
        <x:v>0.0003845531124776333</x:v>
      </x:c>
      <x:c r="F851" s="11" t="n">
        <x:v>0.4540942907333374</x:v>
      </x:c>
      <x:c r="G851" s="13" t="n">
        <x:v>2</x:v>
      </x:c>
      <x:c r="H851" s="11" t="n">
        <x:v>0.3263530135154724</x:v>
      </x:c>
      <x:c r="I851" s="11" t="n">
        <x:v>0.3459104597568512</x:v>
      </x:c>
      <x:c r="J851" s="24" t="n">
        <x:v>141.46650678291917</x:v>
      </x:c>
      <x:c r="K851" s="24" t="n">
        <x:v>163.68863797187805</x:v>
      </x:c>
      <x:c r="L851" s="11" t="n">
        <x:v>0.8734491467475891</x:v>
      </x:c>
      <x:c r="M851" s="11" t="n">
        <x:v>0.0999332070350647</x:v>
      </x:c>
    </x:row>
    <x:row r="852" ht="22" customHeight="1">
      <x:c r="A852" s="17" t="str">
        <x:f>"11151300"</x:f>
        <x:v>11151300</x:v>
      </x:c>
      <x:c r="B852" s="13" t="n">
        <x:v>42</x:v>
      </x:c>
      <x:c r="C852" s="22" t="b">
        <x:v>1</x:v>
      </x:c>
      <x:c r="D852" s="11" t="n">
        <x:v>0.009900990097473033</x:v>
      </x:c>
      <x:c r="E852" s="11" t="n">
        <x:v>0.0002629449882078333</x:v>
      </x:c>
      <x:c r="F852" s="11" t="n">
        <x:v>0.3118811845779419</x:v>
      </x:c>
      <x:c r="G852" s="13" t="n">
        <x:v>4</x:v>
      </x:c>
      <x:c r="H852" s="11" t="n">
        <x:v>0.2421654164791107</x:v>
      </x:c>
      <x:c r="I852" s="11" t="n">
        <x:v>0.2587456703186035</x:v>
      </x:c>
      <x:c r="J852" s="24" t="n">
        <x:v>141.81372048240155</x:v>
      </x:c>
      <x:c r="K852" s="24" t="n">
        <x:v>156.64009642601013</x:v>
      </x:c>
      <x:c r="L852" s="11" t="n">
        <x:v>0.5569307208061218</x:v>
      </x:c>
      <x:c r="M852" s="11" t="n">
        <x:v>0.0999393239617347</x:v>
      </x:c>
    </x:row>
    <x:row r="853" ht="22" customHeight="1">
      <x:c r="A853" s="17" t="str">
        <x:f>"11151300"</x:f>
        <x:v>11151300</x:v>
      </x:c>
      <x:c r="B853" s="13" t="n">
        <x:v>42</x:v>
      </x:c>
      <x:c r="C853" s="22" t="b">
        <x:v>0</x:v>
      </x:c>
      <x:c r="D853" s="11" t="n">
        <x:v>0.03391232403616103</x:v>
      </x:c>
      <x:c r="E853" s="11" t="n">
        <x:v>0.0005869494925718333</x:v>
      </x:c>
      <x:c r="F853" s="11" t="n">
        <x:v>0.3598015010356903</x:v>
      </x:c>
      <x:c r="G853" s="13" t="n">
        <x:v>1</x:v>
      </x:c>
      <x:c r="H853" s="11" t="n">
        <x:v>0.2437363862991333</x:v>
      </x:c>
      <x:c r="I853" s="11" t="n">
        <x:v>0.259748637676239</x:v>
      </x:c>
      <x:c r="J853" s="24" t="n">
        <x:v>145.05627460218966</x:v>
      </x:c>
      <x:c r="K853" s="24" t="n">
        <x:v>164.33973693847656</x:v>
      </x:c>
      <x:c r="L853" s="11" t="n">
        <x:v>0.9131513833999634</x:v>
      </x:c>
      <x:c r="M853" s="11" t="n">
        <x:v>0.0999332070350647</x:v>
      </x:c>
    </x:row>
    <x:row r="854" ht="22" customHeight="1">
      <x:c r="A854" s="17" t="str">
        <x:f>"11162500"</x:f>
        <x:v>11162500</x:v>
      </x:c>
      <x:c r="B854" s="13" t="n">
        <x:v>42</x:v>
      </x:c>
      <x:c r="C854" s="22" t="b">
        <x:v>1</x:v>
      </x:c>
      <x:c r="D854" s="11" t="n">
        <x:v>0.030528053020437502</x:v>
      </x:c>
      <x:c r="E854" s="11" t="n">
        <x:v>0.0005933117645326333</x:v>
      </x:c>
      <x:c r="F854" s="11" t="n">
        <x:v>0.4579207897186279</x:v>
      </x:c>
      <x:c r="G854" s="13" t="n">
        <x:v>3</x:v>
      </x:c>
      <x:c r="H854" s="11" t="n">
        <x:v>0.2423276007175445</x:v>
      </x:c>
      <x:c r="I854" s="11" t="n">
        <x:v>0.2613639533519745</x:v>
      </x:c>
      <x:c r="J854" s="24" t="n">
        <x:v>144.8028483716771</x:v>
      </x:c>
      <x:c r="K854" s="24" t="n">
        <x:v>168.683735370636</x:v>
      </x:c>
      <x:c r="L854" s="11" t="n">
        <x:v>0.7128713130950928</x:v>
      </x:c>
      <x:c r="M854" s="11" t="n">
        <x:v>0.0999393239617347</x:v>
      </x:c>
    </x:row>
    <x:row r="855" ht="22" customHeight="1">
      <x:c r="A855" s="17" t="str">
        <x:f>"11162500"</x:f>
        <x:v>11162500</x:v>
      </x:c>
      <x:c r="B855" s="13" t="n">
        <x:v>42</x:v>
      </x:c>
      <x:c r="C855" s="22" t="b">
        <x:v>0</x:v>
      </x:c>
      <x:c r="D855" s="11" t="n">
        <x:v>0.030603804315129834</x:v>
      </x:c>
      <x:c r="E855" s="11" t="n">
        <x:v>0.00043852546756773333</x:v>
      </x:c>
      <x:c r="F855" s="11" t="n">
        <x:v>0.4193548262119293</x:v>
      </x:c>
      <x:c r="G855" s="13" t="n">
        <x:v>3</x:v>
      </x:c>
      <x:c r="H855" s="11" t="n">
        <x:v>0.2664893567562103</x:v>
      </x:c>
      <x:c r="I855" s="11" t="n">
        <x:v>0.311390072107315</x:v>
      </x:c>
      <x:c r="J855" s="24" t="n">
        <x:v>143.1984823308885</x:v>
      </x:c>
      <x:c r="K855" s="24" t="n">
        <x:v>159.44036602973938</x:v>
      </x:c>
      <x:c r="L855" s="11" t="n">
        <x:v>0.7717121839523315</x:v>
      </x:c>
      <x:c r="M855" s="11" t="n">
        <x:v>0.0999332070350647</x:v>
      </x:c>
    </x:row>
    <x:row r="856" ht="22" customHeight="1">
      <x:c r="A856" s="17" t="str">
        <x:f>"11176400"</x:f>
        <x:v>11176400</x:v>
      </x:c>
      <x:c r="B856" s="13" t="n">
        <x:v>42</x:v>
      </x:c>
      <x:c r="C856" s="22" t="b">
        <x:v>1</x:v>
      </x:c>
      <x:c r="D856" s="11" t="n">
        <x:v>0.0379537964860598</x:v>
      </x:c>
      <x:c r="E856" s="11" t="n">
        <x:v>0.0004921790581040999</x:v>
      </x:c>
      <x:c r="F856" s="11" t="n">
        <x:v>0.4430693089962005</x:v>
      </x:c>
      <x:c r="G856" s="13" t="n">
        <x:v>4</x:v>
      </x:c>
      <x:c r="H856" s="11" t="n">
        <x:v>0.1161003485321998</x:v>
      </x:c>
      <x:c r="I856" s="11" t="n">
        <x:v>0.1173188537359237</x:v>
      </x:c>
      <x:c r="J856" s="24" t="n">
        <x:v>143.05064497608691</x:v>
      </x:c>
      <x:c r="K856" s="24" t="n">
        <x:v>167.7090208530426</x:v>
      </x:c>
      <x:c r="L856" s="11" t="n">
        <x:v>0.7301980257034302</x:v>
      </x:c>
      <x:c r="M856" s="11" t="n">
        <x:v>0.0999393239617347</x:v>
      </x:c>
    </x:row>
    <x:row r="857" ht="22" customHeight="1">
      <x:c r="A857" s="17" t="str">
        <x:f>"11176400"</x:f>
        <x:v>11176400</x:v>
      </x:c>
      <x:c r="B857" s="13" t="n">
        <x:v>42</x:v>
      </x:c>
      <x:c r="C857" s="22" t="b">
        <x:v>0</x:v>
      </x:c>
      <x:c r="D857" s="11" t="n">
        <x:v>0.030603804315129834</x:v>
      </x:c>
      <x:c r="E857" s="11" t="n">
        <x:v>0.00010794473200801888</x:v>
      </x:c>
      <x:c r="F857" s="11" t="n">
        <x:v>0.4689826369285583</x:v>
      </x:c>
      <x:c r="G857" s="13" t="n">
        <x:v>2</x:v>
      </x:c>
      <x:c r="H857" s="11" t="n">
        <x:v>0.1435396075248718</x:v>
      </x:c>
      <x:c r="I857" s="11" t="n">
        <x:v>0.1678042560815811</x:v>
      </x:c>
      <x:c r="J857" s="24" t="n">
        <x:v>142.54441931378096</x:v>
      </x:c>
      <x:c r="K857" s="24" t="n">
        <x:v>162.07449102401733</x:v>
      </x:c>
      <x:c r="L857" s="11" t="n">
        <x:v>0.8287841081619263</x:v>
      </x:c>
      <x:c r="M857" s="11" t="n">
        <x:v>0.0999332070350647</x:v>
      </x:c>
    </x:row>
    <x:row r="858" ht="22" customHeight="1">
      <x:c r="A858" s="17" t="str">
        <x:f>"11180500"</x:f>
        <x:v>11180500</x:v>
      </x:c>
      <x:c r="B858" s="13" t="n">
        <x:v>42</x:v>
      </x:c>
      <x:c r="C858" s="22" t="b">
        <x:v>1</x:v>
      </x:c>
      <x:c r="D858" s="11" t="n">
        <x:v>0.0255775585149725</x:v>
      </x:c>
      <x:c r="E858" s="11" t="n">
        <x:v>0.0006742179199742334</x:v>
      </x:c>
      <x:c r="F858" s="11" t="n">
        <x:v>0.3787128627300262</x:v>
      </x:c>
      <x:c r="G858" s="13" t="n">
        <x:v>2</x:v>
      </x:c>
      <x:c r="H858" s="11" t="n">
        <x:v>0.1995740979909896</x:v>
      </x:c>
      <x:c r="I858" s="11" t="n">
        <x:v>0.2077855616807937</x:v>
      </x:c>
      <x:c r="J858" s="24" t="n">
        <x:v>143.7030032882467</x:v>
      </x:c>
      <x:c r="K858" s="24" t="n">
        <x:v>166.2507290840149</x:v>
      </x:c>
      <x:c r="L858" s="11" t="n">
        <x:v>0.8366336822509766</x:v>
      </x:c>
      <x:c r="M858" s="11" t="n">
        <x:v>0.0999393239617347</x:v>
      </x:c>
    </x:row>
    <x:row r="859" ht="22" customHeight="1">
      <x:c r="A859" s="17" t="str">
        <x:f>"11180500"</x:f>
        <x:v>11180500</x:v>
      </x:c>
      <x:c r="B859" s="13" t="n">
        <x:v>42</x:v>
      </x:c>
      <x:c r="C859" s="22" t="b">
        <x:v>0</x:v>
      </x:c>
      <x:c r="D859" s="11" t="n">
        <x:v>0.0438378825783729</x:v>
      </x:c>
      <x:c r="E859" s="11" t="n">
        <x:v>0.0003912996520132334</x:v>
      </x:c>
      <x:c r="F859" s="11" t="n">
        <x:v>0.4491315186023712</x:v>
      </x:c>
      <x:c r="G859" s="13" t="n">
        <x:v>7</x:v>
      </x:c>
      <x:c r="H859" s="11" t="n">
        <x:v>0.217656522989273</x:v>
      </x:c>
      <x:c r="I859" s="11" t="n">
        <x:v>0.2501208186149597</x:v>
      </x:c>
      <x:c r="J859" s="24" t="n">
        <x:v>139.95297989342362</x:v>
      </x:c>
      <x:c r="K859" s="24" t="n">
        <x:v>155.96306657791138</x:v>
      </x:c>
      <x:c r="L859" s="11" t="n">
        <x:v>0.5260545611381531</x:v>
      </x:c>
      <x:c r="M859" s="11" t="n">
        <x:v>0.0999332070350647</x:v>
      </x:c>
    </x:row>
    <x:row r="860" ht="22" customHeight="1">
      <x:c r="A860" s="17" t="str">
        <x:f>"11180960"</x:f>
        <x:v>11180960</x:v>
      </x:c>
      <x:c r="B860" s="13" t="n">
        <x:v>42</x:v>
      </x:c>
      <x:c r="C860" s="22" t="b">
        <x:v>1</x:v>
      </x:c>
      <x:c r="D860" s="11" t="n">
        <x:v>0.04537953746815517</x:v>
      </x:c>
      <x:c r="E860" s="11" t="n">
        <x:v>0.0005393743243378334</x:v>
      </x:c>
      <x:c r="F860" s="11" t="n">
        <x:v>0.3886138498783111</x:v>
      </x:c>
      <x:c r="G860" s="13" t="n">
        <x:v>1</x:v>
      </x:c>
      <x:c r="H860" s="11" t="n">
        <x:v>0.3121855854988098</x:v>
      </x:c>
      <x:c r="I860" s="11" t="n">
        <x:v>0.3307657837867737</x:v>
      </x:c>
      <x:c r="J860" s="24" t="n">
        <x:v>142.58549012057483</x:v>
      </x:c>
      <x:c r="K860" s="24" t="n">
        <x:v>161.8615846633911</x:v>
      </x:c>
      <x:c r="L860" s="11" t="n">
        <x:v>0.9282178282737732</x:v>
      </x:c>
      <x:c r="M860" s="11" t="n">
        <x:v>0.0999393239617347</x:v>
      </x:c>
    </x:row>
    <x:row r="861" ht="22" customHeight="1">
      <x:c r="A861" s="17" t="str">
        <x:f>"11180960"</x:f>
        <x:v>11180960</x:v>
      </x:c>
      <x:c r="B861" s="13" t="n">
        <x:v>42</x:v>
      </x:c>
      <x:c r="C861" s="22" t="b">
        <x:v>0</x:v>
      </x:c>
      <x:c r="D861" s="11" t="n">
        <x:v>0.025641025354464764</x:v>
      </x:c>
      <x:c r="E861" s="11" t="n">
        <x:v>0.00028335492243053336</x:v>
      </x:c>
      <x:c r="F861" s="11" t="n">
        <x:v>0.3870967626571655</x:v>
      </x:c>
      <x:c r="G861" s="13" t="n">
        <x:v>1</x:v>
      </x:c>
      <x:c r="H861" s="11" t="n">
        <x:v>0.3277499973773956</x:v>
      </x:c>
      <x:c r="I861" s="11" t="n">
        <x:v>0.3688814640045166</x:v>
      </x:c>
      <x:c r="J861" s="24" t="n">
        <x:v>138.7411230970174</x:v>
      </x:c>
      <x:c r="K861" s="24" t="n">
        <x:v>152.82085251808167</x:v>
      </x:c>
      <x:c r="L861" s="11" t="n">
        <x:v>0.9181141257286072</x:v>
      </x:c>
      <x:c r="M861" s="11" t="n">
        <x:v>0.0999332070350647</x:v>
      </x:c>
    </x:row>
    <x:row r="862" ht="22" customHeight="1">
      <x:c r="A862" s="17" t="str">
        <x:f>"11224500"</x:f>
        <x:v>11224500</x:v>
      </x:c>
      <x:c r="B862" s="13" t="n">
        <x:v>42</x:v>
      </x:c>
      <x:c r="C862" s="22" t="b">
        <x:v>1</x:v>
      </x:c>
      <x:c r="D862" s="11" t="n">
        <x:v>0.015676567641397268</x:v>
      </x:c>
      <x:c r="E862" s="11" t="n">
        <x:v>0.00016181229390586666</x:v>
      </x:c>
      <x:c r="F862" s="11" t="n">
        <x:v>0.2599009871482849</x:v>
      </x:c>
      <x:c r="G862" s="13" t="n">
        <x:v>1</x:v>
      </x:c>
      <x:c r="H862" s="11" t="n">
        <x:v>0.0899221301078796</x:v>
      </x:c>
      <x:c r="I862" s="11" t="n">
        <x:v>0.1015001460909843</x:v>
      </x:c>
      <x:c r="J862" s="24" t="n">
        <x:v>139.9255503397435</x:v>
      </x:c>
      <x:c r="K862" s="24" t="n">
        <x:v>154.31341075897217</x:v>
      </x:c>
      <x:c r="L862" s="11" t="n">
        <x:v>0.9455445408821106</x:v>
      </x:c>
      <x:c r="M862" s="11" t="n">
        <x:v>0.0999393239617347</x:v>
      </x:c>
    </x:row>
    <x:row r="863" ht="22" customHeight="1">
      <x:c r="A863" s="17" t="str">
        <x:f>"11224500"</x:f>
        <x:v>11224500</x:v>
      </x:c>
      <x:c r="B863" s="13" t="n">
        <x:v>42</x:v>
      </x:c>
      <x:c r="C863" s="22" t="b">
        <x:v>0</x:v>
      </x:c>
      <x:c r="D863" s="11" t="n">
        <x:v>0.0248138960450887</x:v>
      </x:c>
      <x:c r="E863" s="11" t="n">
        <x:v>0.0008972906119500334</x:v>
      </x:c>
      <x:c r="F863" s="11" t="n">
        <x:v>0.3399503827095032</x:v>
      </x:c>
      <x:c r="G863" s="13" t="n">
        <x:v>1</x:v>
      </x:c>
      <x:c r="H863" s="11" t="n">
        <x:v>0.1112920641899108</x:v>
      </x:c>
      <x:c r="I863" s="11" t="n">
        <x:v>0.185456246137619</x:v>
      </x:c>
      <x:c r="J863" s="24" t="n">
        <x:v>141.58211954683065</x:v>
      </x:c>
      <x:c r="K863" s="24" t="n">
        <x:v>162.54065489768982</x:v>
      </x:c>
      <x:c r="L863" s="11" t="n">
        <x:v>0.9429280161857604</x:v>
      </x:c>
      <x:c r="M863" s="11" t="n">
        <x:v>0.0999332070350647</x:v>
      </x:c>
    </x:row>
    <x:row r="864" ht="22" customHeight="1">
      <x:c r="A864" s="17" t="str">
        <x:f>"11230500"</x:f>
        <x:v>11230500</x:v>
      </x:c>
      <x:c r="B864" s="13" t="n">
        <x:v>42</x:v>
      </x:c>
      <x:c r="C864" s="22" t="b">
        <x:v>1</x:v>
      </x:c>
      <x:c r="D864" s="11" t="n">
        <x:v>0.017326733097434</x:v>
      </x:c>
      <x:c r="E864" s="11" t="n">
        <x:v>0.0006202804894807</x:v>
      </x:c>
      <x:c r="F864" s="11" t="n">
        <x:v>0.2599009871482849</x:v>
      </x:c>
      <x:c r="G864" s="13" t="n">
        <x:v>8</x:v>
      </x:c>
      <x:c r="H864" s="11" t="n">
        <x:v>0.0188154596835374</x:v>
      </x:c>
      <x:c r="I864" s="11" t="n">
        <x:v>0.018971724435687</x:v>
      </x:c>
      <x:c r="J864" s="24" t="n">
        <x:v>142.5843298099935</x:v>
      </x:c>
      <x:c r="K864" s="24" t="n">
        <x:v>152.42013096809387</x:v>
      </x:c>
      <x:c r="L864" s="11" t="n">
        <x:v>0.3242574334144592</x:v>
      </x:c>
      <x:c r="M864" s="11" t="n">
        <x:v>0.0999393239617347</x:v>
      </x:c>
    </x:row>
    <x:row r="865" ht="22" customHeight="1">
      <x:c r="A865" s="17" t="str">
        <x:f>"11230500"</x:f>
        <x:v>11230500</x:v>
      </x:c>
      <x:c r="B865" s="13" t="n">
        <x:v>42</x:v>
      </x:c>
      <x:c r="C865" s="22" t="b">
        <x:v>0</x:v>
      </x:c>
      <x:c r="D865" s="11" t="n">
        <x:v>0.0372208431363105</x:v>
      </x:c>
      <x:c r="E865" s="11" t="n">
        <x:v>0.00040479275048703337</x:v>
      </x:c>
      <x:c r="F865" s="11" t="n">
        <x:v>0.5483871102333069</x:v>
      </x:c>
      <x:c r="G865" s="13" t="n">
        <x:v>1</x:v>
      </x:c>
      <x:c r="H865" s="11" t="n">
        <x:v>0.2287397980690002</x:v>
      </x:c>
      <x:c r="I865" s="11" t="n">
        <x:v>0.3038999438285827</x:v>
      </x:c>
      <x:c r="J865" s="24" t="n">
        <x:v>139.66179659310728</x:v>
      </x:c>
      <x:c r="K865" s="24" t="n">
        <x:v>169.5794243812561</x:v>
      </x:c>
      <x:c r="L865" s="11" t="n">
        <x:v>0.992555856704712</x:v>
      </x:c>
      <x:c r="M865" s="11" t="n">
        <x:v>0.0999332070350647</x:v>
      </x:c>
    </x:row>
    <x:row r="866" ht="22" customHeight="1">
      <x:c r="A866" s="17" t="str">
        <x:f>"11237500"</x:f>
        <x:v>11237500</x:v>
      </x:c>
      <x:c r="B866" s="13" t="n">
        <x:v>42</x:v>
      </x:c>
      <x:c r="C866" s="22" t="b">
        <x:v>1</x:v>
      </x:c>
      <x:c r="D866" s="11" t="n">
        <x:v>0.0082508251070976</x:v>
      </x:c>
      <x:c r="E866" s="11" t="n">
        <x:v>0.0006674757266106334</x:v>
      </x:c>
      <x:c r="F866" s="11" t="n">
        <x:v>0.292079210281372</x:v>
      </x:c>
      <x:c r="G866" s="13" t="n">
        <x:v>10</x:v>
      </x:c>
      <x:c r="H866" s="11" t="n">
        <x:v>0.0466347225010395</x:v>
      </x:c>
      <x:c r="I866" s="11" t="n">
        <x:v>0.0466347225010395</x:v>
      </x:c>
      <x:c r="J866" s="24" t="n">
        <x:v>139.28058466501534</x:v>
      </x:c>
      <x:c r="K866" s="24" t="n">
        <x:v>147.38517308235168</x:v>
      </x:c>
      <x:c r="L866" s="11" t="n">
        <x:v>0.292079210281372</x:v>
      </x:c>
      <x:c r="M866" s="11" t="n">
        <x:v>0.0999393239617347</x:v>
      </x:c>
    </x:row>
    <x:row r="867" ht="22" customHeight="1">
      <x:c r="A867" s="17" t="str">
        <x:f>"11237500"</x:f>
        <x:v>11237500</x:v>
      </x:c>
      <x:c r="B867" s="13" t="n">
        <x:v>42</x:v>
      </x:c>
      <x:c r="C867" s="22" t="b">
        <x:v>0</x:v>
      </x:c>
      <x:c r="D867" s="11" t="n">
        <x:v>0.038875102996826096</x:v>
      </x:c>
      <x:c r="E867" s="11" t="n">
        <x:v>0.0005464702165529667</x:v>
      </x:c>
      <x:c r="F867" s="11" t="n">
        <x:v>0.4863523542881012</x:v>
      </x:c>
      <x:c r="G867" s="13" t="n">
        <x:v>6</x:v>
      </x:c>
      <x:c r="H867" s="11" t="n">
        <x:v>0.3117981553077698</x:v>
      </x:c>
      <x:c r="I867" s="11" t="n">
        <x:v>0.3897078037261963</x:v>
      </x:c>
      <x:c r="J867" s="24" t="n">
        <x:v>140.30389931146055</x:v>
      </x:c>
      <x:c r="K867" s="24" t="n">
        <x:v>159.1523516178131</x:v>
      </x:c>
      <x:c r="L867" s="11" t="n">
        <x:v>0.5756824016571045</x:v>
      </x:c>
      <x:c r="M867" s="11" t="n">
        <x:v>0.0999332070350647</x:v>
      </x:c>
    </x:row>
    <x:row r="868" ht="22" customHeight="1">
      <x:c r="A868" s="17" t="str">
        <x:f>"11253310"</x:f>
        <x:v>11253310</x:v>
      </x:c>
      <x:c r="B868" s="13" t="n">
        <x:v>42</x:v>
      </x:c>
      <x:c r="C868" s="22" t="b">
        <x:v>1</x:v>
      </x:c>
      <x:c r="D868" s="11" t="n">
        <x:v>0.0264026404668887</x:v>
      </x:c>
      <x:c r="E868" s="11" t="n">
        <x:v>0.00024271844449683336</x:v>
      </x:c>
      <x:c r="F868" s="11" t="n">
        <x:v>0.3490099012851715</x:v>
      </x:c>
      <x:c r="G868" s="13" t="n">
        <x:v>2</x:v>
      </x:c>
      <x:c r="H868" s="11" t="n">
        <x:v>0.3826703727245331</x:v>
      </x:c>
      <x:c r="I868" s="11" t="n">
        <x:v>0.3963905572891235</x:v>
      </x:c>
      <x:c r="J868" s="24" t="n">
        <x:v>139.95381197798997</x:v>
      </x:c>
      <x:c r="K868" s="24" t="n">
        <x:v>153.3357536792755</x:v>
      </x:c>
      <x:c r="L868" s="11" t="n">
        <x:v>0.8267326951026917</x:v>
      </x:c>
      <x:c r="M868" s="11" t="n">
        <x:v>0.0999393239617347</x:v>
      </x:c>
    </x:row>
    <x:row r="869" ht="22" customHeight="1">
      <x:c r="A869" s="17" t="str">
        <x:f>"11253310"</x:f>
        <x:v>11253310</x:v>
      </x:c>
      <x:c r="B869" s="13" t="n">
        <x:v>42</x:v>
      </x:c>
      <x:c r="C869" s="22" t="b">
        <x:v>0</x:v>
      </x:c>
      <x:c r="D869" s="11" t="n">
        <x:v>0.0330851934850215</x:v>
      </x:c>
      <x:c r="E869" s="11" t="n">
        <x:v>0.00026986183850863333</x:v>
      </x:c>
      <x:c r="F869" s="11" t="n">
        <x:v>0.3647642731666565</x:v>
      </x:c>
      <x:c r="G869" s="13" t="n">
        <x:v>1</x:v>
      </x:c>
      <x:c r="H869" s="11" t="n">
        <x:v>0.3800391554832458</x:v>
      </x:c>
      <x:c r="I869" s="11" t="n">
        <x:v>0.4185882210731506</x:v>
      </x:c>
      <x:c r="J869" s="24" t="n">
        <x:v>137.73174012918025</x:v>
      </x:c>
      <x:c r="K869" s="24" t="n">
        <x:v>156.7418406009674</x:v>
      </x:c>
      <x:c r="L869" s="11" t="n">
        <x:v>0.9131513833999634</x:v>
      </x:c>
      <x:c r="M869" s="11" t="n">
        <x:v>0.0999332070350647</x:v>
      </x:c>
    </x:row>
    <x:row r="870" ht="22" customHeight="1">
      <x:c r="A870" s="17" t="str">
        <x:f>"11264500"</x:f>
        <x:v>11264500</x:v>
      </x:c>
      <x:c r="B870" s="13" t="n">
        <x:v>42</x:v>
      </x:c>
      <x:c r="C870" s="22" t="b">
        <x:v>1</x:v>
      </x:c>
      <x:c r="D870" s="11" t="n">
        <x:v>0.014026402806242266</x:v>
      </x:c>
      <x:c r="E870" s="11" t="n">
        <x:v>0.0004112729220650667</x:v>
      </x:c>
      <x:c r="F870" s="11" t="n">
        <x:v>0.2252475321292877</x:v>
      </x:c>
      <x:c r="G870" s="13" t="n">
        <x:v>10</x:v>
      </x:c>
      <x:c r="H870" s="11" t="n">
        <x:v>0.0194231923669576</x:v>
      </x:c>
      <x:c r="I870" s="11" t="n">
        <x:v>0.0194231923669576</x:v>
      </x:c>
      <x:c r="J870" s="24" t="n">
        <x:v>136.74490194022655</x:v>
      </x:c>
      <x:c r="K870" s="24" t="n">
        <x:v>144.9312481880188</x:v>
      </x:c>
      <x:c r="L870" s="11" t="n">
        <x:v>0.2252475321292877</x:v>
      </x:c>
      <x:c r="M870" s="11" t="n">
        <x:v>0.0999393239617347</x:v>
      </x:c>
    </x:row>
    <x:row r="871" ht="22" customHeight="1">
      <x:c r="A871" s="17" t="str">
        <x:f>"11264500"</x:f>
        <x:v>11264500</x:v>
      </x:c>
      <x:c r="B871" s="13" t="n">
        <x:v>42</x:v>
      </x:c>
      <x:c r="C871" s="22" t="b">
        <x:v>0</x:v>
      </x:c>
      <x:c r="D871" s="11" t="n">
        <x:v>0.0521091818809509</x:v>
      </x:c>
      <x:c r="E871" s="11" t="n">
        <x:v>0.0005599632859229667</x:v>
      </x:c>
      <x:c r="F871" s="11" t="n">
        <x:v>0.5161290168762207</x:v>
      </x:c>
      <x:c r="G871" s="13" t="n">
        <x:v>1</x:v>
      </x:c>
      <x:c r="H871" s="11" t="n">
        <x:v>0.2057092785835266</x:v>
      </x:c>
      <x:c r="I871" s="11" t="n">
        <x:v>0.2700147628784179</x:v>
      </x:c>
      <x:c r="J871" s="24" t="n">
        <x:v>137.26136156916618</x:v>
      </x:c>
      <x:c r="K871" s="24" t="n">
        <x:v>168.7347273826599</x:v>
      </x:c>
      <x:c r="L871" s="11" t="n">
        <x:v>0.9602977633476256</x:v>
      </x:c>
      <x:c r="M871" s="11" t="n">
        <x:v>0.0999332070350647</x:v>
      </x:c>
    </x:row>
    <x:row r="872" ht="22" customHeight="1">
      <x:c r="A872" s="17" t="str">
        <x:f>"11266500"</x:f>
        <x:v>11266500</x:v>
      </x:c>
      <x:c r="B872" s="13" t="n">
        <x:v>42</x:v>
      </x:c>
      <x:c r="C872" s="22" t="b">
        <x:v>1</x:v>
      </x:c>
      <x:c r="D872" s="11" t="n">
        <x:v>0.012376237660646402</x:v>
      </x:c>
      <x:c r="E872" s="11" t="n">
        <x:v>0.0006067961027535</x:v>
      </x:c>
      <x:c r="F872" s="11" t="n">
        <x:v>0.2797029614448547</x:v>
      </x:c>
      <x:c r="G872" s="13" t="n">
        <x:v>9</x:v>
      </x:c>
      <x:c r="H872" s="11" t="n">
        <x:v>0.0224465411156415</x:v>
      </x:c>
      <x:c r="I872" s="11" t="n">
        <x:v>0.0230315793305635</x:v>
      </x:c>
      <x:c r="J872" s="24" t="n">
        <x:v>138.50363883469254</x:v>
      </x:c>
      <x:c r="K872" s="24" t="n">
        <x:v>149.397686958313</x:v>
      </x:c>
      <x:c r="L872" s="11" t="n">
        <x:v>0.2896039485931396</x:v>
      </x:c>
      <x:c r="M872" s="11" t="n">
        <x:v>0.0999393239617347</x:v>
      </x:c>
    </x:row>
    <x:row r="873" ht="22" customHeight="1">
      <x:c r="A873" s="17" t="str">
        <x:f>"11266500"</x:f>
        <x:v>11266500</x:v>
      </x:c>
      <x:c r="B873" s="13" t="n">
        <x:v>42</x:v>
      </x:c>
      <x:c r="C873" s="22" t="b">
        <x:v>0</x:v>
      </x:c>
      <x:c r="D873" s="11" t="n">
        <x:v>0.03970223292708389</x:v>
      </x:c>
      <x:c r="E873" s="11" t="n">
        <x:v>0.0006476683968988333</x:v>
      </x:c>
      <x:c r="F873" s="11" t="n">
        <x:v>0.4119106829166412</x:v>
      </x:c>
      <x:c r="G873" s="13" t="n">
        <x:v>3</x:v>
      </x:c>
      <x:c r="H873" s="11" t="n">
        <x:v>0.2024657428264618</x:v>
      </x:c>
      <x:c r="I873" s="11" t="n">
        <x:v>0.8270569443702698</x:v>
      </x:c>
      <x:c r="J873" s="24" t="n">
        <x:v>137.80040810257196</x:v>
      </x:c>
      <x:c r="K873" s="24" t="n">
        <x:v>159.40916514396667</x:v>
      </x:c>
      <x:c r="L873" s="11" t="n">
        <x:v>0.7791563272476196</x:v>
      </x:c>
      <x:c r="M873" s="11" t="n">
        <x:v>0.0999332070350647</x:v>
      </x:c>
    </x:row>
    <x:row r="874" ht="22" customHeight="1">
      <x:c r="A874" s="17" t="str">
        <x:f>"11274500"</x:f>
        <x:v>11274500</x:v>
      </x:c>
      <x:c r="B874" s="13" t="n">
        <x:v>42</x:v>
      </x:c>
      <x:c r="C874" s="22" t="b">
        <x:v>1</x:v>
      </x:c>
      <x:c r="D874" s="11" t="n">
        <x:v>0.015676567641397268</x:v>
      </x:c>
      <x:c r="E874" s="11" t="n">
        <x:v>0.0003236246023637</x:v>
      </x:c>
      <x:c r="F874" s="11" t="n">
        <x:v>0.3638613820075989</x:v>
      </x:c>
      <x:c r="G874" s="13" t="n">
        <x:v>3</x:v>
      </x:c>
      <x:c r="H874" s="11" t="n">
        <x:v>0.0874641835689544</x:v>
      </x:c>
      <x:c r="I874" s="11" t="n">
        <x:v>0.1120107471942901</x:v>
      </x:c>
      <x:c r="J874" s="24" t="n">
        <x:v>140.29983408097178</x:v>
      </x:c>
      <x:c r="K874" s="24" t="n">
        <x:v>156.8917350769043</x:v>
      </x:c>
      <x:c r="L874" s="11" t="n">
        <x:v>0.698019802570343</x:v>
      </x:c>
      <x:c r="M874" s="11" t="n">
        <x:v>0.0999393239617347</x:v>
      </x:c>
    </x:row>
    <x:row r="875" ht="22" customHeight="1">
      <x:c r="A875" s="17" t="str">
        <x:f>"11274500"</x:f>
        <x:v>11274500</x:v>
      </x:c>
      <x:c r="B875" s="13" t="n">
        <x:v>42</x:v>
      </x:c>
      <x:c r="C875" s="22" t="b">
        <x:v>0</x:v>
      </x:c>
      <x:c r="D875" s="11" t="n">
        <x:v>0.0454921424388885</x:v>
      </x:c>
      <x:c r="E875" s="11" t="n">
        <x:v>0.00043177892803209996</x:v>
      </x:c>
      <x:c r="F875" s="11" t="n">
        <x:v>0.394540935754776</x:v>
      </x:c>
      <x:c r="G875" s="13" t="n">
        <x:v>2</x:v>
      </x:c>
      <x:c r="H875" s="11" t="n">
        <x:v>0.0941570326685905</x:v>
      </x:c>
      <x:c r="I875" s="11" t="n">
        <x:v>0.2236378788948059</x:v>
      </x:c>
      <x:c r="J875" s="24" t="n">
        <x:v>137.8490074854344</x:v>
      </x:c>
      <x:c r="K875" s="24" t="n">
        <x:v>157.23825550079346</x:v>
      </x:c>
      <x:c r="L875" s="11" t="n">
        <x:v>0.7593052387237549</x:v>
      </x:c>
      <x:c r="M875" s="11" t="n">
        <x:v>0.0999332070350647</x:v>
      </x:c>
    </x:row>
    <x:row r="876" ht="22" customHeight="1">
      <x:c r="A876" s="17" t="str">
        <x:f>"11274630"</x:f>
        <x:v>11274630</x:v>
      </x:c>
      <x:c r="B876" s="13" t="n">
        <x:v>42</x:v>
      </x:c>
      <x:c r="C876" s="22" t="b">
        <x:v>1</x:v>
      </x:c>
      <x:c r="D876" s="11" t="n">
        <x:v>0.0354785484572251</x:v>
      </x:c>
      <x:c r="E876" s="11" t="n">
        <x:v>0.0005663430589871667</x:v>
      </x:c>
      <x:c r="F876" s="11" t="n">
        <x:v>0.4059405922889709</x:v>
      </x:c>
      <x:c r="G876" s="13" t="n">
        <x:v>3</x:v>
      </x:c>
      <x:c r="H876" s="11" t="n">
        <x:v>0.0453078225255012</x:v>
      </x:c>
      <x:c r="I876" s="11" t="n">
        <x:v>0.0644573420286178</x:v>
      </x:c>
      <x:c r="J876" s="24" t="n">
        <x:v>137.0617976039648</x:v>
      </x:c>
      <x:c r="K876" s="24" t="n">
        <x:v>154.3662884235382</x:v>
      </x:c>
      <x:c r="L876" s="11" t="n">
        <x:v>0.7326732873916626</x:v>
      </x:c>
      <x:c r="M876" s="11" t="n">
        <x:v>0.0999393239617347</x:v>
      </x:c>
    </x:row>
    <x:row r="877" ht="22" customHeight="1">
      <x:c r="A877" s="17" t="str">
        <x:f>"11274630"</x:f>
        <x:v>11274630</x:v>
      </x:c>
      <x:c r="B877" s="13" t="n">
        <x:v>42</x:v>
      </x:c>
      <x:c r="C877" s="22" t="b">
        <x:v>0</x:v>
      </x:c>
      <x:c r="D877" s="11" t="n">
        <x:v>0.028122415145238167</x:v>
      </x:c>
      <x:c r="E877" s="11" t="n">
        <x:v>0.00022263601325289999</x:v>
      </x:c>
      <x:c r="F877" s="11" t="n">
        <x:v>0.4168734550476074</x:v>
      </x:c>
      <x:c r="G877" s="13" t="n">
        <x:v>8</x:v>
      </x:c>
      <x:c r="H877" s="11" t="n">
        <x:v>0.0898610055446624</x:v>
      </x:c>
      <x:c r="I877" s="11" t="n">
        <x:v>0.1030552685260772</x:v>
      </x:c>
      <x:c r="J877" s="24" t="n">
        <x:v>140.61871004011482</x:v>
      </x:c>
      <x:c r="K877" s="24" t="n">
        <x:v>156.12941074371338</x:v>
      </x:c>
      <x:c r="L877" s="11" t="n">
        <x:v>0.4789081811904907</x:v>
      </x:c>
      <x:c r="M877" s="11" t="n">
        <x:v>0.0999332070350647</x:v>
      </x:c>
    </x:row>
    <x:row r="878" ht="22" customHeight="1">
      <x:c r="A878" s="17" t="str">
        <x:f>"11284400"</x:f>
        <x:v>11284400</x:v>
      </x:c>
      <x:c r="B878" s="13" t="n">
        <x:v>42</x:v>
      </x:c>
      <x:c r="C878" s="22" t="b">
        <x:v>1</x:v>
      </x:c>
      <x:c r="D878" s="11" t="n">
        <x:v>0.03382838393251097</x:v>
      </x:c>
      <x:c r="E878" s="11" t="n">
        <x:v>0.0004180150960261</x:v>
      </x:c>
      <x:c r="F878" s="11" t="n">
        <x:v>0.3836633563041687</x:v>
      </x:c>
      <x:c r="G878" s="13" t="n">
        <x:v>10</x:v>
      </x:c>
      <x:c r="H878" s="11" t="n">
        <x:v>0.3511553406715393</x:v>
      </x:c>
      <x:c r="I878" s="11" t="n">
        <x:v>0.3511553406715393</x:v>
      </x:c>
      <x:c r="J878" s="24" t="n">
        <x:v>140.63545287773013</x:v>
      </x:c>
      <x:c r="K878" s="24" t="n">
        <x:v>154.53253936767578</x:v>
      </x:c>
      <x:c r="L878" s="11" t="n">
        <x:v>0.3836633563041687</x:v>
      </x:c>
      <x:c r="M878" s="11" t="n">
        <x:v>0.0999393239617347</x:v>
      </x:c>
    </x:row>
    <x:row r="879" ht="22" customHeight="1">
      <x:c r="A879" s="17" t="str">
        <x:f>"11284400"</x:f>
        <x:v>11284400</x:v>
      </x:c>
      <x:c r="B879" s="13" t="n">
        <x:v>42</x:v>
      </x:c>
      <x:c r="C879" s="22" t="b">
        <x:v>0</x:v>
      </x:c>
      <x:c r="D879" s="11" t="n">
        <x:v>0.04301075326899684</x:v>
      </x:c>
      <x:c r="E879" s="11" t="n">
        <x:v>0.0002023963728181667</x:v>
      </x:c>
      <x:c r="F879" s="11" t="n">
        <x:v>0.5062034726142883</x:v>
      </x:c>
      <x:c r="G879" s="13" t="n">
        <x:v>6</x:v>
      </x:c>
      <x:c r="H879" s="11" t="n">
        <x:v>0.3973596096038818</x:v>
      </x:c>
      <x:c r="I879" s="11" t="n">
        <x:v>0.3980772793292999</x:v>
      </x:c>
      <x:c r="J879" s="24" t="n">
        <x:v>139.02518881484866</x:v>
      </x:c>
      <x:c r="K879" s="24" t="n">
        <x:v>158.51775670051575</x:v>
      </x:c>
      <x:c r="L879" s="11" t="n">
        <x:v>0.6178659796714783</x:v>
      </x:c>
      <x:c r="M879" s="11" t="n">
        <x:v>0.0999332070350647</x:v>
      </x:c>
    </x:row>
    <x:row r="880" ht="22" customHeight="1">
      <x:c r="A880" s="17" t="str">
        <x:f>"11381500"</x:f>
        <x:v>11381500</x:v>
      </x:c>
      <x:c r="B880" s="13" t="n">
        <x:v>42</x:v>
      </x:c>
      <x:c r="C880" s="22" t="b">
        <x:v>1</x:v>
      </x:c>
      <x:c r="D880" s="11" t="n">
        <x:v>0.0074257426895201</x:v>
      </x:c>
      <x:c r="E880" s="11" t="n">
        <x:v>0.0007820927809612668</x:v>
      </x:c>
      <x:c r="F880" s="11" t="n">
        <x:v>0.3465346395969391</x:v>
      </x:c>
      <x:c r="G880" s="13" t="n">
        <x:v>1</x:v>
      </x:c>
      <x:c r="H880" s="11" t="n">
        <x:v>0.3070469498634338</x:v>
      </x:c>
      <x:c r="I880" s="11" t="n">
        <x:v>0.3299411237239837</x:v>
      </x:c>
      <x:c r="J880" s="24" t="n">
        <x:v>139.18001938425004</x:v>
      </x:c>
      <x:c r="K880" s="24" t="n">
        <x:v>155.94931411743164</x:v>
      </x:c>
      <x:c r="L880" s="11" t="n">
        <x:v>0.9331682920455932</x:v>
      </x:c>
      <x:c r="M880" s="11" t="n">
        <x:v>0.0999393239617347</x:v>
      </x:c>
    </x:row>
    <x:row r="881" ht="22" customHeight="1">
      <x:c r="A881" s="17" t="str">
        <x:f>"11381500"</x:f>
        <x:v>11381500</x:v>
      </x:c>
      <x:c r="B881" s="13" t="n">
        <x:v>42</x:v>
      </x:c>
      <x:c r="C881" s="22" t="b">
        <x:v>0</x:v>
      </x:c>
      <x:c r="D881" s="11" t="n">
        <x:v>0.03060380493601157</x:v>
      </x:c>
      <x:c r="E881" s="11" t="n">
        <x:v>0.0004924978420603666</x:v>
      </x:c>
      <x:c r="F881" s="11" t="n">
        <x:v>0.444168746471405</x:v>
      </x:c>
      <x:c r="G881" s="13" t="n">
        <x:v>1</x:v>
      </x:c>
      <x:c r="H881" s="11" t="n">
        <x:v>0.3822540044784546</x:v>
      </x:c>
      <x:c r="I881" s="11" t="n">
        <x:v>0.4074715673923492</x:v>
      </x:c>
      <x:c r="J881" s="24" t="n">
        <x:v>140.60283138323575</x:v>
      </x:c>
      <x:c r="K881" s="24" t="n">
        <x:v>162.38628792762756</x:v>
      </x:c>
      <x:c r="L881" s="11" t="n">
        <x:v>0.933002471923828</x:v>
      </x:c>
      <x:c r="M881" s="11" t="n">
        <x:v>0.0999332070350647</x:v>
      </x:c>
    </x:row>
    <x:row r="882" ht="22" customHeight="1">
      <x:c r="A882" s="17" t="str">
        <x:f>"11383500"</x:f>
        <x:v>11383500</x:v>
      </x:c>
      <x:c r="B882" s="13" t="n">
        <x:v>42</x:v>
      </x:c>
      <x:c r="C882" s="22" t="b">
        <x:v>1</x:v>
      </x:c>
      <x:c r="D882" s="11" t="n">
        <x:v>0.019801980505386934</x:v>
      </x:c>
      <x:c r="E882" s="11" t="n">
        <x:v>0.0011124594990784666</x:v>
      </x:c>
      <x:c r="F882" s="11" t="n">
        <x:v>0.3886138498783111</x:v>
      </x:c>
      <x:c r="G882" s="13" t="n">
        <x:v>1</x:v>
      </x:c>
      <x:c r="H882" s="11" t="n">
        <x:v>0.1975126266479492</x:v>
      </x:c>
      <x:c r="I882" s="11" t="n">
        <x:v>0.2782483696937561</x:v>
      </x:c>
      <x:c r="J882" s="24" t="n">
        <x:v>140.63851605448872</x:v>
      </x:c>
      <x:c r="K882" s="24" t="n">
        <x:v>162.69724702835083</x:v>
      </x:c>
      <x:c r="L882" s="11" t="n">
        <x:v>0.9306930899620056</x:v>
      </x:c>
      <x:c r="M882" s="11" t="n">
        <x:v>0.0999393239617347</x:v>
      </x:c>
    </x:row>
    <x:row r="883" ht="22" customHeight="1">
      <x:c r="A883" s="17" t="str">
        <x:f>"11383500"</x:f>
        <x:v>11383500</x:v>
      </x:c>
      <x:c r="B883" s="13" t="n">
        <x:v>42</x:v>
      </x:c>
      <x:c r="C883" s="22" t="b">
        <x:v>0</x:v>
      </x:c>
      <x:c r="D883" s="11" t="n">
        <x:v>0.039702233547965635</x:v>
      </x:c>
      <x:c r="E883" s="11" t="n">
        <x:v>0.00044527201195396665</x:v>
      </x:c>
      <x:c r="F883" s="11" t="n">
        <x:v>0.5533498525619507</x:v>
      </x:c>
      <x:c r="G883" s="13" t="n">
        <x:v>1</x:v>
      </x:c>
      <x:c r="H883" s="11" t="n">
        <x:v>0.2648927867412567</x:v>
      </x:c>
      <x:c r="I883" s="11" t="n">
        <x:v>0.2666956186294555</x:v>
      </x:c>
      <x:c r="J883" s="24" t="n">
        <x:v>139.65576315298676</x:v>
      </x:c>
      <x:c r="K883" s="24" t="n">
        <x:v>165.88202691078186</x:v>
      </x:c>
      <x:c r="L883" s="11" t="n">
        <x:v>0.9652605652809144</x:v>
      </x:c>
      <x:c r="M883" s="11" t="n">
        <x:v>0.0999332070350647</x:v>
      </x:c>
    </x:row>
    <x:row r="884" ht="22" customHeight="1">
      <x:c r="A884" s="17" t="str">
        <x:f>"11451100"</x:f>
        <x:v>11451100</x:v>
      </x:c>
      <x:c r="B884" s="13" t="n">
        <x:v>42</x:v>
      </x:c>
      <x:c r="C884" s="22" t="b">
        <x:v>1</x:v>
      </x:c>
      <x:c r="D884" s="11" t="n">
        <x:v>0.015676567951838135</x:v>
      </x:c>
      <x:c r="E884" s="11" t="n">
        <x:v>0.0006674757266106</x:v>
      </x:c>
      <x:c r="F884" s="11" t="n">
        <x:v>0.4207920730113983</x:v>
      </x:c>
      <x:c r="G884" s="13" t="n">
        <x:v>4</x:v>
      </x:c>
      <x:c r="H884" s="11" t="n">
        <x:v>0.2029500305652618</x:v>
      </x:c>
      <x:c r="I884" s="11" t="n">
        <x:v>0.2127137184143066</x:v>
      </x:c>
      <x:c r="J884" s="24" t="n">
        <x:v>140.79077742807567</x:v>
      </x:c>
      <x:c r="K884" s="24" t="n">
        <x:v>156.85563015937805</x:v>
      </x:c>
      <x:c r="L884" s="11" t="n">
        <x:v>0.698019802570343</x:v>
      </x:c>
      <x:c r="M884" s="11" t="n">
        <x:v>0.0999393239617347</x:v>
      </x:c>
    </x:row>
    <x:row r="885" ht="22" customHeight="1">
      <x:c r="A885" s="17" t="str">
        <x:f>"11451100"</x:f>
        <x:v>11451100</x:v>
      </x:c>
      <x:c r="B885" s="13" t="n">
        <x:v>42</x:v>
      </x:c>
      <x:c r="C885" s="22" t="b">
        <x:v>0</x:v>
      </x:c>
      <x:c r="D885" s="11" t="n">
        <x:v>0.023986765493949163</x:v>
      </x:c>
      <x:c r="E885" s="11" t="n">
        <x:v>0.0002563687351842333</x:v>
      </x:c>
      <x:c r="F885" s="11" t="n">
        <x:v>0.4937965273857116</x:v>
      </x:c>
      <x:c r="G885" s="13" t="n">
        <x:v>4</x:v>
      </x:c>
      <x:c r="H885" s="11" t="n">
        <x:v>0.318932294845581</x:v>
      </x:c>
      <x:c r="I885" s="11" t="n">
        <x:v>0.4210305511951446</x:v>
      </x:c>
      <x:c r="J885" s="24" t="n">
        <x:v>138.77013534959406</x:v>
      </x:c>
      <x:c r="K885" s="24" t="n">
        <x:v>160.4669439792633</x:v>
      </x:c>
      <x:c r="L885" s="11" t="n">
        <x:v>0.7419354915618896</x:v>
      </x:c>
      <x:c r="M885" s="11" t="n">
        <x:v>0.0999332070350647</x:v>
      </x:c>
    </x:row>
    <x:row r="886" ht="22" customHeight="1">
      <x:c r="A886" s="17" t="str">
        <x:f>"11468500"</x:f>
        <x:v>11468500</x:v>
      </x:c>
      <x:c r="B886" s="13" t="n">
        <x:v>42</x:v>
      </x:c>
      <x:c r="C886" s="22" t="b">
        <x:v>1</x:v>
      </x:c>
      <x:c r="D886" s="11" t="n">
        <x:v>0.02310231048613783</x:v>
      </x:c>
      <x:c r="E886" s="11" t="n">
        <x:v>0.0006067961027535</x:v>
      </x:c>
      <x:c r="F886" s="11" t="n">
        <x:v>0.3564356565475464</x:v>
      </x:c>
      <x:c r="G886" s="13" t="n">
        <x:v>1</x:v>
      </x:c>
      <x:c r="H886" s="11" t="n">
        <x:v>0.2475052773952484</x:v>
      </x:c>
      <x:c r="I886" s="11" t="n">
        <x:v>0.2614355981349945</x:v>
      </x:c>
      <x:c r="J886" s="24" t="n">
        <x:v>139.41090709716082</x:v>
      </x:c>
      <x:c r="K886" s="24" t="n">
        <x:v>156.86167240142822</x:v>
      </x:c>
      <x:c r="L886" s="11" t="n">
        <x:v>0.9653465151786804</x:v>
      </x:c>
      <x:c r="M886" s="11" t="n">
        <x:v>0.0999393239617347</x:v>
      </x:c>
    </x:row>
    <x:row r="887" ht="22" customHeight="1">
      <x:c r="A887" s="17" t="str">
        <x:f>"11468500"</x:f>
        <x:v>11468500</x:v>
      </x:c>
      <x:c r="B887" s="13" t="n">
        <x:v>42</x:v>
      </x:c>
      <x:c r="C887" s="22" t="b">
        <x:v>0</x:v>
      </x:c>
      <x:c r="D887" s="11" t="n">
        <x:v>0.023986766114830898</x:v>
      </x:c>
      <x:c r="E887" s="11" t="n">
        <x:v>0.0002968480112030667</x:v>
      </x:c>
      <x:c r="F887" s="11" t="n">
        <x:v>0.4516128897666931</x:v>
      </x:c>
      <x:c r="G887" s="13" t="n">
        <x:v>1</x:v>
      </x:c>
      <x:c r="H887" s="11" t="n">
        <x:v>0.316672146320343</x:v>
      </x:c>
      <x:c r="I887" s="11" t="n">
        <x:v>0.3318143188953399</x:v>
      </x:c>
      <x:c r="J887" s="24" t="n">
        <x:v>138.22276105638593</x:v>
      </x:c>
      <x:c r="K887" s="24" t="n">
        <x:v>170.29198360443115</x:v>
      </x:c>
      <x:c r="L887" s="11" t="n">
        <x:v>0.96277916431427</x:v>
      </x:c>
      <x:c r="M887" s="11" t="n">
        <x:v>0.0999332070350647</x:v>
      </x:c>
    </x:row>
    <x:row r="888" ht="22" customHeight="1">
      <x:c r="A888" s="17" t="str">
        <x:f>"11473900"</x:f>
        <x:v>11473900</x:v>
      </x:c>
      <x:c r="B888" s="13" t="n">
        <x:v>42</x:v>
      </x:c>
      <x:c r="C888" s="22" t="b">
        <x:v>1</x:v>
      </x:c>
      <x:c r="D888" s="11" t="n">
        <x:v>0.03217821816603336</x:v>
      </x:c>
      <x:c r="E888" s="11" t="n">
        <x:v>0.0008899676225457999</x:v>
      </x:c>
      <x:c r="F888" s="11" t="n">
        <x:v>0.3539603948593139</x:v>
      </x:c>
      <x:c r="G888" s="13" t="n">
        <x:v>2</x:v>
      </x:c>
      <x:c r="H888" s="11" t="n">
        <x:v>0.2882768809795379</x:v>
      </x:c>
      <x:c r="I888" s="11" t="n">
        <x:v>0.3211548328399658</x:v>
      </x:c>
      <x:c r="J888" s="24" t="n">
        <x:v>142.59810292162</x:v>
      </x:c>
      <x:c r="K888" s="24" t="n">
        <x:v>166.4584710597992</x:v>
      </x:c>
      <x:c r="L888" s="11" t="n">
        <x:v>0.8663366436958313</x:v>
      </x:c>
      <x:c r="M888" s="11" t="n">
        <x:v>0.0999393239617347</x:v>
      </x:c>
    </x:row>
    <x:row r="889" ht="22" customHeight="1">
      <x:c r="A889" s="17" t="str">
        <x:f>"11473900"</x:f>
        <x:v>11473900</x:v>
      </x:c>
      <x:c r="B889" s="13" t="n">
        <x:v>42</x:v>
      </x:c>
      <x:c r="C889" s="22" t="b">
        <x:v>0</x:v>
      </x:c>
      <x:c r="D889" s="11" t="n">
        <x:v>0.031430934245387634</x:v>
      </x:c>
      <x:c r="E889" s="11" t="n">
        <x:v>0.000586949463468</x:v>
      </x:c>
      <x:c r="F889" s="11" t="n">
        <x:v>0.4838709533214569</x:v>
      </x:c>
      <x:c r="G889" s="13" t="n">
        <x:v>8</x:v>
      </x:c>
      <x:c r="H889" s="11" t="n">
        <x:v>0.3739407062530517</x:v>
      </x:c>
      <x:c r="I889" s="11" t="n">
        <x:v>0.3874364495277405</x:v>
      </x:c>
      <x:c r="J889" s="24" t="n">
        <x:v>138.4137907223776</x:v>
      </x:c>
      <x:c r="K889" s="24" t="n">
        <x:v>155.93601393699646</x:v>
      </x:c>
      <x:c r="L889" s="11" t="n">
        <x:v>0.540942907333374</x:v>
      </x:c>
      <x:c r="M889" s="11" t="n">
        <x:v>0.0999332070350647</x:v>
      </x:c>
    </x:row>
    <x:row r="890" ht="22" customHeight="1">
      <x:c r="A890" s="17" t="str">
        <x:f>"11475560"</x:f>
        <x:v>11475560</x:v>
      </x:c>
      <x:c r="B890" s="13" t="n">
        <x:v>42</x:v>
      </x:c>
      <x:c r="C890" s="22" t="b">
        <x:v>1</x:v>
      </x:c>
      <x:c r="D890" s="11" t="n">
        <x:v>0.023102310796578665</x:v>
      </x:c>
      <x:c r="E890" s="11" t="n">
        <x:v>0.0005596008753248333</x:v>
      </x:c>
      <x:c r="F890" s="11" t="n">
        <x:v>0.2846534550189972</x:v>
      </x:c>
      <x:c r="G890" s="13" t="n">
        <x:v>9</x:v>
      </x:c>
      <x:c r="H890" s="11" t="n">
        <x:v>0.2347499281167984</x:v>
      </x:c>
      <x:c r="I890" s="11" t="n">
        <x:v>0.236048087477684</x:v>
      </x:c>
      <x:c r="J890" s="24" t="n">
        <x:v>141.62259522173554</x:v>
      </x:c>
      <x:c r="K890" s="24" t="n">
        <x:v>152.33090662956238</x:v>
      </x:c>
      <x:c r="L890" s="11" t="n">
        <x:v>0.3168316781520843</x:v>
      </x:c>
      <x:c r="M890" s="11" t="n">
        <x:v>0.0999393239617347</x:v>
      </x:c>
    </x:row>
    <x:row r="891" ht="22" customHeight="1">
      <x:c r="A891" s="17" t="str">
        <x:f>"11475560"</x:f>
        <x:v>11475560</x:v>
      </x:c>
      <x:c r="B891" s="13" t="n">
        <x:v>42</x:v>
      </x:c>
      <x:c r="C891" s="22" t="b">
        <x:v>0</x:v>
      </x:c>
      <x:c r="D891" s="11" t="n">
        <x:v>0.024813895424206964</x:v>
      </x:c>
      <x:c r="E891" s="11" t="n">
        <x:v>0.00036431346476696667</x:v>
      </x:c>
      <x:c r="F891" s="11" t="n">
        <x:v>0.4119106829166412</x:v>
      </x:c>
      <x:c r="G891" s="13" t="n">
        <x:v>10</x:v>
      </x:c>
      <x:c r="H891" s="11" t="n">
        <x:v>0.3160243928432464</x:v>
      </x:c>
      <x:c r="I891" s="11" t="n">
        <x:v>0.3160243928432464</x:v>
      </x:c>
      <x:c r="J891" s="24" t="n">
        <x:v>144.35060777328908</x:v>
      </x:c>
      <x:c r="K891" s="24" t="n">
        <x:v>156.75424432754517</x:v>
      </x:c>
      <x:c r="L891" s="11" t="n">
        <x:v>0.4119106829166412</x:v>
      </x:c>
      <x:c r="M891" s="11" t="n">
        <x:v>0.0999332070350647</x:v>
      </x:c>
    </x:row>
    <x:row r="892" ht="22" customHeight="1">
      <x:c r="A892" s="17" t="str">
        <x:f>"11476600"</x:f>
        <x:v>11476600</x:v>
      </x:c>
      <x:c r="B892" s="13" t="n">
        <x:v>42</x:v>
      </x:c>
      <x:c r="C892" s="22" t="b">
        <x:v>1</x:v>
      </x:c>
      <x:c r="D892" s="11" t="n">
        <x:v>0.0214521456509828</x:v>
      </x:c>
      <x:c r="E892" s="11" t="n">
        <x:v>0.00042475727968846667</x:v>
      </x:c>
      <x:c r="F892" s="11" t="n">
        <x:v>0.398514837026596</x:v>
      </x:c>
      <x:c r="G892" s="13" t="n">
        <x:v>3</x:v>
      </x:c>
      <x:c r="H892" s="11" t="n">
        <x:v>0.1290929764509201</x:v>
      </x:c>
      <x:c r="I892" s="11" t="n">
        <x:v>0.1422943472862243</x:v>
      </x:c>
      <x:c r="J892" s="24" t="n">
        <x:v>142.71439848374575</x:v>
      </x:c>
      <x:c r="K892" s="24" t="n">
        <x:v>161.68038725852966</x:v>
      </x:c>
      <x:c r="L892" s="11" t="n">
        <x:v>0.7128713130950928</x:v>
      </x:c>
      <x:c r="M892" s="11" t="n">
        <x:v>0.0999393239617347</x:v>
      </x:c>
    </x:row>
    <x:row r="893" ht="22" customHeight="1">
      <x:c r="A893" s="17" t="str">
        <x:f>"11476600"</x:f>
        <x:v>11476600</x:v>
      </x:c>
      <x:c r="B893" s="13" t="n">
        <x:v>42</x:v>
      </x:c>
      <x:c r="C893" s="22" t="b">
        <x:v>0</x:v>
      </x:c>
      <x:c r="D893" s="11" t="n">
        <x:v>0.042183622717857305</x:v>
      </x:c>
      <x:c r="E893" s="11" t="n">
        <x:v>0.0005262305688423333</x:v>
      </x:c>
      <x:c r="F893" s="11" t="n">
        <x:v>0.4913151264190674</x:v>
      </x:c>
      <x:c r="G893" s="13" t="n">
        <x:v>1</x:v>
      </x:c>
      <x:c r="H893" s="11" t="n">
        <x:v>0.2778158783912658</x:v>
      </x:c>
      <x:c r="I893" s="11" t="n">
        <x:v>0.3106258511543274</x:v>
      </x:c>
      <x:c r="J893" s="24" t="n">
        <x:v>142.7472729627043</x:v>
      </x:c>
      <x:c r="K893" s="24" t="n">
        <x:v>171.19323229789734</x:v>
      </x:c>
      <x:c r="L893" s="11" t="n">
        <x:v>0.9727047085762024</x:v>
      </x:c>
      <x:c r="M893" s="11" t="n">
        <x:v>0.0999332070350647</x:v>
      </x:c>
    </x:row>
    <x:row r="894" ht="22" customHeight="1">
      <x:c r="A894" s="17" t="str">
        <x:f>"11478500"</x:f>
        <x:v>11478500</x:v>
      </x:c>
      <x:c r="B894" s="13" t="n">
        <x:v>42</x:v>
      </x:c>
      <x:c r="C894" s="22" t="b">
        <x:v>1</x:v>
      </x:c>
      <x:c r="D894" s="11" t="n">
        <x:v>0.023102310796578665</x:v>
      </x:c>
      <x:c r="E894" s="11" t="n">
        <x:v>0.0005865695711690334</x:v>
      </x:c>
      <x:c r="F894" s="11" t="n">
        <x:v>0.3465346395969391</x:v>
      </x:c>
      <x:c r="G894" s="13" t="n">
        <x:v>2</x:v>
      </x:c>
      <x:c r="H894" s="11" t="n">
        <x:v>0.2230200767517089</x:v>
      </x:c>
      <x:c r="I894" s="11" t="n">
        <x:v>0.2334923446178436</x:v>
      </x:c>
      <x:c r="J894" s="24" t="n">
        <x:v>141.47760728560388</x:v>
      </x:c>
      <x:c r="K894" s="24" t="n">
        <x:v>155.6912603378296</x:v>
      </x:c>
      <x:c r="L894" s="11" t="n">
        <x:v>0.8143564462661743</x:v>
      </x:c>
      <x:c r="M894" s="11" t="n">
        <x:v>0.0999393239617347</x:v>
      </x:c>
    </x:row>
    <x:row r="895" ht="22" customHeight="1">
      <x:c r="A895" s="17" t="str">
        <x:f>"11478500"</x:f>
        <x:v>11478500</x:v>
      </x:c>
      <x:c r="B895" s="13" t="n">
        <x:v>42</x:v>
      </x:c>
      <x:c r="C895" s="22" t="b">
        <x:v>0</x:v>
      </x:c>
      <x:c r="D895" s="11" t="n">
        <x:v>0.0430107526481151</x:v>
      </x:c>
      <x:c r="E895" s="11" t="n">
        <x:v>0.0004790047338852667</x:v>
      </x:c>
      <x:c r="F895" s="11" t="n">
        <x:v>0.3995037078857422</x:v>
      </x:c>
      <x:c r="G895" s="13" t="n">
        <x:v>2</x:v>
      </x:c>
      <x:c r="H895" s="11" t="n">
        <x:v>0.3008335530757904</x:v>
      </x:c>
      <x:c r="I895" s="11" t="n">
        <x:v>0.3356881439685821</x:v>
      </x:c>
      <x:c r="J895" s="24" t="n">
        <x:v>141.12503263913095</x:v>
      </x:c>
      <x:c r="K895" s="24" t="n">
        <x:v>161.0543920993805</x:v>
      </x:c>
      <x:c r="L895" s="11" t="n">
        <x:v>0.8411910533905029</x:v>
      </x:c>
      <x:c r="M895" s="11" t="n">
        <x:v>0.0999332070350647</x:v>
      </x:c>
    </x:row>
    <x:row r="896" ht="22" customHeight="1">
      <x:c r="A896" s="17" t="str">
        <x:f>"11481200"</x:f>
        <x:v>11481200</x:v>
      </x:c>
      <x:c r="B896" s="13" t="n">
        <x:v>42</x:v>
      </x:c>
      <x:c r="C896" s="22" t="b">
        <x:v>1</x:v>
      </x:c>
      <x:c r="D896" s="11" t="n">
        <x:v>0.019801980505386934</x:v>
      </x:c>
      <x:c r="E896" s="11" t="n">
        <x:v>0.0005730852232469333</x:v>
      </x:c>
      <x:c r="F896" s="11" t="n">
        <x:v>0.3490099012851715</x:v>
      </x:c>
      <x:c r="G896" s="13" t="n">
        <x:v>10</x:v>
      </x:c>
      <x:c r="H896" s="11" t="n">
        <x:v>0.2256975024938583</x:v>
      </x:c>
      <x:c r="I896" s="11" t="n">
        <x:v>0.2256975024938583</x:v>
      </x:c>
      <x:c r="J896" s="24" t="n">
        <x:v>141.5745048550889</x:v>
      </x:c>
      <x:c r="K896" s="24" t="n">
        <x:v>156.5449755191803</x:v>
      </x:c>
      <x:c r="L896" s="11" t="n">
        <x:v>0.3490099012851715</x:v>
      </x:c>
      <x:c r="M896" s="11" t="n">
        <x:v>0.0999393239617347</x:v>
      </x:c>
    </x:row>
    <x:row r="897" ht="22" customHeight="1">
      <x:c r="A897" s="17" t="str">
        <x:f>"11481200"</x:f>
        <x:v>11481200</x:v>
      </x:c>
      <x:c r="B897" s="13" t="n">
        <x:v>42</x:v>
      </x:c>
      <x:c r="C897" s="22" t="b">
        <x:v>0</x:v>
      </x:c>
      <x:c r="D897" s="11" t="n">
        <x:v>0.02646815528472256</x:v>
      </x:c>
      <x:c r="E897" s="11" t="n">
        <x:v>0.00041828582955829994</x:v>
      </x:c>
      <x:c r="F897" s="11" t="n">
        <x:v>0.4516128897666931</x:v>
      </x:c>
      <x:c r="G897" s="13" t="n">
        <x:v>10</x:v>
      </x:c>
      <x:c r="H897" s="11" t="n">
        <x:v>0.2604885995388031</x:v>
      </x:c>
      <x:c r="I897" s="11" t="n">
        <x:v>0.2604885995388031</x:v>
      </x:c>
      <x:c r="J897" s="24" t="n">
        <x:v>138.83908494282514</x:v>
      </x:c>
      <x:c r="K897" s="24" t="n">
        <x:v>151.98924469947815</x:v>
      </x:c>
      <x:c r="L897" s="11" t="n">
        <x:v>0.4516128897666931</x:v>
      </x:c>
      <x:c r="M897" s="11" t="n">
        <x:v>0.0999332070350647</x:v>
      </x:c>
    </x:row>
    <x:row r="898" ht="22" customHeight="1">
      <x:c r="A898" s="17" t="str">
        <x:f>"11482500"</x:f>
        <x:v>11482500</x:v>
      </x:c>
      <x:c r="B898" s="13" t="n">
        <x:v>42</x:v>
      </x:c>
      <x:c r="C898" s="22" t="b">
        <x:v>1</x:v>
      </x:c>
      <x:c r="D898" s="11" t="n">
        <x:v>0.02887788849572333</x:v>
      </x:c>
      <x:c r="E898" s="11" t="n">
        <x:v>0.00039778857414293333</x:v>
      </x:c>
      <x:c r="F898" s="11" t="n">
        <x:v>0.3836633563041687</x:v>
      </x:c>
      <x:c r="G898" s="13" t="n">
        <x:v>3</x:v>
      </x:c>
      <x:c r="H898" s="11" t="n">
        <x:v>0.1595178693532943</x:v>
      </x:c>
      <x:c r="I898" s="11" t="n">
        <x:v>0.1759241223335266</x:v>
      </x:c>
      <x:c r="J898" s="24" t="n">
        <x:v>140.5745006594807</x:v>
      </x:c>
      <x:c r="K898" s="24" t="n">
        <x:v>158.73950004577637</x:v>
      </x:c>
      <x:c r="L898" s="11" t="n">
        <x:v>0.7326732873916626</x:v>
      </x:c>
      <x:c r="M898" s="11" t="n">
        <x:v>0.0999393239617347</x:v>
      </x:c>
    </x:row>
    <x:row r="899" ht="22" customHeight="1">
      <x:c r="A899" s="17" t="str">
        <x:f>"11482500"</x:f>
        <x:v>11482500</x:v>
      </x:c>
      <x:c r="B899" s="13" t="n">
        <x:v>42</x:v>
      </x:c>
      <x:c r="C899" s="22" t="b">
        <x:v>0</x:v>
      </x:c>
      <x:c r="D899" s="11" t="n">
        <x:v>0.0355665832757949</x:v>
      </x:c>
      <x:c r="E899" s="11" t="n">
        <x:v>0.0006004425716430666</x:v>
      </x:c>
      <x:c r="F899" s="11" t="n">
        <x:v>0.5210918188095093</x:v>
      </x:c>
      <x:c r="G899" s="13" t="n">
        <x:v>2</x:v>
      </x:c>
      <x:c r="H899" s="11" t="n">
        <x:v>0.3150202631950378</x:v>
      </x:c>
      <x:c r="I899" s="11" t="n">
        <x:v>0.3618308007717132</x:v>
      </x:c>
      <x:c r="J899" s="24" t="n">
        <x:v>140.04569510370493</x:v>
      </x:c>
      <x:c r="K899" s="24" t="n">
        <x:v>162.2104470729828</x:v>
      </x:c>
      <x:c r="L899" s="11" t="n">
        <x:v>0.8684863448143005</x:v>
      </x:c>
      <x:c r="M899" s="11" t="n">
        <x:v>0.0999332070350647</x:v>
      </x:c>
    </x:row>
    <x:row r="900" ht="22" customHeight="1">
      <x:c r="A900" s="17" t="str">
        <x:f>"11522500"</x:f>
        <x:v>11522500</x:v>
      </x:c>
      <x:c r="B900" s="13" t="n">
        <x:v>42</x:v>
      </x:c>
      <x:c r="C900" s="22" t="b">
        <x:v>1</x:v>
      </x:c>
      <x:c r="D900" s="11" t="n">
        <x:v>0.027227722729245767</x:v>
      </x:c>
      <x:c r="E900" s="11" t="n">
        <x:v>0.0004112729220650667</x:v>
      </x:c>
      <x:c r="F900" s="11" t="n">
        <x:v>0.3688118755817413</x:v>
      </x:c>
      <x:c r="G900" s="13" t="n">
        <x:v>10</x:v>
      </x:c>
      <x:c r="H900" s="11" t="n">
        <x:v>0.2553308308124542</x:v>
      </x:c>
      <x:c r="I900" s="11" t="n">
        <x:v>0.2553308308124542</x:v>
      </x:c>
      <x:c r="J900" s="24" t="n">
        <x:v>137.2624607840553</x:v>
      </x:c>
      <x:c r="K900" s="24" t="n">
        <x:v>152.36476373672485</x:v>
      </x:c>
      <x:c r="L900" s="11" t="n">
        <x:v>0.3688118755817413</x:v>
      </x:c>
      <x:c r="M900" s="11" t="n">
        <x:v>0.0999393239617347</x:v>
      </x:c>
    </x:row>
    <x:row r="901" ht="22" customHeight="1">
      <x:c r="A901" s="17" t="str">
        <x:f>"11522500"</x:f>
        <x:v>11522500</x:v>
      </x:c>
      <x:c r="B901" s="13" t="n">
        <x:v>42</x:v>
      </x:c>
      <x:c r="C901" s="22" t="b">
        <x:v>0</x:v>
      </x:c>
      <x:c r="D901" s="11" t="n">
        <x:v>0.036393713206052704</x:v>
      </x:c>
      <x:c r="E901" s="11" t="n">
        <x:v>0.0002901014716674333</x:v>
      </x:c>
      <x:c r="F901" s="11" t="n">
        <x:v>0.5136476159095764</x:v>
      </x:c>
      <x:c r="G901" s="13" t="n">
        <x:v>10</x:v>
      </x:c>
      <x:c r="H901" s="11" t="n">
        <x:v>0.4895945787429809</x:v>
      </x:c>
      <x:c r="I901" s="11" t="n">
        <x:v>0.4895945787429809</x:v>
      </x:c>
      <x:c r="J901" s="24" t="n">
        <x:v>139.59227269049734</x:v>
      </x:c>
      <x:c r="K901" s="24" t="n">
        <x:v>161.95573544502258</x:v>
      </x:c>
      <x:c r="L901" s="11" t="n">
        <x:v>0.5136476159095764</x:v>
      </x:c>
      <x:c r="M901" s="11" t="n">
        <x:v>0.0999332070350647</x:v>
      </x:c>
    </x:row>
    <x:row r="902" ht="22" customHeight="1">
      <x:c r="A902" s="17" t="str">
        <x:f>"11523200"</x:f>
        <x:v>11523200</x:v>
      </x:c>
      <x:c r="B902" s="13" t="n">
        <x:v>42</x:v>
      </x:c>
      <x:c r="C902" s="22" t="b">
        <x:v>1</x:v>
      </x:c>
      <x:c r="D902" s="11" t="n">
        <x:v>0.012376237815866832</x:v>
      </x:c>
      <x:c r="E902" s="11" t="n">
        <x:v>0.0011326861179744</x:v>
      </x:c>
      <x:c r="F902" s="11" t="n">
        <x:v>0.3316831588745117</x:v>
      </x:c>
      <x:c r="G902" s="13" t="n">
        <x:v>6</x:v>
      </x:c>
      <x:c r="H902" s="11" t="n">
        <x:v>0.0512301437556743</x:v>
      </x:c>
      <x:c r="I902" s="11" t="n">
        <x:v>0.0571082383394241</x:v>
      </x:c>
      <x:c r="J902" s="24" t="n">
        <x:v>137.40392183419317</x:v>
      </x:c>
      <x:c r="K902" s="24" t="n">
        <x:v>151.43387413024902</x:v>
      </x:c>
      <x:c r="L902" s="11" t="n">
        <x:v>0.4702970385551452</x:v>
      </x:c>
      <x:c r="M902" s="11" t="n">
        <x:v>0.0999393239617347</x:v>
      </x:c>
    </x:row>
    <x:row r="903" ht="22" customHeight="1">
      <x:c r="A903" s="17" t="str">
        <x:f>"11523200"</x:f>
        <x:v>11523200</x:v>
      </x:c>
      <x:c r="B903" s="13" t="n">
        <x:v>42</x:v>
      </x:c>
      <x:c r="C903" s="22" t="b">
        <x:v>0</x:v>
      </x:c>
      <x:c r="D903" s="11" t="n">
        <x:v>0.04301075326899684</x:v>
      </x:c>
      <x:c r="E903" s="11" t="n">
        <x:v>0.00037780656324076664</x:v>
      </x:c>
      <x:c r="F903" s="11" t="n">
        <x:v>0.5260545611381531</x:v>
      </x:c>
      <x:c r="G903" s="13" t="n">
        <x:v>4</x:v>
      </x:c>
      <x:c r="H903" s="11" t="n">
        <x:v>0.3196834325790405</x:v>
      </x:c>
      <x:c r="I903" s="11" t="n">
        <x:v>0.3661950826644897</x:v>
      </x:c>
      <x:c r="J903" s="24" t="n">
        <x:v>138.31786164548248</x:v>
      </x:c>
      <x:c r="K903" s="24" t="n">
        <x:v>162.44054651260376</x:v>
      </x:c>
      <x:c r="L903" s="11" t="n">
        <x:v>0.8014888167381287</x:v>
      </x:c>
      <x:c r="M903" s="11" t="n">
        <x:v>0.0999332070350647</x:v>
      </x:c>
    </x:row>
    <x:row r="904" ht="22" customHeight="1">
      <x:c r="A904" s="17" t="str">
        <x:f>"11528700"</x:f>
        <x:v>11528700</x:v>
      </x:c>
      <x:c r="B904" s="13" t="n">
        <x:v>42</x:v>
      </x:c>
      <x:c r="C904" s="22" t="b">
        <x:v>1</x:v>
      </x:c>
      <x:c r="D904" s="11" t="n">
        <x:v>0.02310231017569697</x:v>
      </x:c>
      <x:c r="E904" s="11" t="n">
        <x:v>0.0009641315943250666</x:v>
      </x:c>
      <x:c r="F904" s="11" t="n">
        <x:v>0.3217821717262268</x:v>
      </x:c>
      <x:c r="G904" s="13" t="n">
        <x:v>1</x:v>
      </x:c>
      <x:c r="H904" s="11" t="n">
        <x:v>0.1086618602275848</x:v>
      </x:c>
      <x:c r="I904" s="11" t="n">
        <x:v>0.1243343204259872</x:v>
      </x:c>
      <x:c r="J904" s="24" t="n">
        <x:v>141.0898802028969</x:v>
      </x:c>
      <x:c r="K904" s="24" t="n">
        <x:v>171.06236219406128</x:v>
      </x:c>
      <x:c r="L904" s="11" t="n">
        <x:v>0.9430692791938782</x:v>
      </x:c>
      <x:c r="M904" s="11" t="n">
        <x:v>0.0999393239617347</x:v>
      </x:c>
    </x:row>
    <x:row r="905" ht="22" customHeight="1">
      <x:c r="A905" s="17" t="str">
        <x:f>"11528700"</x:f>
        <x:v>11528700</x:v>
      </x:c>
      <x:c r="B905" s="13" t="n">
        <x:v>42</x:v>
      </x:c>
      <x:c r="C905" s="22" t="b">
        <x:v>0</x:v>
      </x:c>
      <x:c r="D905" s="11" t="n">
        <x:v>0.0363937132060527</x:v>
      </x:c>
      <x:c r="E905" s="11" t="n">
        <x:v>0.00022263600597693335</x:v>
      </x:c>
      <x:c r="F905" s="11" t="n">
        <x:v>0.503722071647644</x:v>
      </x:c>
      <x:c r="G905" s="13" t="n">
        <x:v>8</x:v>
      </x:c>
      <x:c r="H905" s="11" t="n">
        <x:v>0.1847586333751678</x:v>
      </x:c>
      <x:c r="I905" s="11" t="n">
        <x:v>0.2711836099624634</x:v>
      </x:c>
      <x:c r="J905" s="24" t="n">
        <x:v>140.8534746579826</x:v>
      </x:c>
      <x:c r="K905" s="24" t="n">
        <x:v>162.43241572380066</x:v>
      </x:c>
      <x:c r="L905" s="11" t="n">
        <x:v>0.5732010006904602</x:v>
      </x:c>
      <x:c r="M905" s="11" t="n">
        <x:v>0.0999332070350647</x:v>
      </x:c>
    </x:row>
    <x:row r="906" ht="22" customHeight="1">
      <x:c r="A906" s="17" t="str">
        <x:f>"11532500"</x:f>
        <x:v>11532500</x:v>
      </x:c>
      <x:c r="B906" s="13" t="n">
        <x:v>42</x:v>
      </x:c>
      <x:c r="C906" s="22" t="b">
        <x:v>1</x:v>
      </x:c>
      <x:c r="D906" s="11" t="n">
        <x:v>0.03712871236105753</x:v>
      </x:c>
      <x:c r="E906" s="11" t="n">
        <x:v>0.0005865695808703334</x:v>
      </x:c>
      <x:c r="F906" s="11" t="n">
        <x:v>0.4727722704410553</x:v>
      </x:c>
      <x:c r="G906" s="13" t="n">
        <x:v>1</x:v>
      </x:c>
      <x:c r="H906" s="11" t="n">
        <x:v>0.3462112247943878</x:v>
      </x:c>
      <x:c r="I906" s="11" t="n">
        <x:v>0.3758071959018707</x:v>
      </x:c>
      <x:c r="J906" s="24" t="n">
        <x:v>141.00651163700968</x:v>
      </x:c>
      <x:c r="K906" s="24" t="n">
        <x:v>171.9431450366974</x:v>
      </x:c>
      <x:c r="L906" s="11" t="n">
        <x:v>0.957920789718628</x:v>
      </x:c>
      <x:c r="M906" s="11" t="n">
        <x:v>0.0999393239617347</x:v>
      </x:c>
    </x:row>
    <x:row r="907" ht="22" customHeight="1">
      <x:c r="A907" s="17" t="str">
        <x:f>"11532500"</x:f>
        <x:v>11532500</x:v>
      </x:c>
      <x:c r="B907" s="13" t="n">
        <x:v>42</x:v>
      </x:c>
      <x:c r="C907" s="22" t="b">
        <x:v>0</x:v>
      </x:c>
      <x:c r="D907" s="11" t="n">
        <x:v>0.024813895734647835</x:v>
      </x:c>
      <x:c r="E907" s="11" t="n">
        <x:v>0.0003845531124776333</x:v>
      </x:c>
      <x:c r="F907" s="11" t="n">
        <x:v>0.4466501176357269</x:v>
      </x:c>
      <x:c r="G907" s="13" t="n">
        <x:v>3</x:v>
      </x:c>
      <x:c r="H907" s="11" t="n">
        <x:v>0.3825594484806061</x:v>
      </x:c>
      <x:c r="I907" s="11" t="n">
        <x:v>0.4114605486392975</x:v>
      </x:c>
      <x:c r="J907" s="24" t="n">
        <x:v>138.76117137726396</x:v>
      </x:c>
      <x:c r="K907" s="24" t="n">
        <x:v>161.48107051849365</x:v>
      </x:c>
      <x:c r="L907" s="11" t="n">
        <x:v>0.7816377282142639</x:v>
      </x:c>
      <x:c r="M907" s="11" t="n">
        <x:v>0.0999332070350647</x:v>
      </x:c>
    </x:row>
    <x:row r="908" ht="22" customHeight="1">
      <x:c r="A908" s="17" t="str">
        <x:f>"12010000"</x:f>
        <x:v>12010000</x:v>
      </x:c>
      <x:c r="B908" s="13" t="n">
        <x:v>42</x:v>
      </x:c>
      <x:c r="C908" s="22" t="b">
        <x:v>1</x:v>
      </x:c>
      <x:c r="D908" s="11" t="n">
        <x:v>0.03382838269074753</x:v>
      </x:c>
      <x:c r="E908" s="11" t="n">
        <x:v>0.0005326321406754999</x:v>
      </x:c>
      <x:c r="F908" s="11" t="n">
        <x:v>0.4084158539772033</x:v>
      </x:c>
      <x:c r="G908" s="13" t="n">
        <x:v>1</x:v>
      </x:c>
      <x:c r="H908" s="11" t="n">
        <x:v>0.3071842789649963</x:v>
      </x:c>
      <x:c r="I908" s="11" t="n">
        <x:v>0.3116215765476227</x:v>
      </x:c>
      <x:c r="J908" s="24" t="n">
        <x:v>139.18208153918386</x:v>
      </x:c>
      <x:c r="K908" s="24" t="n">
        <x:v>165.50510573387146</x:v>
      </x:c>
      <x:c r="L908" s="11" t="n">
        <x:v>0.9628713130950928</x:v>
      </x:c>
      <x:c r="M908" s="11" t="n">
        <x:v>0.0999393239617347</x:v>
      </x:c>
    </x:row>
    <x:row r="909" ht="22" customHeight="1">
      <x:c r="A909" s="17" t="str">
        <x:f>"12010000"</x:f>
        <x:v>12010000</x:v>
      </x:c>
      <x:c r="B909" s="13" t="n">
        <x:v>42</x:v>
      </x:c>
      <x:c r="C909" s="22" t="b">
        <x:v>0</x:v>
      </x:c>
      <x:c r="D909" s="11" t="n">
        <x:v>0.03391232403616103</x:v>
      </x:c>
      <x:c r="E909" s="11" t="n">
        <x:v>0.00041153929972396667</x:v>
      </x:c>
      <x:c r="F909" s="11" t="n">
        <x:v>0.3449131548404693</x:v>
      </x:c>
      <x:c r="G909" s="13" t="n">
        <x:v>8</x:v>
      </x:c>
      <x:c r="H909" s="11" t="n">
        <x:v>0.3273919522762298</x:v>
      </x:c>
      <x:c r="I909" s="11" t="n">
        <x:v>0.3425108790397644</x:v>
      </x:c>
      <x:c r="J909" s="24" t="n">
        <x:v>142.62739464268088</x:v>
      </x:c>
      <x:c r="K909" s="24" t="n">
        <x:v>158.36430406570435</x:v>
      </x:c>
      <x:c r="L909" s="11" t="n">
        <x:v>0.4168734550476074</x:v>
      </x:c>
      <x:c r="M909" s="11" t="n">
        <x:v>0.0999332070350647</x:v>
      </x:c>
    </x:row>
    <x:row r="910" ht="22" customHeight="1">
      <x:c r="A910" s="17" t="str">
        <x:f>"12013500"</x:f>
        <x:v>12013500</x:v>
      </x:c>
      <x:c r="B910" s="13" t="n">
        <x:v>42</x:v>
      </x:c>
      <x:c r="C910" s="22" t="b">
        <x:v>1</x:v>
      </x:c>
      <x:c r="D910" s="11" t="n">
        <x:v>0.024752475321292797</x:v>
      </x:c>
      <x:c r="E910" s="11" t="n">
        <x:v>0.00035733549157153334</x:v>
      </x:c>
      <x:c r="F910" s="11" t="n">
        <x:v>0.3737623691558838</x:v>
      </x:c>
      <x:c r="G910" s="13" t="n">
        <x:v>6</x:v>
      </x:c>
      <x:c r="H910" s="11" t="n">
        <x:v>0.2045051604509353</x:v>
      </x:c>
      <x:c r="I910" s="11" t="n">
        <x:v>0.2150027155876159</x:v>
      </x:c>
      <x:c r="J910" s="24" t="n">
        <x:v>141.74984805472195</x:v>
      </x:c>
      <x:c r="K910" s="24" t="n">
        <x:v>158.1854908466339</x:v>
      </x:c>
      <x:c r="L910" s="11" t="n">
        <x:v>0.5272276997566223</x:v>
      </x:c>
      <x:c r="M910" s="11" t="n">
        <x:v>0.0999393239617347</x:v>
      </x:c>
    </x:row>
    <x:row r="911" ht="22" customHeight="1">
      <x:c r="A911" s="17" t="str">
        <x:f>"12013500"</x:f>
        <x:v>12013500</x:v>
      </x:c>
      <x:c r="B911" s="13" t="n">
        <x:v>42</x:v>
      </x:c>
      <x:c r="C911" s="22" t="b">
        <x:v>0</x:v>
      </x:c>
      <x:c r="D911" s="11" t="n">
        <x:v>0.042183623338739006</x:v>
      </x:c>
      <x:c r="E911" s="11" t="n">
        <x:v>0.00008770509399857296</x:v>
      </x:c>
      <x:c r="F911" s="11" t="n">
        <x:v>0.4193548262119293</x:v>
      </x:c>
      <x:c r="G911" s="13" t="n">
        <x:v>3</x:v>
      </x:c>
      <x:c r="H911" s="11" t="n">
        <x:v>0.2324398905038833</x:v>
      </x:c>
      <x:c r="I911" s="11" t="n">
        <x:v>0.2396932691335678</x:v>
      </x:c>
      <x:c r="J911" s="24" t="n">
        <x:v>141.39357738383114</x:v>
      </x:c>
      <x:c r="K911" s="24" t="n">
        <x:v>158.77878546714783</x:v>
      </x:c>
      <x:c r="L911" s="11" t="n">
        <x:v>0.7047146558761597</x:v>
      </x:c>
      <x:c r="M911" s="11" t="n">
        <x:v>0.0999332070350647</x:v>
      </x:c>
    </x:row>
    <x:row r="912" ht="22" customHeight="1">
      <x:c r="A912" s="17" t="str">
        <x:f>"12020000"</x:f>
        <x:v>12020000</x:v>
      </x:c>
      <x:c r="B912" s="13" t="n">
        <x:v>42</x:v>
      </x:c>
      <x:c r="C912" s="22" t="b">
        <x:v>1</x:v>
      </x:c>
      <x:c r="D912" s="11" t="n">
        <x:v>0.025577557894090764</x:v>
      </x:c>
      <x:c r="E912" s="11" t="n">
        <x:v>0.0003505933176104667</x:v>
      </x:c>
      <x:c r="F912" s="11" t="n">
        <x:v>0.4009900987148285</x:v>
      </x:c>
      <x:c r="G912" s="13" t="n">
        <x:v>10</x:v>
      </x:c>
      <x:c r="H912" s="11" t="n">
        <x:v>1.883761286735535</x:v>
      </x:c>
      <x:c r="I912" s="11" t="n">
        <x:v>1.883761286735535</x:v>
      </x:c>
      <x:c r="J912" s="24" t="n">
        <x:v>140.17921396438032</x:v>
      </x:c>
      <x:c r="K912" s="24" t="n">
        <x:v>154.4236078262329</x:v>
      </x:c>
      <x:c r="L912" s="11" t="n">
        <x:v>0.4009900987148285</x:v>
      </x:c>
      <x:c r="M912" s="11" t="n">
        <x:v>0.0999393239617347</x:v>
      </x:c>
    </x:row>
    <x:row r="913" ht="22" customHeight="1">
      <x:c r="A913" s="17" t="str">
        <x:f>"12020000"</x:f>
        <x:v>12020000</x:v>
      </x:c>
      <x:c r="B913" s="13" t="n">
        <x:v>42</x:v>
      </x:c>
      <x:c r="C913" s="22" t="b">
        <x:v>0</x:v>
      </x:c>
      <x:c r="D913" s="11" t="n">
        <x:v>0.019851116463541898</x:v>
      </x:c>
      <x:c r="E913" s="11" t="n">
        <x:v>0.00038455310762699997</x:v>
      </x:c>
      <x:c r="F913" s="11" t="n">
        <x:v>0.3672456443309784</x:v>
      </x:c>
      <x:c r="G913" s="13" t="n">
        <x:v>10</x:v>
      </x:c>
      <x:c r="H913" s="11" t="n">
        <x:v>2.011690378189087</x:v>
      </x:c>
      <x:c r="I913" s="11" t="n">
        <x:v>2.011690378189087</x:v>
      </x:c>
      <x:c r="J913" s="24" t="n">
        <x:v>139.52575710695237</x:v>
      </x:c>
      <x:c r="K913" s="24" t="n">
        <x:v>150.2251913547516</x:v>
      </x:c>
      <x:c r="L913" s="11" t="n">
        <x:v>0.3672456443309784</x:v>
      </x:c>
      <x:c r="M913" s="11" t="n">
        <x:v>0.0999332070350647</x:v>
      </x:c>
    </x:row>
    <x:row r="914" ht="22" customHeight="1">
      <x:c r="A914" s="17" t="str">
        <x:f>"12025700"</x:f>
        <x:v>12025700</x:v>
      </x:c>
      <x:c r="B914" s="13" t="n">
        <x:v>42</x:v>
      </x:c>
      <x:c r="C914" s="22" t="b">
        <x:v>1</x:v>
      </x:c>
      <x:c r="D914" s="11" t="n">
        <x:v>0.0313531359036763</x:v>
      </x:c>
      <x:c r="E914" s="11" t="n">
        <x:v>0.00033036677147413334</x:v>
      </x:c>
      <x:c r="F914" s="11" t="n">
        <x:v>0.4356435537338257</x:v>
      </x:c>
      <x:c r="G914" s="13" t="n">
        <x:v>10</x:v>
      </x:c>
      <x:c r="H914" s="11" t="n">
        <x:v>0.5332998037338257</x:v>
      </x:c>
      <x:c r="I914" s="11" t="n">
        <x:v>0.5332998037338257</x:v>
      </x:c>
      <x:c r="J914" s="24" t="n">
        <x:v>141.3496108930558</x:v>
      </x:c>
      <x:c r="K914" s="24" t="n">
        <x:v>155.00465750694275</x:v>
      </x:c>
      <x:c r="L914" s="11" t="n">
        <x:v>0.4356435537338257</x:v>
      </x:c>
      <x:c r="M914" s="11" t="n">
        <x:v>0.0999393239617347</x:v>
      </x:c>
    </x:row>
    <x:row r="915" ht="22" customHeight="1">
      <x:c r="A915" s="17" t="str">
        <x:f>"12025700"</x:f>
        <x:v>12025700</x:v>
      </x:c>
      <x:c r="B915" s="13" t="n">
        <x:v>42</x:v>
      </x:c>
      <x:c r="C915" s="22" t="b">
        <x:v>0</x:v>
      </x:c>
      <x:c r="D915" s="11" t="n">
        <x:v>0.0206782463937997</x:v>
      </x:c>
      <x:c r="E915" s="11" t="n">
        <x:v>0.0004452720168046334</x:v>
      </x:c>
      <x:c r="F915" s="11" t="n">
        <x:v>0.3374689817428589</x:v>
      </x:c>
      <x:c r="G915" s="13" t="n">
        <x:v>7</x:v>
      </x:c>
      <x:c r="H915" s="11" t="n">
        <x:v>0.5613901019096375</x:v>
      </x:c>
      <x:c r="I915" s="11" t="n">
        <x:v>0.5824630856513977</x:v>
      </x:c>
      <x:c r="J915" s="24" t="n">
        <x:v>139.30560804437846</x:v>
      </x:c>
      <x:c r="K915" s="24" t="n">
        <x:v>152.0923628807068</x:v>
      </x:c>
      <x:c r="L915" s="11" t="n">
        <x:v>0.4789081811904907</x:v>
      </x:c>
      <x:c r="M915" s="11" t="n">
        <x:v>0.0999332070350647</x:v>
      </x:c>
    </x:row>
    <x:row r="916" ht="22" customHeight="1">
      <x:c r="A916" s="17" t="str">
        <x:f>"12035000"</x:f>
        <x:v>12035000</x:v>
      </x:c>
      <x:c r="B916" s="13" t="n">
        <x:v>42</x:v>
      </x:c>
      <x:c r="C916" s="22" t="b">
        <x:v>1</x:v>
      </x:c>
      <x:c r="D916" s="11" t="n">
        <x:v>0.023102310486137836</x:v>
      </x:c>
      <x:c r="E916" s="11" t="n">
        <x:v>0.0004314994633507667</x:v>
      </x:c>
      <x:c r="F916" s="11" t="n">
        <x:v>0.3638613820075989</x:v>
      </x:c>
      <x:c r="G916" s="13" t="n">
        <x:v>6</x:v>
      </x:c>
      <x:c r="H916" s="11" t="n">
        <x:v>0.1548941880464553</x:v>
      </x:c>
      <x:c r="I916" s="11" t="n">
        <x:v>0.1614122539758682</x:v>
      </x:c>
      <x:c r="J916" s="24" t="n">
        <x:v>138.0313598299399</x:v>
      </x:c>
      <x:c r="K916" s="24" t="n">
        <x:v>150.7306833267212</x:v>
      </x:c>
      <x:c r="L916" s="11" t="n">
        <x:v>0.5272276997566223</x:v>
      </x:c>
      <x:c r="M916" s="11" t="n">
        <x:v>0.0999393239617347</x:v>
      </x:c>
    </x:row>
    <x:row r="917" ht="22" customHeight="1">
      <x:c r="A917" s="17" t="str">
        <x:f>"12035000"</x:f>
        <x:v>12035000</x:v>
      </x:c>
      <x:c r="B917" s="13" t="n">
        <x:v>42</x:v>
      </x:c>
      <x:c r="C917" s="22" t="b">
        <x:v>0</x:v>
      </x:c>
      <x:c r="D917" s="11" t="n">
        <x:v>0.030603804315129834</x:v>
      </x:c>
      <x:c r="E917" s="11" t="n">
        <x:v>0.00031708765891373333</x:v>
      </x:c>
      <x:c r="F917" s="11" t="n">
        <x:v>0.4392059445381164</x:v>
      </x:c>
      <x:c r="G917" s="13" t="n">
        <x:v>9</x:v>
      </x:c>
      <x:c r="H917" s="11" t="n">
        <x:v>0.1595117598772049</x:v>
      </x:c>
      <x:c r="I917" s="11" t="n">
        <x:v>0.1782254427671432</x:v>
      </x:c>
      <x:c r="J917" s="24" t="n">
        <x:v>137.5670307110995</x:v>
      </x:c>
      <x:c r="K917" s="24" t="n">
        <x:v>151.2217240333557</x:v>
      </x:c>
      <x:c r="L917" s="11" t="n">
        <x:v>0.4565756916999817</x:v>
      </x:c>
      <x:c r="M917" s="11" t="n">
        <x:v>0.0999332070350647</x:v>
      </x:c>
    </x:row>
    <x:row r="918" ht="22" customHeight="1">
      <x:c r="A918" s="17" t="str">
        <x:f>"12040500"</x:f>
        <x:v>12040500</x:v>
      </x:c>
      <x:c r="B918" s="13" t="n">
        <x:v>42</x:v>
      </x:c>
      <x:c r="C918" s="22" t="b">
        <x:v>1</x:v>
      </x:c>
      <x:c r="D918" s="11" t="n">
        <x:v>0.037953796486059795</x:v>
      </x:c>
      <x:c r="E918" s="11" t="n">
        <x:v>0.0006135382961171</x:v>
      </x:c>
      <x:c r="F918" s="11" t="n">
        <x:v>0.4653465449810028</x:v>
      </x:c>
      <x:c r="G918" s="13" t="n">
        <x:v>7</x:v>
      </x:c>
      <x:c r="H918" s="11" t="n">
        <x:v>0.3131624758243561</x:v>
      </x:c>
      <x:c r="I918" s="11" t="n">
        <x:v>0.3161749839782715</x:v>
      </x:c>
      <x:c r="J918" s="24" t="n">
        <x:v>141.25283480621874</x:v>
      </x:c>
      <x:c r="K918" s="24" t="n">
        <x:v>155.19371724128723</x:v>
      </x:c>
      <x:c r="L918" s="11" t="n">
        <x:v>0.5569307208061218</x:v>
      </x:c>
      <x:c r="M918" s="11" t="n">
        <x:v>0.0999393239617347</x:v>
      </x:c>
    </x:row>
    <x:row r="919" ht="22" customHeight="1">
      <x:c r="A919" s="17" t="str">
        <x:f>"12040500"</x:f>
        <x:v>12040500</x:v>
      </x:c>
      <x:c r="B919" s="13" t="n">
        <x:v>42</x:v>
      </x:c>
      <x:c r="C919" s="22" t="b">
        <x:v>0</x:v>
      </x:c>
      <x:c r="D919" s="11" t="n">
        <x:v>0.028949545075495964</x:v>
      </x:c>
      <x:c r="E919" s="11" t="n">
        <x:v>0.0004587651152784</x:v>
      </x:c>
      <x:c r="F919" s="11" t="n">
        <x:v>0.3920595645904541</x:v>
      </x:c>
      <x:c r="G919" s="13" t="n">
        <x:v>2</x:v>
      </x:c>
      <x:c r="H919" s="11" t="n">
        <x:v>0.3025878667831421</x:v>
      </x:c>
      <x:c r="I919" s="11" t="n">
        <x:v>0.3258792459964752</x:v>
      </x:c>
      <x:c r="J919" s="24" t="n">
        <x:v>139.7208195561543</x:v>
      </x:c>
      <x:c r="K919" s="24" t="n">
        <x:v>155.6982445716858</x:v>
      </x:c>
      <x:c r="L919" s="11" t="n">
        <x:v>0.8287841081619263</x:v>
      </x:c>
      <x:c r="M919" s="11" t="n">
        <x:v>0.0999332070350647</x:v>
      </x:c>
    </x:row>
    <x:row r="920" ht="22" customHeight="1">
      <x:c r="A920" s="17" t="str">
        <x:f>"12041200"</x:f>
        <x:v>12041200</x:v>
      </x:c>
      <x:c r="B920" s="13" t="n">
        <x:v>42</x:v>
      </x:c>
      <x:c r="C920" s="22" t="b">
        <x:v>1</x:v>
      </x:c>
      <x:c r="D920" s="11" t="n">
        <x:v>0.0412541255354881</x:v>
      </x:c>
      <x:c r="E920" s="11" t="n">
        <x:v>0.0004449838112729001</x:v>
      </x:c>
      <x:c r="F920" s="11" t="n">
        <x:v>0.4158415794372558</x:v>
      </x:c>
      <x:c r="G920" s="13" t="n">
        <x:v>9</x:v>
      </x:c>
      <x:c r="H920" s="11" t="n">
        <x:v>0.3727582395076751</x:v>
      </x:c>
      <x:c r="I920" s="11" t="n">
        <x:v>0.3766330480575561</x:v>
      </x:c>
      <x:c r="J920" s="24" t="n">
        <x:v>136.87119679991156</x:v>
      </x:c>
      <x:c r="K920" s="24" t="n">
        <x:v>148.82072257995605</x:v>
      </x:c>
      <x:c r="L920" s="11" t="n">
        <x:v>0.4603960514068603</x:v>
      </x:c>
      <x:c r="M920" s="11" t="n">
        <x:v>0.0999393239617347</x:v>
      </x:c>
    </x:row>
    <x:row r="921" ht="22" customHeight="1">
      <x:c r="A921" s="17" t="str">
        <x:f>"12041200"</x:f>
        <x:v>12041200</x:v>
      </x:c>
      <x:c r="B921" s="13" t="n">
        <x:v>42</x:v>
      </x:c>
      <x:c r="C921" s="22" t="b">
        <x:v>0</x:v>
      </x:c>
      <x:c r="D921" s="11" t="n">
        <x:v>0.03639371382693443</x:v>
      </x:c>
      <x:c r="E921" s="11" t="n">
        <x:v>0.00033732729692316667</x:v>
      </x:c>
      <x:c r="F921" s="11" t="n">
        <x:v>0.4416873455047607</x:v>
      </x:c>
      <x:c r="G921" s="13" t="n">
        <x:v>2</x:v>
      </x:c>
      <x:c r="H921" s="11" t="n">
        <x:v>0.385368674993515</x:v>
      </x:c>
      <x:c r="I921" s="11" t="n">
        <x:v>0.4423688054084778</x:v>
      </x:c>
      <x:c r="J921" s="24" t="n">
        <x:v>134.3288177549839</x:v>
      </x:c>
      <x:c r="K921" s="24" t="n">
        <x:v>155.08287596702576</x:v>
      </x:c>
      <x:c r="L921" s="11" t="n">
        <x:v>0.8883374929428101</x:v>
      </x:c>
      <x:c r="M921" s="11" t="n">
        <x:v>0.0999332070350647</x:v>
      </x:c>
    </x:row>
    <x:row r="922" ht="22" customHeight="1">
      <x:c r="A922" s="17" t="str">
        <x:f>"12048000"</x:f>
        <x:v>12048000</x:v>
      </x:c>
      <x:c r="B922" s="13" t="n">
        <x:v>42</x:v>
      </x:c>
      <x:c r="C922" s="22" t="b">
        <x:v>1</x:v>
      </x:c>
      <x:c r="D922" s="11" t="n">
        <x:v>0.0396039597690105</x:v>
      </x:c>
      <x:c r="E922" s="11" t="n">
        <x:v>0.0007955771288834</x:v>
      </x:c>
      <x:c r="F922" s="11" t="n">
        <x:v>0.398514837026596</x:v>
      </x:c>
      <x:c r="G922" s="13" t="n">
        <x:v>4</x:v>
      </x:c>
      <x:c r="H922" s="11" t="n">
        <x:v>0.0977602154016494</x:v>
      </x:c>
      <x:c r="I922" s="11" t="n">
        <x:v>0.100344642996788</x:v>
      </x:c>
      <x:c r="J922" s="24" t="n">
        <x:v>133.52426018193364</x:v>
      </x:c>
      <x:c r="K922" s="24" t="n">
        <x:v>152.6255123615265</x:v>
      </x:c>
      <x:c r="L922" s="11" t="n">
        <x:v>0.7054455280303955</x:v>
      </x:c>
      <x:c r="M922" s="11" t="n">
        <x:v>0.0999393239617347</x:v>
      </x:c>
    </x:row>
    <x:row r="923" ht="22" customHeight="1">
      <x:c r="A923" s="17" t="str">
        <x:f>"12048000"</x:f>
        <x:v>12048000</x:v>
      </x:c>
      <x:c r="B923" s="13" t="n">
        <x:v>42</x:v>
      </x:c>
      <x:c r="C923" s="22" t="b">
        <x:v>0</x:v>
      </x:c>
      <x:c r="D923" s="11" t="n">
        <x:v>0.045492142438888494</x:v>
      </x:c>
      <x:c r="E923" s="11" t="n">
        <x:v>0.00025636874003483336</x:v>
      </x:c>
      <x:c r="F923" s="11" t="n">
        <x:v>0.5905707478523254</x:v>
      </x:c>
      <x:c r="G923" s="13" t="n">
        <x:v>10</x:v>
      </x:c>
      <x:c r="H923" s="11" t="n">
        <x:v>0.2799081802368164</x:v>
      </x:c>
      <x:c r="I923" s="11" t="n">
        <x:v>0.2799081802368164</x:v>
      </x:c>
      <x:c r="J923" s="24" t="n">
        <x:v>135.99517979100347</x:v>
      </x:c>
      <x:c r="K923" s="24" t="n">
        <x:v>160.0354871749878</x:v>
      </x:c>
      <x:c r="L923" s="11" t="n">
        <x:v>0.5905707478523254</x:v>
      </x:c>
      <x:c r="M923" s="11" t="n">
        <x:v>0.0999332070350647</x:v>
      </x:c>
    </x:row>
    <x:row r="924" ht="22" customHeight="1">
      <x:c r="A924" s="17" t="str">
        <x:f>"12054000"</x:f>
        <x:v>12054000</x:v>
      </x:c>
      <x:c r="B924" s="13" t="n">
        <x:v>42</x:v>
      </x:c>
      <x:c r="C924" s="22" t="b">
        <x:v>1</x:v>
      </x:c>
      <x:c r="D924" s="11" t="n">
        <x:v>0.04702970261375103</x:v>
      </x:c>
      <x:c r="E924" s="11" t="n">
        <x:v>0.0008697410812601</x:v>
      </x:c>
      <x:c r="F924" s="11" t="n">
        <x:v>0.4257425665855407</x:v>
      </x:c>
      <x:c r="G924" s="13" t="n">
        <x:v>5</x:v>
      </x:c>
      <x:c r="H924" s="11" t="n">
        <x:v>0.2637268304824829</x:v>
      </x:c>
      <x:c r="I924" s="11" t="n">
        <x:v>0.2745724022388458</x:v>
      </x:c>
      <x:c r="J924" s="24" t="n">
        <x:v>136.1289098551497</x:v>
      </x:c>
      <x:c r="K924" s="24" t="n">
        <x:v>153.39427781105042</x:v>
      </x:c>
      <x:c r="L924" s="11" t="n">
        <x:v>0.6534653306007385</x:v>
      </x:c>
      <x:c r="M924" s="11" t="n">
        <x:v>0.0999393239617347</x:v>
      </x:c>
    </x:row>
    <x:row r="925" ht="22" customHeight="1">
      <x:c r="A925" s="17" t="str">
        <x:f>"12054000"</x:f>
        <x:v>12054000</x:v>
      </x:c>
      <x:c r="B925" s="13" t="n">
        <x:v>42</x:v>
      </x:c>
      <x:c r="C925" s="22" t="b">
        <x:v>0</x:v>
      </x:c>
      <x:c r="D925" s="11" t="n">
        <x:v>0.04962779146929574</x:v>
      </x:c>
      <x:c r="E925" s="11" t="n">
        <x:v>0.0002833549175799</x:v>
      </x:c>
      <x:c r="F925" s="11" t="n">
        <x:v>0.5831265449523926</x:v>
      </x:c>
      <x:c r="G925" s="13" t="n">
        <x:v>1</x:v>
      </x:c>
      <x:c r="H925" s="11" t="n">
        <x:v>0.3036389052867889</x:v>
      </x:c>
      <x:c r="I925" s="11" t="n">
        <x:v>0.3347953855991363</x:v>
      </x:c>
      <x:c r="J925" s="24" t="n">
        <x:v>136.06594205088913</x:v>
      </x:c>
      <x:c r="K925" s="24" t="n">
        <x:v>165.86595606803894</x:v>
      </x:c>
      <x:c r="L925" s="11" t="n">
        <x:v>0.9950371980667114</x:v>
      </x:c>
      <x:c r="M925" s="11" t="n">
        <x:v>0.0999332070350647</x:v>
      </x:c>
    </x:row>
    <x:row r="926" ht="22" customHeight="1">
      <x:c r="A926" s="17" t="str">
        <x:f>"12056500"</x:f>
        <x:v>12056500</x:v>
      </x:c>
      <x:c r="B926" s="13" t="n">
        <x:v>42</x:v>
      </x:c>
      <x:c r="C926" s="22" t="b">
        <x:v>1</x:v>
      </x:c>
      <x:c r="D926" s="11" t="n">
        <x:v>0.05693069348732627</x:v>
      </x:c>
      <x:c r="E926" s="11" t="n">
        <x:v>0.0004921790775066667</x:v>
      </x:c>
      <x:c r="F926" s="11" t="n">
        <x:v>0.4678217768669128</x:v>
      </x:c>
      <x:c r="G926" s="13" t="n">
        <x:v>10</x:v>
      </x:c>
      <x:c r="H926" s="11" t="n">
        <x:v>0.3976105153560638</x:v>
      </x:c>
      <x:c r="I926" s="11" t="n">
        <x:v>0.3976105153560638</x:v>
      </x:c>
      <x:c r="J926" s="24" t="n">
        <x:v>137.58261067885906</x:v>
      </x:c>
      <x:c r="K926" s="24" t="n">
        <x:v>156.16886973381042</x:v>
      </x:c>
      <x:c r="L926" s="11" t="n">
        <x:v>0.4678217768669128</x:v>
      </x:c>
      <x:c r="M926" s="11" t="n">
        <x:v>0.0999393239617347</x:v>
      </x:c>
    </x:row>
    <x:row r="927" ht="22" customHeight="1">
      <x:c r="A927" s="17" t="str">
        <x:f>"12056500"</x:f>
        <x:v>12056500</x:v>
      </x:c>
      <x:c r="B927" s="13" t="n">
        <x:v>42</x:v>
      </x:c>
      <x:c r="C927" s="22" t="b">
        <x:v>0</x:v>
      </x:c>
      <x:c r="D927" s="11" t="n">
        <x:v>0.0430107526481151</x:v>
      </x:c>
      <x:c r="E927" s="11" t="n">
        <x:v>0.00027660837319363335</x:v>
      </x:c>
      <x:c r="F927" s="11" t="n">
        <x:v>0.4987592995166778</x:v>
      </x:c>
      <x:c r="G927" s="13" t="n">
        <x:v>3</x:v>
      </x:c>
      <x:c r="H927" s="11" t="n">
        <x:v>0.4519206881523132</x:v>
      </x:c>
      <x:c r="I927" s="11" t="n">
        <x:v>0.4710584580898285</x:v>
      </x:c>
      <x:c r="J927" s="24" t="n">
        <x:v>136.42769173253328</x:v>
      </x:c>
      <x:c r="K927" s="24" t="n">
        <x:v>157.87398219108582</x:v>
      </x:c>
      <x:c r="L927" s="11" t="n">
        <x:v>0.8982630372047424</x:v>
      </x:c>
      <x:c r="M927" s="11" t="n">
        <x:v>0.0999332070350647</x:v>
      </x:c>
    </x:row>
    <x:row r="928" ht="22" customHeight="1">
      <x:c r="A928" s="17" t="str">
        <x:f>"12073500"</x:f>
        <x:v>12073500</x:v>
      </x:c>
      <x:c r="B928" s="13" t="n">
        <x:v>42</x:v>
      </x:c>
      <x:c r="C928" s="22" t="b">
        <x:v>1</x:v>
      </x:c>
      <x:c r="D928" s="11" t="n">
        <x:v>0.03465346495310463</x:v>
      </x:c>
      <x:c r="E928" s="11" t="n">
        <x:v>0.00039778857414296667</x:v>
      </x:c>
      <x:c r="F928" s="11" t="n">
        <x:v>0.3514851629734039</x:v>
      </x:c>
      <x:c r="G928" s="13" t="n">
        <x:v>9</x:v>
      </x:c>
      <x:c r="H928" s="11" t="n">
        <x:v>0.2895395159721374</x:v>
      </x:c>
      <x:c r="I928" s="11" t="n">
        <x:v>0.3116587996482849</x:v>
      </x:c>
      <x:c r="J928" s="24" t="n">
        <x:v>141.14041834138334</x:v>
      </x:c>
      <x:c r="K928" s="24" t="n">
        <x:v>151.47471261024475</x:v>
      </x:c>
      <x:c r="L928" s="11" t="n">
        <x:v>0.3787128627300262</x:v>
      </x:c>
      <x:c r="M928" s="11" t="n">
        <x:v>0.0999393239617347</x:v>
      </x:c>
    </x:row>
    <x:row r="929" ht="22" customHeight="1">
      <x:c r="A929" s="17" t="str">
        <x:f>"12073500"</x:f>
        <x:v>12073500</x:v>
      </x:c>
      <x:c r="B929" s="13" t="n">
        <x:v>42</x:v>
      </x:c>
      <x:c r="C929" s="22" t="b">
        <x:v>0</x:v>
      </x:c>
      <x:c r="D929" s="11" t="n">
        <x:v>0.0355665832757949</x:v>
      </x:c>
      <x:c r="E929" s="11" t="n">
        <x:v>0.0003238341935987667</x:v>
      </x:c>
      <x:c r="F929" s="11" t="n">
        <x:v>0.4987592995166778</x:v>
      </x:c>
      <x:c r="G929" s="13" t="n">
        <x:v>10</x:v>
      </x:c>
      <x:c r="H929" s="11" t="n">
        <x:v>0.3469572961330414</x:v>
      </x:c>
      <x:c r="I929" s="11" t="n">
        <x:v>0.3469572961330414</x:v>
      </x:c>
      <x:c r="J929" s="24" t="n">
        <x:v>139.3441990306601</x:v>
      </x:c>
      <x:c r="K929" s="24" t="n">
        <x:v>152.3964455127716</x:v>
      </x:c>
      <x:c r="L929" s="11" t="n">
        <x:v>0.4987592995166778</x:v>
      </x:c>
      <x:c r="M929" s="11" t="n">
        <x:v>0.0999332070350647</x:v>
      </x:c>
    </x:row>
    <x:row r="930" ht="22" customHeight="1">
      <x:c r="A930" s="17" t="str">
        <x:f>"12082500"</x:f>
        <x:v>12082500</x:v>
      </x:c>
      <x:c r="B930" s="13" t="n">
        <x:v>42</x:v>
      </x:c>
      <x:c r="C930" s="22" t="b">
        <x:v>1</x:v>
      </x:c>
      <x:c r="D930" s="11" t="n">
        <x:v>0.01732673278699313</x:v>
      </x:c>
      <x:c r="E930" s="11" t="n">
        <x:v>0.00039104639048060004</x:v>
      </x:c>
      <x:c r="F930" s="11" t="n">
        <x:v>0.3935643434524536</x:v>
      </x:c>
      <x:c r="G930" s="13" t="n">
        <x:v>7</x:v>
      </x:c>
      <x:c r="H930" s="11" t="n">
        <x:v>0.549679696559906</x:v>
      </x:c>
      <x:c r="I930" s="11" t="n">
        <x:v>0.5737161040306091</x:v>
      </x:c>
      <x:c r="J930" s="24" t="n">
        <x:v>141.11352462880313</x:v>
      </x:c>
      <x:c r="K930" s="24" t="n">
        <x:v>154.4894359111786</x:v>
      </x:c>
      <x:c r="L930" s="11" t="n">
        <x:v>0.5297029614448547</x:v>
      </x:c>
      <x:c r="M930" s="11" t="n">
        <x:v>0.0999393239617347</x:v>
      </x:c>
    </x:row>
    <x:row r="931" ht="22" customHeight="1">
      <x:c r="A931" s="17" t="str">
        <x:f>"12082500"</x:f>
        <x:v>12082500</x:v>
      </x:c>
      <x:c r="B931" s="13" t="n">
        <x:v>42</x:v>
      </x:c>
      <x:c r="C931" s="22" t="b">
        <x:v>0</x:v>
      </x:c>
      <x:c r="D931" s="11" t="n">
        <x:v>0.02894954538593683</x:v>
      </x:c>
      <x:c r="E931" s="11" t="n">
        <x:v>0.00041153928032140004</x:v>
      </x:c>
      <x:c r="F931" s="11" t="n">
        <x:v>0.4392059445381164</x:v>
      </x:c>
      <x:c r="G931" s="13" t="n">
        <x:v>3</x:v>
      </x:c>
      <x:c r="H931" s="11" t="n">
        <x:v>0.6771231889724731</x:v>
      </x:c>
      <x:c r="I931" s="11" t="n">
        <x:v>0.7264947891235352</x:v>
      </x:c>
      <x:c r="J931" s="24" t="n">
        <x:v>140.9562302622944</x:v>
      </x:c>
      <x:c r="K931" s="24" t="n">
        <x:v>159.34991717338562</x:v>
      </x:c>
      <x:c r="L931" s="11" t="n">
        <x:v>0.7841191291809082</x:v>
      </x:c>
      <x:c r="M931" s="11" t="n">
        <x:v>0.0999332070350647</x:v>
      </x:c>
    </x:row>
    <x:row r="932" ht="22" customHeight="1">
      <x:c r="A932" s="17" t="str">
        <x:f>"12092000"</x:f>
        <x:v>12092000</x:v>
      </x:c>
      <x:c r="B932" s="13" t="n">
        <x:v>42</x:v>
      </x:c>
      <x:c r="C932" s="22" t="b">
        <x:v>1</x:v>
      </x:c>
      <x:c r="D932" s="11" t="n">
        <x:v>0.03465346619486807</x:v>
      </x:c>
      <x:c r="E932" s="11" t="n">
        <x:v>0.00033036678117540004</x:v>
      </x:c>
      <x:c r="F932" s="11" t="n">
        <x:v>0.398514837026596</x:v>
      </x:c>
      <x:c r="G932" s="13" t="n">
        <x:v>8</x:v>
      </x:c>
      <x:c r="H932" s="11" t="n">
        <x:v>0.627395749092102</x:v>
      </x:c>
      <x:c r="I932" s="11" t="n">
        <x:v>0.6339120864868164</x:v>
      </x:c>
      <x:c r="J932" s="24" t="n">
        <x:v>144.07054231595248</x:v>
      </x:c>
      <x:c r="K932" s="24" t="n">
        <x:v>160.1102774143219</x:v>
      </x:c>
      <x:c r="L932" s="11" t="n">
        <x:v>0.4851485192775726</x:v>
      </x:c>
      <x:c r="M932" s="11" t="n">
        <x:v>0.0999393239617347</x:v>
      </x:c>
    </x:row>
    <x:row r="933" ht="22" customHeight="1">
      <x:c r="A933" s="17" t="str">
        <x:f>"12092000"</x:f>
        <x:v>12092000</x:v>
      </x:c>
      <x:c r="B933" s="13" t="n">
        <x:v>42</x:v>
      </x:c>
      <x:c r="C933" s="22" t="b">
        <x:v>0</x:v>
      </x:c>
      <x:c r="D933" s="11" t="n">
        <x:v>0.03556658389667663</x:v>
      </x:c>
      <x:c r="E933" s="11" t="n">
        <x:v>0.00030359456043993336</x:v>
      </x:c>
      <x:c r="F933" s="11" t="n">
        <x:v>0.4937965273857116</x:v>
      </x:c>
      <x:c r="G933" s="13" t="n">
        <x:v>5</x:v>
      </x:c>
      <x:c r="H933" s="11" t="n">
        <x:v>0.8281553983688354</x:v>
      </x:c>
      <x:c r="I933" s="11" t="n">
        <x:v>0.8507475256919861</x:v>
      </x:c>
      <x:c r="J933" s="24" t="n">
        <x:v>140.8257095562294</x:v>
      </x:c>
      <x:c r="K933" s="24" t="n">
        <x:v>156.61347794532776</x:v>
      </x:c>
      <x:c r="L933" s="11" t="n">
        <x:v>0.6873449087142944</x:v>
      </x:c>
      <x:c r="M933" s="11" t="n">
        <x:v>0.0999332070350647</x:v>
      </x:c>
    </x:row>
    <x:row r="934" ht="22" customHeight="1">
      <x:c r="A934" s="17" t="str">
        <x:f>"12114500"</x:f>
        <x:v>12114500</x:v>
      </x:c>
      <x:c r="B934" s="13" t="n">
        <x:v>42</x:v>
      </x:c>
      <x:c r="C934" s="22" t="b">
        <x:v>1</x:v>
      </x:c>
      <x:c r="D934" s="11" t="n">
        <x:v>0.028877887874841662</x:v>
      </x:c>
      <x:c r="E934" s="11" t="n">
        <x:v>0.0007416396983898668</x:v>
      </x:c>
      <x:c r="F934" s="11" t="n">
        <x:v>0.4009900987148285</x:v>
      </x:c>
      <x:c r="G934" s="13" t="n">
        <x:v>1</x:v>
      </x:c>
      <x:c r="H934" s="11" t="n">
        <x:v>0.2795714139938354</x:v>
      </x:c>
      <x:c r="I934" s="11" t="n">
        <x:v>0.3065904974937439</x:v>
      </x:c>
      <x:c r="J934" s="24" t="n">
        <x:v>139.29109560325742</x:v>
      </x:c>
      <x:c r="K934" s="24" t="n">
        <x:v>161.58092761039734</x:v>
      </x:c>
      <x:c r="L934" s="11" t="n">
        <x:v>0.9702970385551452</x:v>
      </x:c>
      <x:c r="M934" s="11" t="n">
        <x:v>0.0999393239617347</x:v>
      </x:c>
    </x:row>
    <x:row r="935" ht="22" customHeight="1">
      <x:c r="A935" s="17" t="str">
        <x:f>"12114500"</x:f>
        <x:v>12114500</x:v>
      </x:c>
      <x:c r="B935" s="13" t="n">
        <x:v>42</x:v>
      </x:c>
      <x:c r="C935" s="22" t="b">
        <x:v>0</x:v>
      </x:c>
      <x:c r="D935" s="11" t="n">
        <x:v>0.02894954445461423</x:v>
      </x:c>
      <x:c r="E935" s="11" t="n">
        <x:v>0.0003103411096768667</x:v>
      </x:c>
      <x:c r="F935" s="11" t="n">
        <x:v>0.4714640080928802</x:v>
      </x:c>
      <x:c r="G935" s="13" t="n">
        <x:v>9</x:v>
      </x:c>
      <x:c r="H935" s="11" t="n">
        <x:v>0.4492934644222259</x:v>
      </x:c>
      <x:c r="I935" s="11" t="n">
        <x:v>0.4912970662117004</x:v>
      </x:c>
      <x:c r="J935" s="24" t="n">
        <x:v>138.78683418035507</x:v>
      </x:c>
      <x:c r="K935" s="24" t="n">
        <x:v>156.12753129005432</x:v>
      </x:c>
      <x:c r="L935" s="11" t="n">
        <x:v>0.4913151264190674</x:v>
      </x:c>
      <x:c r="M935" s="11" t="n">
        <x:v>0.0999332070350647</x:v>
      </x:c>
    </x:row>
    <x:row r="936" ht="22" customHeight="1">
      <x:c r="A936" s="17" t="str">
        <x:f>"12115000"</x:f>
        <x:v>12115000</x:v>
      </x:c>
      <x:c r="B936" s="13" t="n">
        <x:v>42</x:v>
      </x:c>
      <x:c r="C936" s="22" t="b">
        <x:v>1</x:v>
      </x:c>
      <x:c r="D936" s="11" t="n">
        <x:v>0.0198019808158278</x:v>
      </x:c>
      <x:c r="E936" s="11" t="n">
        <x:v>0.0004584681785975333</x:v>
      </x:c>
      <x:c r="F936" s="11" t="n">
        <x:v>0.4009900987148285</x:v>
      </x:c>
      <x:c r="G936" s="13" t="n">
        <x:v>3</x:v>
      </x:c>
      <x:c r="H936" s="11" t="n">
        <x:v>0.3591218888759613</x:v>
      </x:c>
      <x:c r="I936" s="11" t="n">
        <x:v>0.3756118714809418</x:v>
      </x:c>
      <x:c r="J936" s="24" t="n">
        <x:v>136.65338712837547</x:v>
      </x:c>
      <x:c r="K936" s="24" t="n">
        <x:v>158.23840856552124</x:v>
      </x:c>
      <x:c r="L936" s="11" t="n">
        <x:v>0.7995049357414246</x:v>
      </x:c>
      <x:c r="M936" s="11" t="n">
        <x:v>0.0999393239617347</x:v>
      </x:c>
    </x:row>
    <x:row r="937" ht="22" customHeight="1">
      <x:c r="A937" s="17" t="str">
        <x:f>"12115000"</x:f>
        <x:v>12115000</x:v>
      </x:c>
      <x:c r="B937" s="13" t="n">
        <x:v>42</x:v>
      </x:c>
      <x:c r="C937" s="22" t="b">
        <x:v>0</x:v>
      </x:c>
      <x:c r="D937" s="11" t="n">
        <x:v>0.042183622717857305</x:v>
      </x:c>
      <x:c r="E937" s="11" t="n">
        <x:v>0.0004992443912972666</x:v>
      </x:c>
      <x:c r="F937" s="11" t="n">
        <x:v>0.4491315186023712</x:v>
      </x:c>
      <x:c r="G937" s="13" t="n">
        <x:v>3</x:v>
      </x:c>
      <x:c r="H937" s="11" t="n">
        <x:v>0.4700796008110046</x:v>
      </x:c>
      <x:c r="I937" s="11" t="n">
        <x:v>0.5074551105499268</x:v>
      </x:c>
      <x:c r="J937" s="24" t="n">
        <x:v>137.64466916769743</x:v>
      </x:c>
      <x:c r="K937" s="24" t="n">
        <x:v>160.6032211780548</x:v>
      </x:c>
      <x:c r="L937" s="11" t="n">
        <x:v>0.8362283110618591</x:v>
      </x:c>
      <x:c r="M937" s="11" t="n">
        <x:v>0.0999332070350647</x:v>
      </x:c>
    </x:row>
    <x:row r="938" ht="22" customHeight="1">
      <x:c r="A938" s="17" t="str">
        <x:f>"12115500"</x:f>
        <x:v>12115500</x:v>
      </x:c>
      <x:c r="B938" s="13" t="n">
        <x:v>42</x:v>
      </x:c>
      <x:c r="C938" s="22" t="b">
        <x:v>1</x:v>
      </x:c>
      <x:c r="D938" s="11" t="n">
        <x:v>0.019801980194946067</x:v>
      </x:c>
      <x:c r="E938" s="11" t="n">
        <x:v>0.0006135383058183667</x:v>
      </x:c>
      <x:c r="F938" s="11" t="n">
        <x:v>0.4183168411254883</x:v>
      </x:c>
      <x:c r="G938" s="13" t="n">
        <x:v>6</x:v>
      </x:c>
      <x:c r="H938" s="11" t="n">
        <x:v>0.5145761370658875</x:v>
      </x:c>
      <x:c r="I938" s="11" t="n">
        <x:v>0.5199369788169861</x:v>
      </x:c>
      <x:c r="J938" s="24" t="n">
        <x:v>139.6345563530922</x:v>
      </x:c>
      <x:c r="K938" s="24" t="n">
        <x:v>155.5049695968628</x:v>
      </x:c>
      <x:c r="L938" s="11" t="n">
        <x:v>0.6485148668289185</x:v>
      </x:c>
      <x:c r="M938" s="11" t="n">
        <x:v>0.0999393239617347</x:v>
      </x:c>
    </x:row>
    <x:row r="939" ht="22" customHeight="1">
      <x:c r="A939" s="17" t="str">
        <x:f>"12115500"</x:f>
        <x:v>12115500</x:v>
      </x:c>
      <x:c r="B939" s="13" t="n">
        <x:v>42</x:v>
      </x:c>
      <x:c r="C939" s="22" t="b">
        <x:v>0</x:v>
      </x:c>
      <x:c r="D939" s="11" t="n">
        <x:v>0.03887510361770783</x:v>
      </x:c>
      <x:c r="E939" s="11" t="n">
        <x:v>0.0006004425813443333</x:v>
      </x:c>
      <x:c r="F939" s="11" t="n">
        <x:v>0.4243176281452179</x:v>
      </x:c>
      <x:c r="G939" s="13" t="n">
        <x:v>3</x:v>
      </x:c>
      <x:c r="H939" s="11" t="n">
        <x:v>0.6660985350608826</x:v>
      </x:c>
      <x:c r="I939" s="11" t="n">
        <x:v>0.7071235179901123</x:v>
      </x:c>
      <x:c r="J939" s="24" t="n">
        <x:v>139.40878502465785</x:v>
      </x:c>
      <x:c r="K939" s="24" t="n">
        <x:v>159.88202714920044</x:v>
      </x:c>
      <x:c r="L939" s="11" t="n">
        <x:v>0.8362283110618591</x:v>
      </x:c>
      <x:c r="M939" s="11" t="n">
        <x:v>0.0999332070350647</x:v>
      </x:c>
    </x:row>
    <x:row r="940" ht="22" customHeight="1">
      <x:c r="A940" s="17" t="str">
        <x:f>"12117000"</x:f>
        <x:v>12117000</x:v>
      </x:c>
      <x:c r="B940" s="13" t="n">
        <x:v>42</x:v>
      </x:c>
      <x:c r="C940" s="22" t="b">
        <x:v>1</x:v>
      </x:c>
      <x:c r="D940" s="11" t="n">
        <x:v>0.029702971378962134</x:v>
      </x:c>
      <x:c r="E940" s="11" t="n">
        <x:v>0.0002494606305844667</x:v>
      </x:c>
      <x:c r="F940" s="11" t="n">
        <x:v>0.4108910858631134</x:v>
      </x:c>
      <x:c r="G940" s="13" t="n">
        <x:v>6</x:v>
      </x:c>
      <x:c r="H940" s="11" t="n">
        <x:v>0.2186747342348098</x:v>
      </x:c>
      <x:c r="I940" s="11" t="n">
        <x:v>0.2425441294908523</x:v>
      </x:c>
      <x:c r="J940" s="24" t="n">
        <x:v>138.52992174308747</x:v>
      </x:c>
      <x:c r="K940" s="24" t="n">
        <x:v>156.63737797737122</x:v>
      </x:c>
      <x:c r="L940" s="11" t="n">
        <x:v>0.5396039485931396</x:v>
      </x:c>
      <x:c r="M940" s="11" t="n">
        <x:v>0.0999393239617347</x:v>
      </x:c>
    </x:row>
    <x:row r="941" ht="22" customHeight="1">
      <x:c r="A941" s="17" t="str">
        <x:f>"12117000"</x:f>
        <x:v>12117000</x:v>
      </x:c>
      <x:c r="B941" s="13" t="n">
        <x:v>42</x:v>
      </x:c>
      <x:c r="C941" s="22" t="b">
        <x:v>0</x:v>
      </x:c>
      <x:c r="D941" s="11" t="n">
        <x:v>0.035566583896676635</x:v>
      </x:c>
      <x:c r="E941" s="11" t="n">
        <x:v>0.00033732728237126667</x:v>
      </x:c>
      <x:c r="F941" s="11" t="n">
        <x:v>0.5012406706809998</x:v>
      </x:c>
      <x:c r="G941" s="13" t="n">
        <x:v>3</x:v>
      </x:c>
      <x:c r="H941" s="11" t="n">
        <x:v>0.3135370910167694</x:v>
      </x:c>
      <x:c r="I941" s="11" t="n">
        <x:v>0.3238834142684936</x:v>
      </x:c>
      <x:c r="J941" s="24" t="n">
        <x:v>139.94937314465642</x:v>
      </x:c>
      <x:c r="K941" s="24" t="n">
        <x:v>163.76822662353516</x:v>
      </x:c>
      <x:c r="L941" s="11" t="n">
        <x:v>0.8014888167381287</x:v>
      </x:c>
      <x:c r="M941" s="11" t="n">
        <x:v>0.0999332070350647</x:v>
      </x:c>
    </x:row>
    <x:row r="942" ht="22" customHeight="1">
      <x:c r="A942" s="17" t="str">
        <x:f>"12145500"</x:f>
        <x:v>12145500</x:v>
      </x:c>
      <x:c r="B942" s="13" t="n">
        <x:v>42</x:v>
      </x:c>
      <x:c r="C942" s="22" t="b">
        <x:v>1</x:v>
      </x:c>
      <x:c r="D942" s="11" t="n">
        <x:v>0.0231023098652561</x:v>
      </x:c>
      <x:c r="E942" s="11" t="n">
        <x:v>0.00035059330790920004</x:v>
      </x:c>
      <x:c r="F942" s="11" t="n">
        <x:v>0.3490099012851715</x:v>
      </x:c>
      <x:c r="G942" s="13" t="n">
        <x:v>6</x:v>
      </x:c>
      <x:c r="H942" s="11" t="n">
        <x:v>0.3479929268360138</x:v>
      </x:c>
      <x:c r="I942" s="11" t="n">
        <x:v>0.3508920073509216</x:v>
      </x:c>
      <x:c r="J942" s="24" t="n">
        <x:v>141.29415638837963</x:v>
      </x:c>
      <x:c r="K942" s="24" t="n">
        <x:v>154.37157106399536</x:v>
      </x:c>
      <x:c r="L942" s="11" t="n">
        <x:v>0.5123762488365173</x:v>
      </x:c>
      <x:c r="M942" s="11" t="n">
        <x:v>0.0999393239617347</x:v>
      </x:c>
    </x:row>
    <x:row r="943" ht="22" customHeight="1">
      <x:c r="A943" s="17" t="str">
        <x:f>"12145500"</x:f>
        <x:v>12145500</x:v>
      </x:c>
      <x:c r="B943" s="13" t="n">
        <x:v>42</x:v>
      </x:c>
      <x:c r="C943" s="22" t="b">
        <x:v>0</x:v>
      </x:c>
      <x:c r="D943" s="11" t="n">
        <x:v>0.03225806510696803</x:v>
      </x:c>
      <x:c r="E943" s="11" t="n">
        <x:v>0.00037106001400383335</x:v>
      </x:c>
      <x:c r="F943" s="11" t="n">
        <x:v>0.4292804002761841</x:v>
      </x:c>
      <x:c r="G943" s="13" t="n">
        <x:v>9</x:v>
      </x:c>
      <x:c r="H943" s="11" t="n">
        <x:v>0.3549280166625976</x:v>
      </x:c>
      <x:c r="I943" s="11" t="n">
        <x:v>0.3724840879440307</x:v>
      </x:c>
      <x:c r="J943" s="24" t="n">
        <x:v>139.76267505437136</x:v>
      </x:c>
      <x:c r="K943" s="24" t="n">
        <x:v>151.56612968444824</x:v>
      </x:c>
      <x:c r="L943" s="11" t="n">
        <x:v>0.4491315186023712</x:v>
      </x:c>
      <x:c r="M943" s="11" t="n">
        <x:v>0.0999332070350647</x:v>
      </x:c>
    </x:row>
    <x:row r="944" ht="22" customHeight="1">
      <x:c r="A944" s="17" t="str">
        <x:f>"12147500"</x:f>
        <x:v>12147500</x:v>
      </x:c>
      <x:c r="B944" s="13" t="n">
        <x:v>42</x:v>
      </x:c>
      <x:c r="C944" s="22" t="b">
        <x:v>1</x:v>
      </x:c>
      <x:c r="D944" s="11" t="n">
        <x:v>0.03382838393251097</x:v>
      </x:c>
      <x:c r="E944" s="11" t="n">
        <x:v>0.00028317152464289996</x:v>
      </x:c>
      <x:c r="F944" s="11" t="n">
        <x:v>0.4084158539772033</x:v>
      </x:c>
      <x:c r="G944" s="13" t="n">
        <x:v>8</x:v>
      </x:c>
      <x:c r="H944" s="11" t="n">
        <x:v>0.6261091828346252</x:v>
      </x:c>
      <x:c r="I944" s="11" t="n">
        <x:v>0.637265145778656</x:v>
      </x:c>
      <x:c r="J944" s="24" t="n">
        <x:v>139.20304333698004</x:v>
      </x:c>
      <x:c r="K944" s="24" t="n">
        <x:v>152.69623041152954</x:v>
      </x:c>
      <x:c r="L944" s="11" t="n">
        <x:v>0.4851485192775726</x:v>
      </x:c>
      <x:c r="M944" s="11" t="n">
        <x:v>0.0999393239617347</x:v>
      </x:c>
    </x:row>
    <x:row r="945" ht="22" customHeight="1">
      <x:c r="A945" s="17" t="str">
        <x:f>"12147500"</x:f>
        <x:v>12147500</x:v>
      </x:c>
      <x:c r="B945" s="13" t="n">
        <x:v>42</x:v>
      </x:c>
      <x:c r="C945" s="22" t="b">
        <x:v>0</x:v>
      </x:c>
      <x:c r="D945" s="11" t="n">
        <x:v>0.0372208431363105</x:v>
      </x:c>
      <x:c r="E945" s="11" t="n">
        <x:v>0.00041153928032140004</x:v>
      </x:c>
      <x:c r="F945" s="11" t="n">
        <x:v>0.3672456443309784</x:v>
      </x:c>
      <x:c r="G945" s="13" t="n">
        <x:v>2</x:v>
      </x:c>
      <x:c r="H945" s="11" t="n">
        <x:v>0.7240164279937744</x:v>
      </x:c>
      <x:c r="I945" s="11" t="n">
        <x:v>1.1330678462982178</x:v>
      </x:c>
      <x:c r="J945" s="24" t="n">
        <x:v>141.64550312515348</x:v>
      </x:c>
      <x:c r="K945" s="24" t="n">
        <x:v>162.2676968574524</x:v>
      </x:c>
      <x:c r="L945" s="11" t="n">
        <x:v>0.826302707195282</x:v>
      </x:c>
      <x:c r="M945" s="11" t="n">
        <x:v>0.0999332070350647</x:v>
      </x:c>
    </x:row>
    <x:row r="946" ht="22" customHeight="1">
      <x:c r="A946" s="17" t="str">
        <x:f>"12147600"</x:f>
        <x:v>12147600</x:v>
      </x:c>
      <x:c r="B946" s="13" t="n">
        <x:v>42</x:v>
      </x:c>
      <x:c r="C946" s="22" t="b">
        <x:v>1</x:v>
      </x:c>
      <x:c r="D946" s="11" t="n">
        <x:v>0.049504951263467434</x:v>
      </x:c>
      <x:c r="E946" s="11" t="n">
        <x:v>0.00033036678117540004</x:v>
      </x:c>
      <x:c r="F946" s="11" t="n">
        <x:v>0.4752475321292877</x:v>
      </x:c>
      <x:c r="G946" s="13" t="n">
        <x:v>4</x:v>
      </x:c>
      <x:c r="H946" s="11" t="n">
        <x:v>0.9301519989967346</x:v>
      </x:c>
      <x:c r="I946" s="11" t="n">
        <x:v>0.9411364197731018</x:v>
      </x:c>
      <x:c r="J946" s="24" t="n">
        <x:v>143.69379001762718</x:v>
      </x:c>
      <x:c r="K946" s="24" t="n">
        <x:v>160.34942817687988</x:v>
      </x:c>
      <x:c r="L946" s="11" t="n">
        <x:v>0.7846534848213196</x:v>
      </x:c>
      <x:c r="M946" s="11" t="n">
        <x:v>0.0999393239617347</x:v>
      </x:c>
    </x:row>
    <x:row r="947" ht="22" customHeight="1">
      <x:c r="A947" s="17" t="str">
        <x:f>"12147600"</x:f>
        <x:v>12147600</x:v>
      </x:c>
      <x:c r="B947" s="13" t="n">
        <x:v>42</x:v>
      </x:c>
      <x:c r="C947" s="22" t="b">
        <x:v>0</x:v>
      </x:c>
      <x:c r="D947" s="11" t="n">
        <x:v>0.05293631181120867</x:v>
      </x:c>
      <x:c r="E947" s="11" t="n">
        <x:v>0.0004250323787951667</x:v>
      </x:c>
      <x:c r="F947" s="11" t="n">
        <x:v>0.4913151264190674</x:v>
      </x:c>
      <x:c r="G947" s="13" t="n">
        <x:v>3</x:v>
      </x:c>
      <x:c r="H947" s="11" t="n">
        <x:v>1.0282378196716309</x:v>
      </x:c>
      <x:c r="I947" s="11" t="n">
        <x:v>1.1211930513381958</x:v>
      </x:c>
      <x:c r="J947" s="24" t="n">
        <x:v>141.17382712382823</x:v>
      </x:c>
      <x:c r="K947" s="24" t="n">
        <x:v>160.03925728797913</x:v>
      </x:c>
      <x:c r="L947" s="11" t="n">
        <x:v>0.7915632724761963</x:v>
      </x:c>
      <x:c r="M947" s="11" t="n">
        <x:v>0.0999332070350647</x:v>
      </x:c>
    </x:row>
    <x:row r="948" ht="22" customHeight="1">
      <x:c r="A948" s="17" t="str">
        <x:f>"12167000"</x:f>
        <x:v>12167000</x:v>
      </x:c>
      <x:c r="B948" s="13" t="n">
        <x:v>42</x:v>
      </x:c>
      <x:c r="C948" s="22" t="b">
        <x:v>1</x:v>
      </x:c>
      <x:c r="D948" s="11" t="n">
        <x:v>0.03382838269074754</x:v>
      </x:c>
      <x:c r="E948" s="11" t="n">
        <x:v>0.0006944444418574</x:v>
      </x:c>
      <x:c r="F948" s="11" t="n">
        <x:v>0.3638613820075989</x:v>
      </x:c>
      <x:c r="G948" s="13" t="n">
        <x:v>7</x:v>
      </x:c>
      <x:c r="H948" s="11" t="n">
        <x:v>0.3250077962875366</x:v>
      </x:c>
      <x:c r="I948" s="11" t="n">
        <x:v>0.3559770286083221</x:v>
      </x:c>
      <x:c r="J948" s="24" t="n">
        <x:v>140.0853757597506</x:v>
      </x:c>
      <x:c r="K948" s="24" t="n">
        <x:v>157.21709561347961</x:v>
      </x:c>
      <x:c r="L948" s="11" t="n">
        <x:v>0.4727722704410553</x:v>
      </x:c>
      <x:c r="M948" s="11" t="n">
        <x:v>0.0999393239617347</x:v>
      </x:c>
    </x:row>
    <x:row r="949" ht="22" customHeight="1">
      <x:c r="A949" s="17" t="str">
        <x:f>"12167000"</x:f>
        <x:v>12167000</x:v>
      </x:c>
      <x:c r="B949" s="13" t="n">
        <x:v>42</x:v>
      </x:c>
      <x:c r="C949" s="22" t="b">
        <x:v>0</x:v>
      </x:c>
      <x:c r="D949" s="11" t="n">
        <x:v>0.028949545075495964</x:v>
      </x:c>
      <x:c r="E949" s="11" t="n">
        <x:v>0.0003912996520132334</x:v>
      </x:c>
      <x:c r="F949" s="11" t="n">
        <x:v>0.540942907333374</x:v>
      </x:c>
      <x:c r="G949" s="13" t="n">
        <x:v>5</x:v>
      </x:c>
      <x:c r="H949" s="11" t="n">
        <x:v>0.3469673097133636</x:v>
      </x:c>
      <x:c r="I949" s="11" t="n">
        <x:v>0.3564834892749786</x:v>
      </x:c>
      <x:c r="J949" s="24" t="n">
        <x:v>139.91664222069085</x:v>
      </x:c>
      <x:c r="K949" s="24" t="n">
        <x:v>158.83858847618103</x:v>
      </x:c>
      <x:c r="L949" s="11" t="n">
        <x:v>0.7568238377571106</x:v>
      </x:c>
      <x:c r="M949" s="11" t="n">
        <x:v>0.0999332070350647</x:v>
      </x:c>
    </x:row>
    <x:row r="950" ht="22" customHeight="1">
      <x:c r="A950" s="17" t="str">
        <x:f>"12175500"</x:f>
        <x:v>12175500</x:v>
      </x:c>
      <x:c r="B950" s="13" t="n">
        <x:v>42</x:v>
      </x:c>
      <x:c r="C950" s="22" t="b">
        <x:v>1</x:v>
      </x:c>
      <x:c r="D950" s="11" t="n">
        <x:v>0.0338283830011884</x:v>
      </x:c>
      <x:c r="E950" s="11" t="n">
        <x:v>0.00045846816404566666</x:v>
      </x:c>
      <x:c r="F950" s="11" t="n">
        <x:v>0.3341584205627441</x:v>
      </x:c>
      <x:c r="G950" s="13" t="n">
        <x:v>2</x:v>
      </x:c>
      <x:c r="H950" s="11" t="n">
        <x:v>0.1449670940637588</x:v>
      </x:c>
      <x:c r="I950" s="11" t="n">
        <x:v>0.1787857562303543</x:v>
      </x:c>
      <x:c r="J950" s="24" t="n">
        <x:v>137.43119657691568</x:v>
      </x:c>
      <x:c r="K950" s="24" t="n">
        <x:v>153.42531418800354</x:v>
      </x:c>
      <x:c r="L950" s="11" t="n">
        <x:v>0.7846534848213196</x:v>
      </x:c>
      <x:c r="M950" s="11" t="n">
        <x:v>0.0999393239617347</x:v>
      </x:c>
    </x:row>
    <x:row r="951" ht="22" customHeight="1">
      <x:c r="A951" s="17" t="str">
        <x:f>"12175500"</x:f>
        <x:v>12175500</x:v>
      </x:c>
      <x:c r="B951" s="13" t="n">
        <x:v>42</x:v>
      </x:c>
      <x:c r="C951" s="22" t="b">
        <x:v>0</x:v>
      </x:c>
      <x:c r="D951" s="11" t="n">
        <x:v>0.045492142438888494</x:v>
      </x:c>
      <x:c r="E951" s="11" t="n">
        <x:v>0.0004520185757428</x:v>
      </x:c>
      <x:c r="F951" s="11" t="n">
        <x:v>0.4392059445381164</x:v>
      </x:c>
      <x:c r="G951" s="13" t="n">
        <x:v>1</x:v>
      </x:c>
      <x:c r="H951" s="11" t="n">
        <x:v>0.201577678322792</x:v>
      </x:c>
      <x:c r="I951" s="11" t="n">
        <x:v>0.2282281368970871</x:v>
      </x:c>
      <x:c r="J951" s="24" t="n">
        <x:v>139.79716428834945</x:v>
      </x:c>
      <x:c r="K951" s="24" t="n">
        <x:v>169.10403728485107</x:v>
      </x:c>
      <x:c r="L951" s="11" t="n">
        <x:v>0.9478908181190492</x:v>
      </x:c>
      <x:c r="M951" s="11" t="n">
        <x:v>0.0999332070350647</x:v>
      </x:c>
    </x:row>
    <x:row r="952" ht="22" customHeight="1">
      <x:c r="A952" s="17" t="str">
        <x:f>"12178100"</x:f>
        <x:v>12178100</x:v>
      </x:c>
      <x:c r="B952" s="13" t="n">
        <x:v>42</x:v>
      </x:c>
      <x:c r="C952" s="22" t="b">
        <x:v>1</x:v>
      </x:c>
      <x:c r="D952" s="11" t="n">
        <x:v>0.015676567641397268</x:v>
      </x:c>
      <x:c r="E952" s="11" t="n">
        <x:v>0.0006135382961171</x:v>
      </x:c>
      <x:c r="F952" s="11" t="n">
        <x:v>0.2846534550189972</x:v>
      </x:c>
      <x:c r="G952" s="13" t="n">
        <x:v>9</x:v>
      </x:c>
      <x:c r="H952" s="11" t="n">
        <x:v>0.3354971706867218</x:v>
      </x:c>
      <x:c r="I952" s="11" t="n">
        <x:v>0.3440811038017273</x:v>
      </x:c>
      <x:c r="J952" s="24" t="n">
        <x:v>137.93890038784593</x:v>
      </x:c>
      <x:c r="K952" s="24" t="n">
        <x:v>149.37300944328308</x:v>
      </x:c>
      <x:c r="L952" s="11" t="n">
        <x:v>0.3069306910037994</x:v>
      </x:c>
      <x:c r="M952" s="11" t="n">
        <x:v>0.0999393239617347</x:v>
      </x:c>
    </x:row>
    <x:row r="953" ht="22" customHeight="1">
      <x:c r="A953" s="17" t="str">
        <x:f>"12178100"</x:f>
        <x:v>12178100</x:v>
      </x:c>
      <x:c r="B953" s="13" t="n">
        <x:v>42</x:v>
      </x:c>
      <x:c r="C953" s="22" t="b">
        <x:v>0</x:v>
      </x:c>
      <x:c r="D953" s="11" t="n">
        <x:v>0.028949545075495967</x:v>
      </x:c>
      <x:c r="E953" s="11" t="n">
        <x:v>0.00029684800635243334</x:v>
      </x:c>
      <x:c r="F953" s="11" t="n">
        <x:v>0.5260545611381531</x:v>
      </x:c>
      <x:c r="G953" s="13" t="n">
        <x:v>3</x:v>
      </x:c>
      <x:c r="H953" s="11" t="n">
        <x:v>0.4088181853294372</x:v>
      </x:c>
      <x:c r="I953" s="11" t="n">
        <x:v>0.4485235512256622</x:v>
      </x:c>
      <x:c r="J953" s="24" t="n">
        <x:v>137.54905481636524</x:v>
      </x:c>
      <x:c r="K953" s="24" t="n">
        <x:v>159.48321509361267</x:v>
      </x:c>
      <x:c r="L953" s="11" t="n">
        <x:v>0.7965260744094849</x:v>
      </x:c>
      <x:c r="M953" s="11" t="n">
        <x:v>0.0999332070350647</x:v>
      </x:c>
    </x:row>
    <x:row r="954" ht="22" customHeight="1">
      <x:c r="A954" s="17" t="str">
        <x:f>"12186000"</x:f>
        <x:v>12186000</x:v>
      </x:c>
      <x:c r="B954" s="13" t="n">
        <x:v>42</x:v>
      </x:c>
      <x:c r="C954" s="22" t="b">
        <x:v>1</x:v>
      </x:c>
      <x:c r="D954" s="11" t="n">
        <x:v>0.023927392748494897</x:v>
      </x:c>
      <x:c r="E954" s="11" t="n">
        <x:v>0.0006539913592859666</x:v>
      </x:c>
      <x:c r="F954" s="11" t="n">
        <x:v>0.3861386179924011</x:v>
      </x:c>
      <x:c r="G954" s="13" t="n">
        <x:v>7</x:v>
      </x:c>
      <x:c r="H954" s="11" t="n">
        <x:v>0.3178451359272003</x:v>
      </x:c>
      <x:c r="I954" s="11" t="n">
        <x:v>0.3261842727661133</x:v>
      </x:c>
      <x:c r="J954" s="24" t="n">
        <x:v>135.9711568010971</x:v>
      </x:c>
      <x:c r="K954" s="24" t="n">
        <x:v>151.23997831344604</x:v>
      </x:c>
      <x:c r="L954" s="11" t="n">
        <x:v>0.4702970385551452</x:v>
      </x:c>
      <x:c r="M954" s="11" t="n">
        <x:v>0.0999393239617347</x:v>
      </x:c>
    </x:row>
    <x:row r="955" ht="22" customHeight="1">
      <x:c r="A955" s="17" t="str">
        <x:f>"12186000"</x:f>
        <x:v>12186000</x:v>
      </x:c>
      <x:c r="B955" s="13" t="n">
        <x:v>42</x:v>
      </x:c>
      <x:c r="C955" s="22" t="b">
        <x:v>0</x:v>
      </x:c>
      <x:c r="D955" s="11" t="n">
        <x:v>0.024813895424206964</x:v>
      </x:c>
      <x:c r="E955" s="11" t="n">
        <x:v>0.0002968480160537</x:v>
      </x:c>
      <x:c r="F955" s="11" t="n">
        <x:v>0.4094292819499969</x:v>
      </x:c>
      <x:c r="G955" s="13" t="n">
        <x:v>3</x:v>
      </x:c>
      <x:c r="H955" s="11" t="n">
        <x:v>0.4065257906913757</x:v>
      </x:c>
      <x:c r="I955" s="11" t="n">
        <x:v>0.4153974950313568</x:v>
      </x:c>
      <x:c r="J955" s="24" t="n">
        <x:v>140.48375240247697</x:v>
      </x:c>
      <x:c r="K955" s="24" t="n">
        <x:v>160.1036651134491</x:v>
      </x:c>
      <x:c r="L955" s="11" t="n">
        <x:v>0.7866004705429077</x:v>
      </x:c>
      <x:c r="M955" s="11" t="n">
        <x:v>0.0999332070350647</x:v>
      </x:c>
    </x:row>
    <x:row r="956" ht="22" customHeight="1">
      <x:c r="A956" s="17" t="str">
        <x:f>"12189500"</x:f>
        <x:v>12189500</x:v>
      </x:c>
      <x:c r="B956" s="13" t="n">
        <x:v>42</x:v>
      </x:c>
      <x:c r="C956" s="22" t="b">
        <x:v>1</x:v>
      </x:c>
      <x:c r="D956" s="11" t="n">
        <x:v>0.014851485223819766</x:v>
      </x:c>
      <x:c r="E956" s="11" t="n">
        <x:v>0.0003371089502858</x:v>
      </x:c>
      <x:c r="F956" s="11" t="n">
        <x:v>0.3193069398403168</x:v>
      </x:c>
      <x:c r="G956" s="13" t="n">
        <x:v>7</x:v>
      </x:c>
      <x:c r="H956" s="11" t="n">
        <x:v>0.2670789062976837</x:v>
      </x:c>
      <x:c r="I956" s="11" t="n">
        <x:v>0.2981070876121521</x:v>
      </x:c>
      <x:c r="J956" s="24" t="n">
        <x:v>138.41510002408177</x:v>
      </x:c>
      <x:c r="K956" s="24" t="n">
        <x:v>152.35416531562805</x:v>
      </x:c>
      <x:c r="L956" s="11" t="n">
        <x:v>0.4306930601596832</x:v>
      </x:c>
      <x:c r="M956" s="11" t="n">
        <x:v>0.0999393239617347</x:v>
      </x:c>
    </x:row>
    <x:row r="957" ht="22" customHeight="1">
      <x:c r="A957" s="17" t="str">
        <x:f>"12189500"</x:f>
        <x:v>12189500</x:v>
      </x:c>
      <x:c r="B957" s="13" t="n">
        <x:v>42</x:v>
      </x:c>
      <x:c r="C957" s="22" t="b">
        <x:v>0</x:v>
      </x:c>
      <x:c r="D957" s="11" t="n">
        <x:v>0.03804797368745003</x:v>
      </x:c>
      <x:c r="E957" s="11" t="n">
        <x:v>0.0002631152819958</x:v>
      </x:c>
      <x:c r="F957" s="11" t="n">
        <x:v>0.5086848735809326</x:v>
      </x:c>
      <x:c r="G957" s="13" t="n">
        <x:v>3</x:v>
      </x:c>
      <x:c r="H957" s="11" t="n">
        <x:v>0.3857740759849548</x:v>
      </x:c>
      <x:c r="I957" s="11" t="n">
        <x:v>0.4276720881462097</x:v>
      </x:c>
      <x:c r="J957" s="24" t="n">
        <x:v>138.24765389412642</x:v>
      </x:c>
      <x:c r="K957" s="24" t="n">
        <x:v>160.60341620445251</x:v>
      </x:c>
      <x:c r="L957" s="11" t="n">
        <x:v>0.8163771629333496</x:v>
      </x:c>
      <x:c r="M957" s="11" t="n">
        <x:v>0.0999332070350647</x:v>
      </x:c>
    </x:row>
    <x:row r="958" ht="22" customHeight="1">
      <x:c r="A958" s="17" t="str">
        <x:f>"12358500"</x:f>
        <x:v>12358500</x:v>
      </x:c>
      <x:c r="B958" s="13" t="n">
        <x:v>42</x:v>
      </x:c>
      <x:c r="C958" s="22" t="b">
        <x:v>1</x:v>
      </x:c>
      <x:c r="D958" s="11" t="n">
        <x:v>0.0165016502141952</x:v>
      </x:c>
      <x:c r="E958" s="11" t="n">
        <x:v>0.00039104639048063327</x:v>
      </x:c>
      <x:c r="F958" s="11" t="n">
        <x:v>0.2648514807224273</x:v>
      </x:c>
      <x:c r="G958" s="13" t="n">
        <x:v>8</x:v>
      </x:c>
      <x:c r="H958" s="11" t="n">
        <x:v>0.0144019415602087</x:v>
      </x:c>
      <x:c r="I958" s="11" t="n">
        <x:v>0.0148266246542334</x:v>
      </x:c>
      <x:c r="J958" s="24" t="n">
        <x:v>139.05388040002435</x:v>
      </x:c>
      <x:c r="K958" s="24" t="n">
        <x:v>149.94851183891296</x:v>
      </x:c>
      <x:c r="L958" s="11" t="n">
        <x:v>0.3069306910037994</x:v>
      </x:c>
      <x:c r="M958" s="11" t="n">
        <x:v>0.0999393239617347</x:v>
      </x:c>
    </x:row>
    <x:row r="959" ht="22" customHeight="1">
      <x:c r="A959" s="17" t="str">
        <x:f>"12358500"</x:f>
        <x:v>12358500</x:v>
      </x:c>
      <x:c r="B959" s="13" t="n">
        <x:v>42</x:v>
      </x:c>
      <x:c r="C959" s="22" t="b">
        <x:v>0</x:v>
      </x:c>
      <x:c r="D959" s="11" t="n">
        <x:v>0.0363937132060527</x:v>
      </x:c>
      <x:c r="E959" s="11" t="n">
        <x:v>0.00037106001400383335</x:v>
      </x:c>
      <x:c r="F959" s="11" t="n">
        <x:v>0.4491315186023712</x:v>
      </x:c>
      <x:c r="G959" s="13" t="n">
        <x:v>8</x:v>
      </x:c>
      <x:c r="H959" s="11" t="n">
        <x:v>0.1650556772947311</x:v>
      </x:c>
      <x:c r="I959" s="11" t="n">
        <x:v>0.1859699487686157</x:v>
      </x:c>
      <x:c r="J959" s="24" t="n">
        <x:v>139.93417437002063</x:v>
      </x:c>
      <x:c r="K959" s="24" t="n">
        <x:v>160.22953486442566</x:v>
      </x:c>
      <x:c r="L959" s="11" t="n">
        <x:v>0.4987592995166778</x:v>
      </x:c>
      <x:c r="M959" s="11" t="n">
        <x:v>0.0999332070350647</x:v>
      </x:c>
    </x:row>
    <x:row r="960" ht="22" customHeight="1">
      <x:c r="A960" s="17" t="str">
        <x:f>"12390700"</x:f>
        <x:v>12390700</x:v>
      </x:c>
      <x:c r="B960" s="13" t="n">
        <x:v>42</x:v>
      </x:c>
      <x:c r="C960" s="22" t="b">
        <x:v>1</x:v>
      </x:c>
      <x:c r="D960" s="11" t="n">
        <x:v>0.017326733097434002</x:v>
      </x:c>
      <x:c r="E960" s="11" t="n">
        <x:v>0.0004180150960261333</x:v>
      </x:c>
      <x:c r="F960" s="11" t="n">
        <x:v>0.3044554591178894</x:v>
      </x:c>
      <x:c r="G960" s="13" t="n">
        <x:v>9</x:v>
      </x:c>
      <x:c r="H960" s="11" t="n">
        <x:v>0.0090761492028832</x:v>
      </x:c>
      <x:c r="I960" s="11" t="n">
        <x:v>0.0102744232863187</x:v>
      </x:c>
      <x:c r="J960" s="24" t="n">
        <x:v>141.32556997798383</x:v>
      </x:c>
      <x:c r="K960" s="24" t="n">
        <x:v>153.6507363319397</x:v>
      </x:c>
      <x:c r="L960" s="11" t="n">
        <x:v>0.3316831588745117</x:v>
      </x:c>
      <x:c r="M960" s="11" t="n">
        <x:v>0.0999393239617347</x:v>
      </x:c>
    </x:row>
    <x:row r="961" ht="22" customHeight="1">
      <x:c r="A961" s="17" t="str">
        <x:f>"12390700"</x:f>
        <x:v>12390700</x:v>
      </x:c>
      <x:c r="B961" s="13" t="n">
        <x:v>42</x:v>
      </x:c>
      <x:c r="C961" s="22" t="b">
        <x:v>0</x:v>
      </x:c>
      <x:c r="D961" s="11" t="n">
        <x:v>0.061207609872023234</x:v>
      </x:c>
      <x:c r="E961" s="11" t="n">
        <x:v>0.00041828583925956664</x:v>
      </x:c>
      <x:c r="F961" s="11" t="n">
        <x:v>0.593052089214325</x:v>
      </x:c>
      <x:c r="G961" s="13" t="n">
        <x:v>10</x:v>
      </x:c>
      <x:c r="H961" s="11" t="n">
        <x:v>0.2301179021596908</x:v>
      </x:c>
      <x:c r="I961" s="11" t="n">
        <x:v>0.2301179021596908</x:v>
      </x:c>
      <x:c r="J961" s="24" t="n">
        <x:v>140.29247325193137</x:v>
      </x:c>
      <x:c r="K961" s="24" t="n">
        <x:v>162.5652675628662</x:v>
      </x:c>
      <x:c r="L961" s="11" t="n">
        <x:v>0.593052089214325</x:v>
      </x:c>
      <x:c r="M961" s="11" t="n">
        <x:v>0.0999332070350647</x:v>
      </x:c>
    </x:row>
    <x:row r="962" ht="22" customHeight="1">
      <x:c r="A962" s="17" t="str">
        <x:f>"12411000"</x:f>
        <x:v>12411000</x:v>
      </x:c>
      <x:c r="B962" s="13" t="n">
        <x:v>42</x:v>
      </x:c>
      <x:c r="C962" s="22" t="b">
        <x:v>1</x:v>
      </x:c>
      <x:c r="D962" s="11" t="n">
        <x:v>0.028052804991602866</x:v>
      </x:c>
      <x:c r="E962" s="11" t="n">
        <x:v>0.0004449838209741334</x:v>
      </x:c>
      <x:c r="F962" s="11" t="n">
        <x:v>0.3762376308441162</x:v>
      </x:c>
      <x:c r="G962" s="13" t="n">
        <x:v>8</x:v>
      </x:c>
      <x:c r="H962" s="11" t="n">
        <x:v>0.0446762293577194</x:v>
      </x:c>
      <x:c r="I962" s="11" t="n">
        <x:v>0.0453840382397174</x:v>
      </x:c>
      <x:c r="J962" s="24" t="n">
        <x:v>140.0618594000116</x:v>
      </x:c>
      <x:c r="K962" s="24" t="n">
        <x:v>156.78594875335693</x:v>
      </x:c>
      <x:c r="L962" s="11" t="n">
        <x:v>0.4257425665855407</x:v>
      </x:c>
      <x:c r="M962" s="11" t="n">
        <x:v>0.0999393239617347</x:v>
      </x:c>
    </x:row>
    <x:row r="963" ht="22" customHeight="1">
      <x:c r="A963" s="17" t="str">
        <x:f>"12411000"</x:f>
        <x:v>12411000</x:v>
      </x:c>
      <x:c r="B963" s="13" t="n">
        <x:v>42</x:v>
      </x:c>
      <x:c r="C963" s="22" t="b">
        <x:v>0</x:v>
      </x:c>
      <x:c r="D963" s="11" t="n">
        <x:v>0.03804797368745003</x:v>
      </x:c>
      <x:c r="E963" s="11" t="n">
        <x:v>0.0004317789280321</x:v>
      </x:c>
      <x:c r="F963" s="11" t="n">
        <x:v>0.5384615659713745</x:v>
      </x:c>
      <x:c r="G963" s="13" t="n">
        <x:v>6</x:v>
      </x:c>
      <x:c r="H963" s="11" t="n">
        <x:v>0.4892976582050323</x:v>
      </x:c>
      <x:c r="I963" s="11" t="n">
        <x:v>0.519371747970581</x:v>
      </x:c>
      <x:c r="J963" s="24" t="n">
        <x:v>137.902975439094</x:v>
      </x:c>
      <x:c r="K963" s="24" t="n">
        <x:v>158.81238555908203</x:v>
      </x:c>
      <x:c r="L963" s="11" t="n">
        <x:v>0.7096773982048035</x:v>
      </x:c>
      <x:c r="M963" s="11" t="n">
        <x:v>0.0999332070350647</x:v>
      </x:c>
    </x:row>
    <x:row r="964" ht="22" customHeight="1">
      <x:c r="A964" s="17" t="str">
        <x:f>"12414500"</x:f>
        <x:v>12414500</x:v>
      </x:c>
      <x:c r="B964" s="13" t="n">
        <x:v>42</x:v>
      </x:c>
      <x:c r="C964" s="22" t="b">
        <x:v>1</x:v>
      </x:c>
      <x:c r="D964" s="11" t="n">
        <x:v>0.020627063078184866</x:v>
      </x:c>
      <x:c r="E964" s="11" t="n">
        <x:v>0.0006809600745327333</x:v>
      </x:c>
      <x:c r="F964" s="11" t="n">
        <x:v>0.3217821717262268</x:v>
      </x:c>
      <x:c r="G964" s="13" t="n">
        <x:v>7</x:v>
      </x:c>
      <x:c r="H964" s="11" t="n">
        <x:v>0.0251314491033554</x:v>
      </x:c>
      <x:c r="I964" s="11" t="n">
        <x:v>0.0270228572189807</x:v>
      </x:c>
      <x:c r="J964" s="24" t="n">
        <x:v>139.92111816909164</x:v>
      </x:c>
      <x:c r="K964" s="24" t="n">
        <x:v>154.71145224571228</x:v>
      </x:c>
      <x:c r="L964" s="11" t="n">
        <x:v>0.3861386179924011</x:v>
      </x:c>
      <x:c r="M964" s="11" t="n">
        <x:v>0.0999393239617347</x:v>
      </x:c>
    </x:row>
    <x:row r="965" ht="22" customHeight="1">
      <x:c r="A965" s="17" t="str">
        <x:f>"12414500"</x:f>
        <x:v>12414500</x:v>
      </x:c>
      <x:c r="B965" s="13" t="n">
        <x:v>42</x:v>
      </x:c>
      <x:c r="C965" s="22" t="b">
        <x:v>0</x:v>
      </x:c>
      <x:c r="D965" s="11" t="n">
        <x:v>0.0496277920901775</x:v>
      </x:c>
      <x:c r="E965" s="11" t="n">
        <x:v>0.0007151338504627</x:v>
      </x:c>
      <x:c r="F965" s="11" t="n">
        <x:v>0.503722071647644</x:v>
      </x:c>
      <x:c r="G965" s="13" t="n">
        <x:v>2</x:v>
      </x:c>
      <x:c r="H965" s="11" t="n">
        <x:v>0.2809532284736633</x:v>
      </x:c>
      <x:c r="I965" s="11" t="n">
        <x:v>0.2971166670322418</x:v>
      </x:c>
      <x:c r="J965" s="24" t="n">
        <x:v>141.1484157331288</x:v>
      </x:c>
      <x:c r="K965" s="24" t="n">
        <x:v>168.35466599464417</x:v>
      </x:c>
      <x:c r="L965" s="11" t="n">
        <x:v>0.9081885814666748</x:v>
      </x:c>
      <x:c r="M965" s="11" t="n">
        <x:v>0.0999332070350647</x:v>
      </x:c>
    </x:row>
    <x:row r="966" ht="22" customHeight="1">
      <x:c r="A966" s="17" t="str">
        <x:f>"12447390"</x:f>
        <x:v>12447390</x:v>
      </x:c>
      <x:c r="B966" s="13" t="n">
        <x:v>42</x:v>
      </x:c>
      <x:c r="C966" s="22" t="b">
        <x:v>1</x:v>
      </x:c>
      <x:c r="D966" s="11" t="n">
        <x:v>0.013201320233444334</x:v>
      </x:c>
      <x:c r="E966" s="11" t="n">
        <x:v>0.00026294498335719996</x:v>
      </x:c>
      <x:c r="F966" s="11" t="n">
        <x:v>0.2623762488365173</x:v>
      </x:c>
      <x:c r="G966" s="13" t="n">
        <x:v>10</x:v>
      </x:c>
      <x:c r="H966" s="11" t="n">
        <x:v>0.0230532009154558</x:v>
      </x:c>
      <x:c r="I966" s="11" t="n">
        <x:v>0.0230532009154558</x:v>
      </x:c>
      <x:c r="J966" s="24" t="n">
        <x:v>138.7076082257554</x:v>
      </x:c>
      <x:c r="K966" s="24" t="n">
        <x:v>149.05654406547546</x:v>
      </x:c>
      <x:c r="L966" s="11" t="n">
        <x:v>0.2623762488365173</x:v>
      </x:c>
      <x:c r="M966" s="11" t="n">
        <x:v>0.0999393239617347</x:v>
      </x:c>
    </x:row>
    <x:row r="967" ht="22" customHeight="1">
      <x:c r="A967" s="17" t="str">
        <x:f>"12447390"</x:f>
        <x:v>12447390</x:v>
      </x:c>
      <x:c r="B967" s="13" t="n">
        <x:v>42</x:v>
      </x:c>
      <x:c r="C967" s="22" t="b">
        <x:v>0</x:v>
      </x:c>
      <x:c r="D967" s="11" t="n">
        <x:v>0.042183622717857305</x:v>
      </x:c>
      <x:c r="E967" s="11" t="n">
        <x:v>0.00025636874003486665</x:v>
      </x:c>
      <x:c r="F967" s="11" t="n">
        <x:v>0.5012406706809998</x:v>
      </x:c>
      <x:c r="G967" s="13" t="n">
        <x:v>8</x:v>
      </x:c>
      <x:c r="H967" s="11" t="n">
        <x:v>0.4749399423599243</x:v>
      </x:c>
      <x:c r="I967" s="11" t="n">
        <x:v>0.4869529008865356</x:v>
      </x:c>
      <x:c r="J967" s="24" t="n">
        <x:v>137.3218064364046</x:v>
      </x:c>
      <x:c r="K967" s="24" t="n">
        <x:v>159.5209047794342</x:v>
      </x:c>
      <x:c r="L967" s="11" t="n">
        <x:v>0.5682381987571716</x:v>
      </x:c>
      <x:c r="M967" s="11" t="n">
        <x:v>0.0999332070350647</x:v>
      </x:c>
    </x:row>
    <x:row r="968" ht="22" customHeight="1">
      <x:c r="A968" s="17" t="str">
        <x:f>"12451000"</x:f>
        <x:v>12451000</x:v>
      </x:c>
      <x:c r="B968" s="13" t="n">
        <x:v>42</x:v>
      </x:c>
      <x:c r="C968" s="22" t="b">
        <x:v>1</x:v>
      </x:c>
      <x:c r="D968" s="11" t="n">
        <x:v>0.019801980505386934</x:v>
      </x:c>
      <x:c r="E968" s="11" t="n">
        <x:v>0.0004584681785975333</x:v>
      </x:c>
      <x:c r="F968" s="11" t="n">
        <x:v>0.2821782231330871</x:v>
      </x:c>
      <x:c r="G968" s="13" t="n">
        <x:v>6</x:v>
      </x:c>
      <x:c r="H968" s="11" t="n">
        <x:v>0.049677301198244</x:v>
      </x:c>
      <x:c r="I968" s="11" t="n">
        <x:v>0.0538984350860118</x:v>
      </x:c>
      <x:c r="J968" s="24" t="n">
        <x:v>134.8429035646841</x:v>
      </x:c>
      <x:c r="K968" s="24" t="n">
        <x:v>146.60034608840942</x:v>
      </x:c>
      <x:c r="L968" s="11" t="n">
        <x:v>0.4133663475513458</x:v>
      </x:c>
      <x:c r="M968" s="11" t="n">
        <x:v>0.0999393239617347</x:v>
      </x:c>
    </x:row>
    <x:row r="969" ht="22" customHeight="1">
      <x:c r="A969" s="17" t="str">
        <x:f>"12451000"</x:f>
        <x:v>12451000</x:v>
      </x:c>
      <x:c r="B969" s="13" t="n">
        <x:v>42</x:v>
      </x:c>
      <x:c r="C969" s="22" t="b">
        <x:v>0</x:v>
      </x:c>
      <x:c r="D969" s="11" t="n">
        <x:v>0.0289495456963777</x:v>
      </x:c>
      <x:c r="E969" s="11" t="n">
        <x:v>0.00018890327919499997</x:v>
      </x:c>
      <x:c r="F969" s="11" t="n">
        <x:v>0.4466501176357269</x:v>
      </x:c>
      <x:c r="G969" s="13" t="n">
        <x:v>3</x:v>
      </x:c>
      <x:c r="H969" s="11" t="n">
        <x:v>0.2112062126398086</x:v>
      </x:c>
      <x:c r="I969" s="11" t="n">
        <x:v>0.27451953291893</x:v>
      </x:c>
      <x:c r="J969" s="24" t="n">
        <x:v>136.3313880925998</x:v>
      </x:c>
      <x:c r="K969" s="24" t="n">
        <x:v>158.0533480644226</x:v>
      </x:c>
      <x:c r="L969" s="11" t="n">
        <x:v>0.8138957619667053</x:v>
      </x:c>
      <x:c r="M969" s="11" t="n">
        <x:v>0.0999332070350647</x:v>
      </x:c>
    </x:row>
    <x:row r="970" ht="22" customHeight="1">
      <x:c r="A970" s="17" t="str">
        <x:f>"12488500"</x:f>
        <x:v>12488500</x:v>
      </x:c>
      <x:c r="B970" s="13" t="n">
        <x:v>42</x:v>
      </x:c>
      <x:c r="C970" s="22" t="b">
        <x:v>1</x:v>
      </x:c>
      <x:c r="D970" s="11" t="n">
        <x:v>0.023927393058935733</x:v>
      </x:c>
      <x:c r="E970" s="11" t="n">
        <x:v>0.0004247572893897</x:v>
      </x:c>
      <x:c r="F970" s="11" t="n">
        <x:v>0.301980197429657</x:v>
      </x:c>
      <x:c r="G970" s="13" t="n">
        <x:v>2</x:v>
      </x:c>
      <x:c r="H970" s="11" t="n">
        <x:v>0.0615183375775814</x:v>
      </x:c>
      <x:c r="I970" s="11" t="n">
        <x:v>0.0645210519433021</x:v>
      </x:c>
      <x:c r="J970" s="24" t="n">
        <x:v>140.0444866521284</x:v>
      </x:c>
      <x:c r="K970" s="24" t="n">
        <x:v>158.85532426834106</x:v>
      </x:c>
      <x:c r="L970" s="11" t="n">
        <x:v>0.7722772359848022</x:v>
      </x:c>
      <x:c r="M970" s="11" t="n">
        <x:v>0.0999393239617347</x:v>
      </x:c>
    </x:row>
    <x:row r="971" ht="22" customHeight="1">
      <x:c r="A971" s="17" t="str">
        <x:f>"12488500"</x:f>
        <x:v>12488500</x:v>
      </x:c>
      <x:c r="B971" s="13" t="n">
        <x:v>42</x:v>
      </x:c>
      <x:c r="C971" s="22" t="b">
        <x:v>0</x:v>
      </x:c>
      <x:c r="D971" s="11" t="n">
        <x:v>0.035566583896676635</x:v>
      </x:c>
      <x:c r="E971" s="11" t="n">
        <x:v>0.00022938255036323335</x:v>
      </x:c>
      <x:c r="F971" s="11" t="n">
        <x:v>0.5111662745475769</x:v>
      </x:c>
      <x:c r="G971" s="13" t="n">
        <x:v>3</x:v>
      </x:c>
      <x:c r="H971" s="11" t="n">
        <x:v>0.3639473021030426</x:v>
      </x:c>
      <x:c r="I971" s="11" t="n">
        <x:v>0.4308858811855316</x:v>
      </x:c>
      <x:c r="J971" s="24" t="n">
        <x:v>136.37504771724343</x:v>
      </x:c>
      <x:c r="K971" s="24" t="n">
        <x:v>160.5196566581726</x:v>
      </x:c>
      <x:c r="L971" s="11" t="n">
        <x:v>0.8585608005523682</x:v>
      </x:c>
      <x:c r="M971" s="11" t="n">
        <x:v>0.0999332070350647</x:v>
      </x:c>
    </x:row>
    <x:row r="972" ht="22" customHeight="1">
      <x:c r="A972" s="17" t="str">
        <x:f>"13011500"</x:f>
        <x:v>13011500</x:v>
      </x:c>
      <x:c r="B972" s="13" t="n">
        <x:v>42</x:v>
      </x:c>
      <x:c r="C972" s="22" t="b">
        <x:v>1</x:v>
      </x:c>
      <x:c r="D972" s="11" t="n">
        <x:v>0.018151815049350234</x:v>
      </x:c>
      <x:c r="E972" s="11" t="n">
        <x:v>0.00028317151494166665</x:v>
      </x:c>
      <x:c r="F972" s="11" t="n">
        <x:v>0.2574257552623749</x:v>
      </x:c>
      <x:c r="G972" s="13" t="n">
        <x:v>10</x:v>
      </x:c>
      <x:c r="H972" s="11" t="n">
        <x:v>0.0166181307286024</x:v>
      </x:c>
      <x:c r="I972" s="11" t="n">
        <x:v>0.0166181307286024</x:v>
      </x:c>
      <x:c r="J972" s="24" t="n">
        <x:v>141.81254287529737</x:v>
      </x:c>
      <x:c r="K972" s="24" t="n">
        <x:v>150.48531246185303</x:v>
      </x:c>
      <x:c r="L972" s="11" t="n">
        <x:v>0.2574257552623749</x:v>
      </x:c>
      <x:c r="M972" s="11" t="n">
        <x:v>0.0999393239617347</x:v>
      </x:c>
    </x:row>
    <x:row r="973" ht="22" customHeight="1">
      <x:c r="A973" s="17" t="str">
        <x:f>"13011500"</x:f>
        <x:v>13011500</x:v>
      </x:c>
      <x:c r="B973" s="13" t="n">
        <x:v>42</x:v>
      </x:c>
      <x:c r="C973" s="22" t="b">
        <x:v>0</x:v>
      </x:c>
      <x:c r="D973" s="11" t="n">
        <x:v>0.028122415145238167</x:v>
      </x:c>
      <x:c r="E973" s="11" t="n">
        <x:v>0.0005127374800698</x:v>
      </x:c>
      <x:c r="F973" s="11" t="n">
        <x:v>0.4789081811904907</x:v>
      </x:c>
      <x:c r="G973" s="13" t="n">
        <x:v>2</x:v>
      </x:c>
      <x:c r="H973" s="11" t="n">
        <x:v>0.1924377381801605</x:v>
      </x:c>
      <x:c r="I973" s="11" t="n">
        <x:v>0.2711197137832641</x:v>
      </x:c>
      <x:c r="J973" s="24" t="n">
        <x:v>139.92087807506323</x:v>
      </x:c>
      <x:c r="K973" s="24" t="n">
        <x:v>164.31338453292847</x:v>
      </x:c>
      <x:c r="L973" s="11" t="n">
        <x:v>0.9007444381713868</x:v>
      </x:c>
      <x:c r="M973" s="11" t="n">
        <x:v>0.0999332070350647</x:v>
      </x:c>
    </x:row>
    <x:row r="974" ht="22" customHeight="1">
      <x:c r="A974" s="17" t="str">
        <x:f>"13011900"</x:f>
        <x:v>13011900</x:v>
      </x:c>
      <x:c r="B974" s="13" t="n">
        <x:v>42</x:v>
      </x:c>
      <x:c r="C974" s="22" t="b">
        <x:v>1</x:v>
      </x:c>
      <x:c r="D974" s="11" t="n">
        <x:v>0.016501650524636067</x:v>
      </x:c>
      <x:c r="E974" s="11" t="n">
        <x:v>0.0003303667763247667</x:v>
      </x:c>
      <x:c r="F974" s="11" t="n">
        <x:v>0.2425742596387863</x:v>
      </x:c>
      <x:c r="G974" s="13" t="n">
        <x:v>4</x:v>
      </x:c>
      <x:c r="H974" s="11" t="n">
        <x:v>0.0059868139214813</x:v>
      </x:c>
      <x:c r="I974" s="11" t="n">
        <x:v>0.0064999344758689</x:v>
      </x:c>
      <x:c r="J974" s="24" t="n">
        <x:v>140.9151051416993</x:v>
      </x:c>
      <x:c r="K974" s="24" t="n">
        <x:v>152.073171377182</x:v>
      </x:c>
      <x:c r="L974" s="11" t="n">
        <x:v>0.4777227640151977</x:v>
      </x:c>
      <x:c r="M974" s="11" t="n">
        <x:v>0.0999393239617347</x:v>
      </x:c>
    </x:row>
    <x:row r="975" ht="22" customHeight="1">
      <x:c r="A975" s="17" t="str">
        <x:f>"13011900"</x:f>
        <x:v>13011900</x:v>
      </x:c>
      <x:c r="B975" s="13" t="n">
        <x:v>42</x:v>
      </x:c>
      <x:c r="C975" s="22" t="b">
        <x:v>0</x:v>
      </x:c>
      <x:c r="D975" s="11" t="n">
        <x:v>0.035566583896676635</x:v>
      </x:c>
      <x:c r="E975" s="11" t="n">
        <x:v>0.0004790047532878667</x:v>
      </x:c>
      <x:c r="F975" s="11" t="n">
        <x:v>0.5062034726142883</x:v>
      </x:c>
      <x:c r="G975" s="13" t="n">
        <x:v>7</x:v>
      </x:c>
      <x:c r="H975" s="11" t="n">
        <x:v>0.1532046645879745</x:v>
      </x:c>
      <x:c r="I975" s="11" t="n">
        <x:v>0.1757149845361709</x:v>
      </x:c>
      <x:c r="J975" s="24" t="n">
        <x:v>139.65033219847828</x:v>
      </x:c>
      <x:c r="K975" s="24" t="n">
        <x:v>160.00645327568054</x:v>
      </x:c>
      <x:c r="L975" s="11" t="n">
        <x:v>0.6625310182571411</x:v>
      </x:c>
      <x:c r="M975" s="11" t="n">
        <x:v>0.0999332070350647</x:v>
      </x:c>
    </x:row>
    <x:row r="976" ht="22" customHeight="1">
      <x:c r="A976" s="17" t="str">
        <x:f>"13018300"</x:f>
        <x:v>13018300</x:v>
      </x:c>
      <x:c r="B976" s="13" t="n">
        <x:v>42</x:v>
      </x:c>
      <x:c r="C976" s="22" t="b">
        <x:v>1</x:v>
      </x:c>
      <x:c r="D976" s="11" t="n">
        <x:v>0.0148514853790402</x:v>
      </x:c>
      <x:c r="E976" s="11" t="n">
        <x:v>0.0003505933176104667</x:v>
      </x:c>
      <x:c r="F976" s="11" t="n">
        <x:v>0.2599009871482849</x:v>
      </x:c>
      <x:c r="G976" s="13" t="n">
        <x:v>6</x:v>
      </x:c>
      <x:c r="H976" s="11" t="n">
        <x:v>0.0072012254968285</x:v>
      </x:c>
      <x:c r="I976" s="11" t="n">
        <x:v>0.0084616504609584</x:v>
      </x:c>
      <x:c r="J976" s="24" t="n">
        <x:v>140.0392490560189</x:v>
      </x:c>
      <x:c r="K976" s="24" t="n">
        <x:v>149.76407313346863</x:v>
      </x:c>
      <x:c r="L976" s="11" t="n">
        <x:v>0.3910891115665436</x:v>
      </x:c>
      <x:c r="M976" s="11" t="n">
        <x:v>0.0999393239617347</x:v>
      </x:c>
    </x:row>
    <x:row r="977" ht="22" customHeight="1">
      <x:c r="A977" s="17" t="str">
        <x:f>"13018300"</x:f>
        <x:v>13018300</x:v>
      </x:c>
      <x:c r="B977" s="13" t="n">
        <x:v>42</x:v>
      </x:c>
      <x:c r="C977" s="22" t="b">
        <x:v>0</x:v>
      </x:c>
      <x:c r="D977" s="11" t="n">
        <x:v>0.033085194105903236</x:v>
      </x:c>
      <x:c r="E977" s="11" t="n">
        <x:v>0.0004452720168046334</x:v>
      </x:c>
      <x:c r="F977" s="11" t="n">
        <x:v>0.4565756916999817</x:v>
      </x:c>
      <x:c r="G977" s="13" t="n">
        <x:v>4</x:v>
      </x:c>
      <x:c r="H977" s="11" t="n">
        <x:v>0.1759828031063079</x:v>
      </x:c>
      <x:c r="I977" s="11" t="n">
        <x:v>0.1999342590570449</x:v>
      </x:c>
      <x:c r="J977" s="24" t="n">
        <x:v>138.84445059206337</x:v>
      </x:c>
      <x:c r="K977" s="24" t="n">
        <x:v>158.45079016685486</x:v>
      </x:c>
      <x:c r="L977" s="11" t="n">
        <x:v>0.7493796348571777</x:v>
      </x:c>
      <x:c r="M977" s="11" t="n">
        <x:v>0.0999332070350647</x:v>
      </x:c>
    </x:row>
    <x:row r="978" ht="22" customHeight="1">
      <x:c r="A978" s="17" t="str">
        <x:f>"13023000"</x:f>
        <x:v>13023000</x:v>
      </x:c>
      <x:c r="B978" s="13" t="n">
        <x:v>42</x:v>
      </x:c>
      <x:c r="C978" s="22" t="b">
        <x:v>1</x:v>
      </x:c>
      <x:c r="D978" s="11" t="n">
        <x:v>0.0099009899422526</x:v>
      </x:c>
      <x:c r="E978" s="11" t="n">
        <x:v>0.0003236245975130667</x:v>
      </x:c>
      <x:c r="F978" s="11" t="n">
        <x:v>0.1955445557832718</x:v>
      </x:c>
      <x:c r="G978" s="13" t="n">
        <x:v>8</x:v>
      </x:c>
      <x:c r="H978" s="11" t="n">
        <x:v>0.0037751558702439</x:v>
      </x:c>
      <x:c r="I978" s="11" t="n">
        <x:v>0.0041768955998122</x:v>
      </x:c>
      <x:c r="J978" s="24" t="n">
        <x:v>139.02729297149926</x:v>
      </x:c>
      <x:c r="K978" s="24" t="n">
        <x:v>147.03089475631714</x:v>
      </x:c>
      <x:c r="L978" s="11" t="n">
        <x:v>0.2400990128517151</x:v>
      </x:c>
      <x:c r="M978" s="11" t="n">
        <x:v>0.0999393239617347</x:v>
      </x:c>
    </x:row>
    <x:row r="979" ht="22" customHeight="1">
      <x:c r="A979" s="17" t="str">
        <x:f>"13023000"</x:f>
        <x:v>13023000</x:v>
      </x:c>
      <x:c r="B979" s="13" t="n">
        <x:v>42</x:v>
      </x:c>
      <x:c r="C979" s="22" t="b">
        <x:v>0</x:v>
      </x:c>
      <x:c r="D979" s="11" t="n">
        <x:v>0.0256410259753465</x:v>
      </x:c>
      <x:c r="E979" s="11" t="n">
        <x:v>0.0003575669252313333</x:v>
      </x:c>
      <x:c r="F979" s="11" t="n">
        <x:v>0.3722084462642669</x:v>
      </x:c>
      <x:c r="G979" s="13" t="n">
        <x:v>6</x:v>
      </x:c>
      <x:c r="H979" s="11" t="n">
        <x:v>0.1198034211993217</x:v>
      </x:c>
      <x:c r="I979" s="11" t="n">
        <x:v>0.1462653875350952</x:v>
      </x:c>
      <x:c r="J979" s="24" t="n">
        <x:v>138.23547311034054</x:v>
      </x:c>
      <x:c r="K979" s="24" t="n">
        <x:v>153.60359263420105</x:v>
      </x:c>
      <x:c r="L979" s="11" t="n">
        <x:v>0.5235732197761536</x:v>
      </x:c>
      <x:c r="M979" s="11" t="n">
        <x:v>0.0999332070350647</x:v>
      </x:c>
    </x:row>
    <x:row r="980" ht="22" customHeight="1">
      <x:c r="A980" s="17" t="str">
        <x:f>"13083000"</x:f>
        <x:v>13083000</x:v>
      </x:c>
      <x:c r="B980" s="13" t="n">
        <x:v>42</x:v>
      </x:c>
      <x:c r="C980" s="22" t="b">
        <x:v>1</x:v>
      </x:c>
      <x:c r="D980" s="11" t="n">
        <x:v>0.008250825029487367</x:v>
      </x:c>
      <x:c r="E980" s="11" t="n">
        <x:v>0.0007416396983898668</x:v>
      </x:c>
      <x:c r="F980" s="11" t="n">
        <x:v>0.3415841460227966</x:v>
      </x:c>
      <x:c r="G980" s="13" t="n">
        <x:v>9</x:v>
      </x:c>
      <x:c r="H980" s="11" t="n">
        <x:v>0.0373954102396965</x:v>
      </x:c>
      <x:c r="I980" s="11" t="n">
        <x:v>0.0380479730665683</x:v>
      </x:c>
      <x:c r="J980" s="24" t="n">
        <x:v>136.5692867655307</x:v>
      </x:c>
      <x:c r="K980" s="24" t="n">
        <x:v>146.59758186340332</x:v>
      </x:c>
      <x:c r="L980" s="11" t="n">
        <x:v>0.3886138498783111</x:v>
      </x:c>
      <x:c r="M980" s="11" t="n">
        <x:v>0.0999393239617347</x:v>
      </x:c>
    </x:row>
    <x:row r="981" ht="22" customHeight="1">
      <x:c r="A981" s="17" t="str">
        <x:f>"13083000"</x:f>
        <x:v>13083000</x:v>
      </x:c>
      <x:c r="B981" s="13" t="n">
        <x:v>42</x:v>
      </x:c>
      <x:c r="C981" s="22" t="b">
        <x:v>0</x:v>
      </x:c>
      <x:c r="D981" s="11" t="n">
        <x:v>0.03804797368745003</x:v>
      </x:c>
      <x:c r="E981" s="11" t="n">
        <x:v>0.0004924978517616333</x:v>
      </x:c>
      <x:c r="F981" s="11" t="n">
        <x:v>0.4491315186023712</x:v>
      </x:c>
      <x:c r="G981" s="13" t="n">
        <x:v>8</x:v>
      </x:c>
      <x:c r="H981" s="11" t="n">
        <x:v>0.2812258601188659</x:v>
      </x:c>
      <x:c r="I981" s="11" t="n">
        <x:v>0.3108510375022888</x:v>
      </x:c>
      <x:c r="J981" s="24" t="n">
        <x:v>136.3790305890143</x:v>
      </x:c>
      <x:c r="K981" s="24" t="n">
        <x:v>158.78098273277283</x:v>
      </x:c>
      <x:c r="L981" s="11" t="n">
        <x:v>0.5086848735809326</x:v>
      </x:c>
      <x:c r="M981" s="11" t="n">
        <x:v>0.0999332070350647</x:v>
      </x:c>
    </x:row>
    <x:row r="982" ht="22" customHeight="1">
      <x:c r="A982" s="17" t="str">
        <x:f>"13161500"</x:f>
        <x:v>13161500</x:v>
      </x:c>
      <x:c r="B982" s="13" t="n">
        <x:v>42</x:v>
      </x:c>
      <x:c r="C982" s="22" t="b">
        <x:v>1</x:v>
      </x:c>
      <x:c r="D982" s="11" t="n">
        <x:v>0.0115511552430689</x:v>
      </x:c>
      <x:c r="E982" s="11" t="n">
        <x:v>0.0007146709831431</x:v>
      </x:c>
      <x:c r="F982" s="11" t="n">
        <x:v>0.2772277295589447</x:v>
      </x:c>
      <x:c r="G982" s="13" t="n">
        <x:v>4</x:v>
      </x:c>
      <x:c r="H982" s="11" t="n">
        <x:v>0.023811500519514</x:v>
      </x:c>
      <x:c r="I982" s="11" t="n">
        <x:v>0.0248955339193344</x:v>
      </x:c>
      <x:c r="J982" s="24" t="n">
        <x:v>135.5079248221591</x:v>
      </x:c>
      <x:c r="K982" s="24" t="n">
        <x:v>149.68585586547852</x:v>
      </x:c>
      <x:c r="L982" s="11" t="n">
        <x:v>0.5470296740531921</x:v>
      </x:c>
      <x:c r="M982" s="11" t="n">
        <x:v>0.0999393239617347</x:v>
      </x:c>
    </x:row>
    <x:row r="983" ht="22" customHeight="1">
      <x:c r="A983" s="17" t="str">
        <x:f>"13161500"</x:f>
        <x:v>13161500</x:v>
      </x:c>
      <x:c r="B983" s="13" t="n">
        <x:v>42</x:v>
      </x:c>
      <x:c r="C983" s="22" t="b">
        <x:v>0</x:v>
      </x:c>
      <x:c r="D983" s="11" t="n">
        <x:v>0.04218362333873904</x:v>
      </x:c>
      <x:c r="E983" s="11" t="n">
        <x:v>0.0006139356798181335</x:v>
      </x:c>
      <x:c r="F983" s="11" t="n">
        <x:v>0.4243176281452179</x:v>
      </x:c>
      <x:c r="G983" s="13" t="n">
        <x:v>8</x:v>
      </x:c>
      <x:c r="H983" s="11" t="n">
        <x:v>0.3157409131526947</x:v>
      </x:c>
      <x:c r="I983" s="11" t="n">
        <x:v>0.4035476446151733</x:v>
      </x:c>
      <x:c r="J983" s="24" t="n">
        <x:v>137.3232238739729</x:v>
      </x:c>
      <x:c r="K983" s="24" t="n">
        <x:v>157.44204807281494</x:v>
      </x:c>
      <x:c r="L983" s="11" t="n">
        <x:v>0.4987592995166778</x:v>
      </x:c>
      <x:c r="M983" s="11" t="n">
        <x:v>0.0999332070350647</x:v>
      </x:c>
    </x:row>
    <x:row r="984" ht="22" customHeight="1">
      <x:c r="A984" s="17" t="str">
        <x:f>"13235000"</x:f>
        <x:v>13235000</x:v>
      </x:c>
      <x:c r="B984" s="13" t="n">
        <x:v>42</x:v>
      </x:c>
      <x:c r="C984" s="22" t="b">
        <x:v>1</x:v>
      </x:c>
      <x:c r="D984" s="11" t="n">
        <x:v>0.009075907679895533</x:v>
      </x:c>
      <x:c r="E984" s="11" t="n">
        <x:v>0.0004786947198832333</x:v>
      </x:c>
      <x:c r="F984" s="11" t="n">
        <x:v>0.1930693089962005</x:v>
      </x:c>
      <x:c r="G984" s="13" t="n">
        <x:v>9</x:v>
      </x:c>
      <x:c r="H984" s="11" t="n">
        <x:v>0.004306761547923</x:v>
      </x:c>
      <x:c r="I984" s="11" t="n">
        <x:v>0.0046705477871</x:v>
      </x:c>
      <x:c r="J984" s="24" t="n">
        <x:v>139.07214977778494</x:v>
      </x:c>
      <x:c r="K984" s="24" t="n">
        <x:v>147.9658408164978</x:v>
      </x:c>
      <x:c r="L984" s="11" t="n">
        <x:v>0.2252475321292877</x:v>
      </x:c>
      <x:c r="M984" s="11" t="n">
        <x:v>0.0999393239617347</x:v>
      </x:c>
    </x:row>
    <x:row r="985" ht="22" customHeight="1">
      <x:c r="A985" s="17" t="str">
        <x:f>"13235000"</x:f>
        <x:v>13235000</x:v>
      </x:c>
      <x:c r="B985" s="13" t="n">
        <x:v>42</x:v>
      </x:c>
      <x:c r="C985" s="22" t="b">
        <x:v>0</x:v>
      </x:c>
      <x:c r="D985" s="11" t="n">
        <x:v>0.03308519410590323</x:v>
      </x:c>
      <x:c r="E985" s="11" t="n">
        <x:v>0.00040479274078576667</x:v>
      </x:c>
      <x:c r="F985" s="11" t="n">
        <x:v>0.4317618012428283</x:v>
      </x:c>
      <x:c r="G985" s="13" t="n">
        <x:v>7</x:v>
      </x:c>
      <x:c r="H985" s="11" t="n">
        <x:v>0.1437934041023254</x:v>
      </x:c>
      <x:c r="I985" s="11" t="n">
        <x:v>0.1877412796020507</x:v>
      </x:c>
      <x:c r="J985" s="24" t="n">
        <x:v>139.4959388524294</x:v>
      </x:c>
      <x:c r="K985" s="24" t="n">
        <x:v>157.98470830917358</x:v>
      </x:c>
      <x:c r="L985" s="11" t="n">
        <x:v>0.555831253528595</x:v>
      </x:c>
      <x:c r="M985" s="11" t="n">
        <x:v>0.0999332070350647</x:v>
      </x:c>
    </x:row>
    <x:row r="986" ht="22" customHeight="1">
      <x:c r="A986" s="17" t="str">
        <x:f>"13240000"</x:f>
        <x:v>13240000</x:v>
      </x:c>
      <x:c r="B986" s="13" t="n">
        <x:v>42</x:v>
      </x:c>
      <x:c r="C986" s="22" t="b">
        <x:v>1</x:v>
      </x:c>
      <x:c r="D986" s="11" t="n">
        <x:v>0.028052804991602866</x:v>
      </x:c>
      <x:c r="E986" s="11" t="n">
        <x:v>0.0003843042068183</x:v>
      </x:c>
      <x:c r="F986" s="11" t="n">
        <x:v>0.3044554591178894</x:v>
      </x:c>
      <x:c r="G986" s="13" t="n">
        <x:v>8</x:v>
      </x:c>
      <x:c r="H986" s="11" t="n">
        <x:v>0.0242297649383544</x:v>
      </x:c>
      <x:c r="I986" s="11" t="n">
        <x:v>0.0252612642943859</x:v>
      </x:c>
      <x:c r="J986" s="24" t="n">
        <x:v>138.05193722620606</x:v>
      </x:c>
      <x:c r="K986" s="24" t="n">
        <x:v>150.42776226997375</x:v>
      </x:c>
      <x:c r="L986" s="11" t="n">
        <x:v>0.3539603948593139</x:v>
      </x:c>
      <x:c r="M986" s="11" t="n">
        <x:v>0.0999393239617347</x:v>
      </x:c>
    </x:row>
    <x:row r="987" ht="22" customHeight="1">
      <x:c r="A987" s="17" t="str">
        <x:f>"13240000"</x:f>
        <x:v>13240000</x:v>
      </x:c>
      <x:c r="B987" s="13" t="n">
        <x:v>42</x:v>
      </x:c>
      <x:c r="C987" s="22" t="b">
        <x:v>0</x:v>
      </x:c>
      <x:c r="D987" s="11" t="n">
        <x:v>0.03391232465704277</x:v>
      </x:c>
      <x:c r="E987" s="11" t="n">
        <x:v>0.00036431346476693333</x:v>
      </x:c>
      <x:c r="F987" s="11" t="n">
        <x:v>0.5012406706809998</x:v>
      </x:c>
      <x:c r="G987" s="13" t="n">
        <x:v>2</x:v>
      </x:c>
      <x:c r="H987" s="11" t="n">
        <x:v>0.1379798650741577</x:v>
      </x:c>
      <x:c r="I987" s="11" t="n">
        <x:v>0.1898588836193084</x:v>
      </x:c>
      <x:c r="J987" s="24" t="n">
        <x:v>139.84434142615646</x:v>
      </x:c>
      <x:c r="K987" s="24" t="n">
        <x:v>173.1442768573761</x:v>
      </x:c>
      <x:c r="L987" s="11" t="n">
        <x:v>0.9280397295951844</x:v>
      </x:c>
      <x:c r="M987" s="11" t="n">
        <x:v>0.0999332070350647</x:v>
      </x:c>
    </x:row>
    <x:row r="988" ht="22" customHeight="1">
      <x:c r="A988" s="17" t="str">
        <x:f>"13313000"</x:f>
        <x:v>13313000</x:v>
      </x:c>
      <x:c r="B988" s="13" t="n">
        <x:v>42</x:v>
      </x:c>
      <x:c r="C988" s="22" t="b">
        <x:v>1</x:v>
      </x:c>
      <x:c r="D988" s="11" t="n">
        <x:v>0.008250825029487367</x:v>
      </x:c>
      <x:c r="E988" s="11" t="n">
        <x:v>0.00028991369375333336</x:v>
      </x:c>
      <x:c r="F988" s="11" t="n">
        <x:v>0.1955445557832718</x:v>
      </x:c>
      <x:c r="G988" s="13" t="n">
        <x:v>8</x:v>
      </x:c>
      <x:c r="H988" s="11" t="n">
        <x:v>0.0132376896217465</x:v>
      </x:c>
      <x:c r="I988" s="11" t="n">
        <x:v>0.014011763036251</x:v>
      </x:c>
      <x:c r="J988" s="24" t="n">
        <x:v>136.22518976405263</x:v>
      </x:c>
      <x:c r="K988" s="24" t="n">
        <x:v>144.87195992469788</x:v>
      </x:c>
      <x:c r="L988" s="11" t="n">
        <x:v>0.2400990128517151</x:v>
      </x:c>
      <x:c r="M988" s="11" t="n">
        <x:v>0.0999393239617347</x:v>
      </x:c>
    </x:row>
    <x:row r="989" ht="22" customHeight="1">
      <x:c r="A989" s="17" t="str">
        <x:f>"13313000"</x:f>
        <x:v>13313000</x:v>
      </x:c>
      <x:c r="B989" s="13" t="n">
        <x:v>42</x:v>
      </x:c>
      <x:c r="C989" s="22" t="b">
        <x:v>0</x:v>
      </x:c>
      <x:c r="D989" s="11" t="n">
        <x:v>0.041356493408481236</x:v>
      </x:c>
      <x:c r="E989" s="11" t="n">
        <x:v>0.0005329771083779</x:v>
      </x:c>
      <x:c r="F989" s="11" t="n">
        <x:v>0.4640198647975921</x:v>
      </x:c>
      <x:c r="G989" s="13" t="n">
        <x:v>5</x:v>
      </x:c>
      <x:c r="H989" s="11" t="n">
        <x:v>0.2153612971305847</x:v>
      </x:c>
      <x:c r="I989" s="11" t="n">
        <x:v>0.2725974023342132</x:v>
      </x:c>
      <x:c r="J989" s="24" t="n">
        <x:v>137.9053124981001</x:v>
      </x:c>
      <x:c r="K989" s="24" t="n">
        <x:v>161.92336130142212</x:v>
      </x:c>
      <x:c r="L989" s="11" t="n">
        <x:v>0.6650124192237854</x:v>
      </x:c>
      <x:c r="M989" s="11" t="n">
        <x:v>0.0999332070350647</x:v>
      </x:c>
    </x:row>
    <x:row r="990" ht="22" customHeight="1">
      <x:c r="A990" s="17" t="str">
        <x:f>"13331500"</x:f>
        <x:v>13331500</x:v>
      </x:c>
      <x:c r="B990" s="13" t="n">
        <x:v>42</x:v>
      </x:c>
      <x:c r="C990" s="22" t="b">
        <x:v>1</x:v>
      </x:c>
      <x:c r="D990" s="11" t="n">
        <x:v>0.022277228068560334</x:v>
      </x:c>
      <x:c r="E990" s="11" t="n">
        <x:v>0.0004989212611689666</x:v>
      </x:c>
      <x:c r="F990" s="11" t="n">
        <x:v>0.2747524678707123</x:v>
      </x:c>
      <x:c r="G990" s="13" t="n">
        <x:v>10</x:v>
      </x:c>
      <x:c r="H990" s="11" t="n">
        <x:v>0.0089143412187695</x:v>
      </x:c>
      <x:c r="I990" s="11" t="n">
        <x:v>0.0089143412187695</x:v>
      </x:c>
      <x:c r="J990" s="24" t="n">
        <x:v>138.39568538498133</x:v>
      </x:c>
      <x:c r="K990" s="24" t="n">
        <x:v>148.40456128120422</x:v>
      </x:c>
      <x:c r="L990" s="11" t="n">
        <x:v>0.2747524678707123</x:v>
      </x:c>
      <x:c r="M990" s="11" t="n">
        <x:v>0.0999393239617347</x:v>
      </x:c>
    </x:row>
    <x:row r="991" ht="22" customHeight="1">
      <x:c r="A991" s="17" t="str">
        <x:f>"13331500"</x:f>
        <x:v>13331500</x:v>
      </x:c>
      <x:c r="B991" s="13" t="n">
        <x:v>42</x:v>
      </x:c>
      <x:c r="C991" s="22" t="b">
        <x:v>0</x:v>
      </x:c>
      <x:c r="D991" s="11" t="n">
        <x:v>0.0438378825783729</x:v>
      </x:c>
      <x:c r="E991" s="11" t="n">
        <x:v>0.00035756692523129997</x:v>
      </x:c>
      <x:c r="F991" s="11" t="n">
        <x:v>0.5012406706809998</x:v>
      </x:c>
      <x:c r="G991" s="13" t="n">
        <x:v>10</x:v>
      </x:c>
      <x:c r="H991" s="11" t="n">
        <x:v>0.1149202734231948</x:v>
      </x:c>
      <x:c r="I991" s="11" t="n">
        <x:v>0.1149202734231948</x:v>
      </x:c>
      <x:c r="J991" s="24" t="n">
        <x:v>137.90343467053026</x:v>
      </x:c>
      <x:c r="K991" s="24" t="n">
        <x:v>159.20775747299194</x:v>
      </x:c>
      <x:c r="L991" s="11" t="n">
        <x:v>0.5012406706809998</x:v>
      </x:c>
      <x:c r="M991" s="11" t="n">
        <x:v>0.0999332070350647</x:v>
      </x:c>
    </x:row>
    <x:row r="992" ht="22" customHeight="1">
      <x:c r="A992" s="17" t="str">
        <x:f>"13337000"</x:f>
        <x:v>13337000</x:v>
      </x:c>
      <x:c r="B992" s="13" t="n">
        <x:v>42</x:v>
      </x:c>
      <x:c r="C992" s="22" t="b">
        <x:v>1</x:v>
      </x:c>
      <x:c r="D992" s="11" t="n">
        <x:v>0.0090759075246751</x:v>
      </x:c>
      <x:c r="E992" s="11" t="n">
        <x:v>0.0007618662396755667</x:v>
      </x:c>
      <x:c r="F992" s="11" t="n">
        <x:v>0.2425742596387863</x:v>
      </x:c>
      <x:c r="G992" s="13" t="n">
        <x:v>8</x:v>
      </x:c>
      <x:c r="H992" s="11" t="n">
        <x:v>0.0066128373146057</x:v>
      </x:c>
      <x:c r="I992" s="11" t="n">
        <x:v>0.0069727920927107</x:v>
      </x:c>
      <x:c r="J992" s="24" t="n">
        <x:v>140.0140018472448</x:v>
      </x:c>
      <x:c r="K992" s="24" t="n">
        <x:v>151.67379927635193</x:v>
      </x:c>
      <x:c r="L992" s="11" t="n">
        <x:v>0.2945544421672821</x:v>
      </x:c>
      <x:c r="M992" s="11" t="n">
        <x:v>0.0999393239617347</x:v>
      </x:c>
    </x:row>
    <x:row r="993" ht="22" customHeight="1">
      <x:c r="A993" s="17" t="str">
        <x:f>"13337000"</x:f>
        <x:v>13337000</x:v>
      </x:c>
      <x:c r="B993" s="13" t="n">
        <x:v>42</x:v>
      </x:c>
      <x:c r="C993" s="22" t="b">
        <x:v>0</x:v>
      </x:c>
      <x:c r="D993" s="11" t="n">
        <x:v>0.026468155905604297</x:v>
      </x:c>
      <x:c r="E993" s="11" t="n">
        <x:v>0.0004182858392596</x:v>
      </x:c>
      <x:c r="F993" s="11" t="n">
        <x:v>0.4888337552547455</x:v>
      </x:c>
      <x:c r="G993" s="13" t="n">
        <x:v>3</x:v>
      </x:c>
      <x:c r="H993" s="11" t="n">
        <x:v>0.166308969259262</x:v>
      </x:c>
      <x:c r="I993" s="11" t="n">
        <x:v>0.1749975681304931</x:v>
      </x:c>
      <x:c r="J993" s="24" t="n">
        <x:v>138.3317451234907</x:v>
      </x:c>
      <x:c r="K993" s="24" t="n">
        <x:v>165.437486410141</x:v>
      </x:c>
      <x:c r="L993" s="11" t="n">
        <x:v>0.8014888167381287</x:v>
      </x:c>
      <x:c r="M993" s="11" t="n">
        <x:v>0.0999332070350647</x:v>
      </x:c>
    </x:row>
    <x:row r="994" ht="22" customHeight="1">
      <x:c r="A994" s="17" t="str">
        <x:f>"13338500"</x:f>
        <x:v>13338500</x:v>
      </x:c>
      <x:c r="B994" s="13" t="n">
        <x:v>42</x:v>
      </x:c>
      <x:c r="C994" s="22" t="b">
        <x:v>1</x:v>
      </x:c>
      <x:c r="D994" s="11" t="n">
        <x:v>0.010726072515050533</x:v>
      </x:c>
      <x:c r="E994" s="11" t="n">
        <x:v>0.0006405070113638667</x:v>
      </x:c>
      <x:c r="F994" s="11" t="n">
        <x:v>0.2722772359848022</x:v>
      </x:c>
      <x:c r="G994" s="13" t="n">
        <x:v>8</x:v>
      </x:c>
      <x:c r="H994" s="11" t="n">
        <x:v>0.019633388146758</x:v>
      </x:c>
      <x:c r="I994" s="11" t="n">
        <x:v>0.0200370103120803</x:v>
      </x:c>
      <x:c r="J994" s="24" t="n">
        <x:v>139.1662020087242</x:v>
      </x:c>
      <x:c r="K994" s="24" t="n">
        <x:v>151.51299905776978</x:v>
      </x:c>
      <x:c r="L994" s="11" t="n">
        <x:v>0.3242574334144592</x:v>
      </x:c>
      <x:c r="M994" s="11" t="n">
        <x:v>0.0999393239617347</x:v>
      </x:c>
    </x:row>
    <x:row r="995" ht="22" customHeight="1">
      <x:c r="A995" s="17" t="str">
        <x:f>"13338500"</x:f>
        <x:v>13338500</x:v>
      </x:c>
      <x:c r="B995" s="13" t="n">
        <x:v>42</x:v>
      </x:c>
      <x:c r="C995" s="22" t="b">
        <x:v>0</x:v>
      </x:c>
      <x:c r="D995" s="11" t="n">
        <x:v>0.023986765493949166</x:v>
      </x:c>
      <x:c r="E995" s="11" t="n">
        <x:v>0.0006139356604156</x:v>
      </x:c>
      <x:c r="F995" s="11" t="n">
        <x:v>0.3821339905261993</x:v>
      </x:c>
      <x:c r="G995" s="13" t="n">
        <x:v>3</x:v>
      </x:c>
      <x:c r="H995" s="11" t="n">
        <x:v>0.2539969682693481</x:v>
      </x:c>
      <x:c r="I995" s="11" t="n">
        <x:v>0.2590904533863067</x:v>
      </x:c>
      <x:c r="J995" s="24" t="n">
        <x:v>136.35618806816638</x:v>
      </x:c>
      <x:c r="K995" s="24" t="n">
        <x:v>155.280907869339</x:v>
      </x:c>
      <x:c r="L995" s="11" t="n">
        <x:v>0.7593052387237549</x:v>
      </x:c>
      <x:c r="M995" s="11" t="n">
        <x:v>0.0999332070350647</x:v>
      </x:c>
    </x:row>
    <x:row r="996" ht="22" customHeight="1">
      <x:c r="A996" s="17" t="str">
        <x:f>"13340000"</x:f>
        <x:v>13340000</x:v>
      </x:c>
      <x:c r="B996" s="13" t="n">
        <x:v>42</x:v>
      </x:c>
      <x:c r="C996" s="22" t="b">
        <x:v>1</x:v>
      </x:c>
      <x:c r="D996" s="11" t="n">
        <x:v>0.0148514853790402</x:v>
      </x:c>
      <x:c r="E996" s="11" t="n">
        <x:v>0.0004989212514677</x:v>
      </x:c>
      <x:c r="F996" s="11" t="n">
        <x:v>0.2252475321292877</x:v>
      </x:c>
      <x:c r="G996" s="13" t="n">
        <x:v>8</x:v>
      </x:c>
      <x:c r="H996" s="11" t="n">
        <x:v>0.0068708825856447</x:v>
      </x:c>
      <x:c r="I996" s="11" t="n">
        <x:v>0.0080719189718365</x:v>
      </x:c>
      <x:c r="J996" s="24" t="n">
        <x:v>137.85089293960482</x:v>
      </x:c>
      <x:c r="K996" s="24" t="n">
        <x:v>149.35699701309204</x:v>
      </x:c>
      <x:c r="L996" s="11" t="n">
        <x:v>0.2698019742965698</x:v>
      </x:c>
      <x:c r="M996" s="11" t="n">
        <x:v>0.0999393239617347</x:v>
      </x:c>
    </x:row>
    <x:row r="997" ht="22" customHeight="1">
      <x:c r="A997" s="17" t="str">
        <x:f>"13340000"</x:f>
        <x:v>13340000</x:v>
      </x:c>
      <x:c r="B997" s="13" t="n">
        <x:v>42</x:v>
      </x:c>
      <x:c r="C997" s="22" t="b">
        <x:v>0</x:v>
      </x:c>
      <x:c r="D997" s="11" t="n">
        <x:v>0.03970223354796563</x:v>
      </x:c>
      <x:c r="E997" s="11" t="n">
        <x:v>0.00037106001400383335</x:v>
      </x:c>
      <x:c r="F997" s="11" t="n">
        <x:v>0.4640198647975921</x:v>
      </x:c>
      <x:c r="G997" s="13" t="n">
        <x:v>7</x:v>
      </x:c>
      <x:c r="H997" s="11" t="n">
        <x:v>0.1481169611215591</x:v>
      </x:c>
      <x:c r="I997" s="11" t="n">
        <x:v>0.1556754112243652</x:v>
      </x:c>
      <x:c r="J997" s="24" t="n">
        <x:v>138.53531883098185</x:v>
      </x:c>
      <x:c r="K997" s="24" t="n">
        <x:v>162.42588567733765</x:v>
      </x:c>
      <x:c r="L997" s="11" t="n">
        <x:v>0.5732010006904602</x:v>
      </x:c>
      <x:c r="M997" s="11" t="n">
        <x:v>0.0999332070350647</x:v>
      </x:c>
    </x:row>
    <x:row r="998" ht="22" customHeight="1">
      <x:c r="A998" s="17" t="str">
        <x:f>"13340600"</x:f>
        <x:v>13340600</x:v>
      </x:c>
      <x:c r="B998" s="13" t="n">
        <x:v>42</x:v>
      </x:c>
      <x:c r="C998" s="22" t="b">
        <x:v>1</x:v>
      </x:c>
      <x:c r="D998" s="11" t="n">
        <x:v>0.019801980194946098</x:v>
      </x:c>
      <x:c r="E998" s="11" t="n">
        <x:v>0.0005528586819612333</x:v>
      </x:c>
      <x:c r="F998" s="11" t="n">
        <x:v>0.301980197429657</x:v>
      </x:c>
      <x:c r="G998" s="13" t="n">
        <x:v>8</x:v>
      </x:c>
      <x:c r="H998" s="11" t="n">
        <x:v>0.0135870147496461</x:v>
      </x:c>
      <x:c r="I998" s="11" t="n">
        <x:v>0.0136239724233746</x:v>
      </x:c>
      <x:c r="J998" s="24" t="n">
        <x:v>136.10263613145798</x:v>
      </x:c>
      <x:c r="K998" s="24" t="n">
        <x:v>147.63063073158264</x:v>
      </x:c>
      <x:c r="L998" s="11" t="n">
        <x:v>0.3465346395969391</x:v>
      </x:c>
      <x:c r="M998" s="11" t="n">
        <x:v>0.0999393239617347</x:v>
      </x:c>
    </x:row>
    <x:row r="999" ht="22" customHeight="1">
      <x:c r="A999" s="17" t="str">
        <x:f>"13340600"</x:f>
        <x:v>13340600</x:v>
      </x:c>
      <x:c r="B999" s="13" t="n">
        <x:v>42</x:v>
      </x:c>
      <x:c r="C999" s="22" t="b">
        <x:v>0</x:v>
      </x:c>
      <x:c r="D999" s="11" t="n">
        <x:v>0.037220843757192236</x:v>
      </x:c>
      <x:c r="E999" s="11" t="n">
        <x:v>0.00032383420330003333</x:v>
      </x:c>
      <x:c r="F999" s="11" t="n">
        <x:v>0.4640198647975921</x:v>
      </x:c>
      <x:c r="G999" s="13" t="n">
        <x:v>3</x:v>
      </x:c>
      <x:c r="H999" s="11" t="n">
        <x:v>0.2274747192859649</x:v>
      </x:c>
      <x:c r="I999" s="11" t="n">
        <x:v>0.3143641948699951</x:v>
      </x:c>
      <x:c r="J999" s="24" t="n">
        <x:v>138.83328186254948</x:v>
      </x:c>
      <x:c r="K999" s="24" t="n">
        <x:v>163.87496066093445</x:v>
      </x:c>
      <x:c r="L999" s="11" t="n">
        <x:v>0.789081871509552</x:v>
      </x:c>
      <x:c r="M999" s="11" t="n">
        <x:v>0.0999332070350647</x:v>
      </x:c>
    </x:row>
    <x:row r="1000" ht="22" customHeight="1">
      <x:c r="A1000" s="17" t="str">
        <x:f>"14020000"</x:f>
        <x:v>14020000</x:v>
      </x:c>
      <x:c r="B1000" s="13" t="n">
        <x:v>42</x:v>
      </x:c>
      <x:c r="C1000" s="22" t="b">
        <x:v>1</x:v>
      </x:c>
      <x:c r="D1000" s="11" t="n">
        <x:v>0.0363036307195822</x:v>
      </x:c>
      <x:c r="E1000" s="11" t="n">
        <x:v>0.0004719525459221667</x:v>
      </x:c>
      <x:c r="F1000" s="11" t="n">
        <x:v>0.4381188154220581</x:v>
      </x:c>
      <x:c r="G1000" s="13" t="n">
        <x:v>8</x:v>
      </x:c>
      <x:c r="H1000" s="11" t="n">
        <x:v>0.0559975877404212</x:v>
      </x:c>
      <x:c r="I1000" s="11" t="n">
        <x:v>0.0569139383733272</x:v>
      </x:c>
      <x:c r="J1000" s="24" t="n">
        <x:v>138.25602006632835</x:v>
      </x:c>
      <x:c r="K1000" s="24" t="n">
        <x:v>153.0107421875</x:v>
      </x:c>
      <x:c r="L1000" s="11" t="n">
        <x:v>0.5123762488365173</x:v>
      </x:c>
      <x:c r="M1000" s="11" t="n">
        <x:v>0.0999393239617347</x:v>
      </x:c>
    </x:row>
    <x:row r="1001" ht="22" customHeight="1">
      <x:c r="A1001" s="17" t="str">
        <x:f>"14020000"</x:f>
        <x:v>14020000</x:v>
      </x:c>
      <x:c r="B1001" s="13" t="n">
        <x:v>42</x:v>
      </x:c>
      <x:c r="C1001" s="22" t="b">
        <x:v>0</x:v>
      </x:c>
      <x:c r="D1001" s="11" t="n">
        <x:v>0.0388751029968261</x:v>
      </x:c>
      <x:c r="E1001" s="11" t="n">
        <x:v>0.0004115392900226667</x:v>
      </x:c>
      <x:c r="F1001" s="11" t="n">
        <x:v>0.5707195997238159</x:v>
      </x:c>
      <x:c r="G1001" s="13" t="n">
        <x:v>1</x:v>
      </x:c>
      <x:c r="H1001" s="11" t="n">
        <x:v>0.3499018251895904</x:v>
      </x:c>
      <x:c r="I1001" s="11" t="n">
        <x:v>0.4097452461719513</x:v>
      </x:c>
      <x:c r="J1001" s="24" t="n">
        <x:v>140.11669386178255</x:v>
      </x:c>
      <x:c r="K1001" s="24" t="n">
        <x:v>174.44830322265625</x:v>
      </x:c>
      <x:c r="L1001" s="11" t="n">
        <x:v>0.985111653804779</x:v>
      </x:c>
      <x:c r="M1001" s="11" t="n">
        <x:v>0.0999332070350647</x:v>
      </x:c>
    </x:row>
    <x:row r="1002" ht="22" customHeight="1">
      <x:c r="A1002" s="17" t="str">
        <x:f>"14137000"</x:f>
        <x:v>14137000</x:v>
      </x:c>
      <x:c r="B1002" s="13" t="n">
        <x:v>42</x:v>
      </x:c>
      <x:c r="C1002" s="22" t="b">
        <x:v>1</x:v>
      </x:c>
      <x:c r="D1002" s="11" t="n">
        <x:v>0.0165016502141952</x:v>
      </x:c>
      <x:c r="E1002" s="11" t="n">
        <x:v>0.0006674757266106334</x:v>
      </x:c>
      <x:c r="F1002" s="11" t="n">
        <x:v>0.2846534550189972</x:v>
      </x:c>
      <x:c r="G1002" s="13" t="n">
        <x:v>8</x:v>
      </x:c>
      <x:c r="H1002" s="11" t="n">
        <x:v>0.1713829189538955</x:v>
      </x:c>
      <x:c r="I1002" s="11" t="n">
        <x:v>0.1947322338819503</x:v>
      </x:c>
      <x:c r="J1002" s="24" t="n">
        <x:v>140.91895966231823</x:v>
      </x:c>
      <x:c r="K1002" s="24" t="n">
        <x:v>156.80566310882568</x:v>
      </x:c>
      <x:c r="L1002" s="11" t="n">
        <x:v>0.3465346395969391</x:v>
      </x:c>
      <x:c r="M1002" s="11" t="n">
        <x:v>0.0999393239617347</x:v>
      </x:c>
    </x:row>
    <x:row r="1003" ht="22" customHeight="1">
      <x:c r="A1003" s="17" t="str">
        <x:f>"14137000"</x:f>
        <x:v>14137000</x:v>
      </x:c>
      <x:c r="B1003" s="13" t="n">
        <x:v>42</x:v>
      </x:c>
      <x:c r="C1003" s="22" t="b">
        <x:v>0</x:v>
      </x:c>
      <x:c r="D1003" s="11" t="n">
        <x:v>0.0215053763240575</x:v>
      </x:c>
      <x:c r="E1003" s="11" t="n">
        <x:v>0.00039804619154886666</x:v>
      </x:c>
      <x:c r="F1003" s="11" t="n">
        <x:v>0.4913151264190674</x:v>
      </x:c>
      <x:c r="G1003" s="13" t="n">
        <x:v>5</x:v>
      </x:c>
      <x:c r="H1003" s="11" t="n">
        <x:v>0.2960747480392456</x:v>
      </x:c>
      <x:c r="I1003" s="11" t="n">
        <x:v>0.3443728983402252</x:v>
      </x:c>
      <x:c r="J1003" s="24" t="n">
        <x:v>141.3916007205844</x:v>
      </x:c>
      <x:c r="K1003" s="24" t="n">
        <x:v>162.82704758644104</x:v>
      </x:c>
      <x:c r="L1003" s="11" t="n">
        <x:v>0.6823821067810059</x:v>
      </x:c>
      <x:c r="M1003" s="11" t="n">
        <x:v>0.0999332070350647</x:v>
      </x:c>
    </x:row>
    <x:row r="1004" ht="22" customHeight="1">
      <x:c r="A1004" s="17" t="str">
        <x:f>"14138800"</x:f>
        <x:v>14138800</x:v>
      </x:c>
      <x:c r="B1004" s="13" t="n">
        <x:v>42</x:v>
      </x:c>
      <x:c r="C1004" s="22" t="b">
        <x:v>1</x:v>
      </x:c>
      <x:c r="D1004" s="11" t="n">
        <x:v>0.02227722791333987</x:v>
      </x:c>
      <x:c r="E1004" s="11" t="n">
        <x:v>0.00022249191048703335</x:v>
      </x:c>
      <x:c r="F1004" s="11" t="n">
        <x:v>0.4207920730113983</x:v>
      </x:c>
      <x:c r="G1004" s="13" t="n">
        <x:v>7</x:v>
      </x:c>
      <x:c r="H1004" s="11" t="n">
        <x:v>0.2430673539638519</x:v>
      </x:c>
      <x:c r="I1004" s="11" t="n">
        <x:v>0.2452880144119262</x:v>
      </x:c>
      <x:c r="J1004" s="24" t="n">
        <x:v>141.79023092240095</x:v>
      </x:c>
      <x:c r="K1004" s="24" t="n">
        <x:v>158.23512601852417</x:v>
      </x:c>
      <x:c r="L1004" s="11" t="n">
        <x:v>0.5198019742965698</x:v>
      </x:c>
      <x:c r="M1004" s="11" t="n">
        <x:v>0.0999393239617347</x:v>
      </x:c>
    </x:row>
    <x:row r="1005" ht="22" customHeight="1">
      <x:c r="A1005" s="17" t="str">
        <x:f>"14138800"</x:f>
        <x:v>14138800</x:v>
      </x:c>
      <x:c r="B1005" s="13" t="n">
        <x:v>42</x:v>
      </x:c>
      <x:c r="C1005" s="22" t="b">
        <x:v>0</x:v>
      </x:c>
      <x:c r="D1005" s="11" t="n">
        <x:v>0.0157154672779142</x:v>
      </x:c>
      <x:c r="E1005" s="11" t="n">
        <x:v>0.0005599632859229999</x:v>
      </x:c>
      <x:c r="F1005" s="11" t="n">
        <x:v>0.3895781636238098</x:v>
      </x:c>
      <x:c r="G1005" s="13" t="n">
        <x:v>8</x:v>
      </x:c>
      <x:c r="H1005" s="11" t="n">
        <x:v>0.4206976294517517</x:v>
      </x:c>
      <x:c r="I1005" s="11" t="n">
        <x:v>0.4587873518466949</x:v>
      </x:c>
      <x:c r="J1005" s="24" t="n">
        <x:v>139.74150864966214</x:v>
      </x:c>
      <x:c r="K1005" s="24" t="n">
        <x:v>155.0252993106842</x:v>
      </x:c>
      <x:c r="L1005" s="11" t="n">
        <x:v>0.4615384638309479</x:v>
      </x:c>
      <x:c r="M1005" s="11" t="n">
        <x:v>0.0999332070350647</x:v>
      </x:c>
    </x:row>
    <x:row r="1006" ht="22" customHeight="1">
      <x:c r="A1006" s="17" t="str">
        <x:f>"14138870"</x:f>
        <x:v>14138870</x:v>
      </x:c>
      <x:c r="B1006" s="13" t="n">
        <x:v>42</x:v>
      </x:c>
      <x:c r="C1006" s="22" t="b">
        <x:v>1</x:v>
      </x:c>
      <x:c r="D1006" s="11" t="n">
        <x:v>0.018151815670231934</x:v>
      </x:c>
      <x:c r="E1006" s="11" t="n">
        <x:v>0.0005461164982989</x:v>
      </x:c>
      <x:c r="F1006" s="11" t="n">
        <x:v>0.3589108884334564</x:v>
      </x:c>
      <x:c r="G1006" s="13" t="n">
        <x:v>9</x:v>
      </x:c>
      <x:c r="H1006" s="11" t="n">
        <x:v>0.1972714513540268</x:v>
      </x:c>
      <x:c r="I1006" s="11" t="n">
        <x:v>0.211928442120552</x:v>
      </x:c>
      <x:c r="J1006" s="24" t="n">
        <x:v>139.7985405800864</x:v>
      </x:c>
      <x:c r="K1006" s="24" t="n">
        <x:v>154.4466428756714</x:v>
      </x:c>
      <x:c r="L1006" s="11" t="n">
        <x:v>0.4084158539772033</x:v>
      </x:c>
      <x:c r="M1006" s="11" t="n">
        <x:v>0.0999393239617347</x:v>
      </x:c>
    </x:row>
    <x:row r="1007" ht="22" customHeight="1">
      <x:c r="A1007" s="17" t="str">
        <x:f>"14138870"</x:f>
        <x:v>14138870</x:v>
      </x:c>
      <x:c r="B1007" s="13" t="n">
        <x:v>42</x:v>
      </x:c>
      <x:c r="C1007" s="22" t="b">
        <x:v>0</x:v>
      </x:c>
      <x:c r="D1007" s="11" t="n">
        <x:v>0.0421836227178573</x:v>
      </x:c>
      <x:c r="E1007" s="11" t="n">
        <x:v>0.0005599633053255</x:v>
      </x:c>
      <x:c r="F1007" s="11" t="n">
        <x:v>0.4392059445381164</x:v>
      </x:c>
      <x:c r="G1007" s="13" t="n">
        <x:v>10</x:v>
      </x:c>
      <x:c r="H1007" s="11" t="n">
        <x:v>0.3085678517818451</x:v>
      </x:c>
      <x:c r="I1007" s="11" t="n">
        <x:v>0.3085678517818451</x:v>
      </x:c>
      <x:c r="J1007" s="24" t="n">
        <x:v>140.5694345375523</x:v>
      </x:c>
      <x:c r="K1007" s="24" t="n">
        <x:v>155.7759027481079</x:v>
      </x:c>
      <x:c r="L1007" s="11" t="n">
        <x:v>0.4392059445381164</x:v>
      </x:c>
      <x:c r="M1007" s="11" t="n">
        <x:v>0.0999332070350647</x:v>
      </x:c>
    </x:row>
    <x:row r="1008" ht="22" customHeight="1">
      <x:c r="A1008" s="17" t="str">
        <x:f>"14138900"</x:f>
        <x:v>14138900</x:v>
      </x:c>
      <x:c r="B1008" s="13" t="n">
        <x:v>42</x:v>
      </x:c>
      <x:c r="C1008" s="22" t="b">
        <x:v>1</x:v>
      </x:c>
      <x:c r="D1008" s="11" t="n">
        <x:v>0.023927393058935736</x:v>
      </x:c>
      <x:c r="E1008" s="11" t="n">
        <x:v>0.00038430421166893333</x:v>
      </x:c>
      <x:c r="F1008" s="11" t="n">
        <x:v>0.4207920730113983</x:v>
      </x:c>
      <x:c r="G1008" s="13" t="n">
        <x:v>7</x:v>
      </x:c>
      <x:c r="H1008" s="11" t="n">
        <x:v>0.3238068521022796</x:v>
      </x:c>
      <x:c r="I1008" s="11" t="n">
        <x:v>0.331138551235199</x:v>
      </x:c>
      <x:c r="J1008" s="24" t="n">
        <x:v>136.07046240009367</x:v>
      </x:c>
      <x:c r="K1008" s="24" t="n">
        <x:v>153.48943734169006</x:v>
      </x:c>
      <x:c r="L1008" s="11" t="n">
        <x:v>0.5272276997566223</x:v>
      </x:c>
      <x:c r="M1008" s="11" t="n">
        <x:v>0.0999393239617347</x:v>
      </x:c>
    </x:row>
    <x:row r="1009" ht="22" customHeight="1">
      <x:c r="A1009" s="17" t="str">
        <x:f>"14138900"</x:f>
        <x:v>14138900</x:v>
      </x:c>
      <x:c r="B1009" s="13" t="n">
        <x:v>42</x:v>
      </x:c>
      <x:c r="C1009" s="22" t="b">
        <x:v>0</x:v>
      </x:c>
      <x:c r="D1009" s="11" t="n">
        <x:v>0.017369727293650234</x:v>
      </x:c>
      <x:c r="E1009" s="11" t="n">
        <x:v>0.0005464702068517334</x:v>
      </x:c>
      <x:c r="F1009" s="11" t="n">
        <x:v>0.4367245733737945</x:v>
      </x:c>
      <x:c r="G1009" s="13" t="n">
        <x:v>9</x:v>
      </x:c>
      <x:c r="H1009" s="11" t="n">
        <x:v>0.4348294734954834</x:v>
      </x:c>
      <x:c r="I1009" s="11" t="n">
        <x:v>0.4411240816116333</x:v>
      </x:c>
      <x:c r="J1009" s="24" t="n">
        <x:v>139.0817041164264</x:v>
      </x:c>
      <x:c r="K1009" s="24" t="n">
        <x:v>153.66937351226807</x:v>
      </x:c>
      <x:c r="L1009" s="11" t="n">
        <x:v>0.4640198647975921</x:v>
      </x:c>
      <x:c r="M1009" s="11" t="n">
        <x:v>0.0999332070350647</x:v>
      </x:c>
    </x:row>
    <x:row r="1010" ht="22" customHeight="1">
      <x:c r="A1010" s="17" t="str">
        <x:f>"14139800"</x:f>
        <x:v>14139800</x:v>
      </x:c>
      <x:c r="B1010" s="13" t="n">
        <x:v>42</x:v>
      </x:c>
      <x:c r="C1010" s="22" t="b">
        <x:v>1</x:v>
      </x:c>
      <x:c r="D1010" s="11" t="n">
        <x:v>0.029702971378962134</x:v>
      </x:c>
      <x:c r="E1010" s="11" t="n">
        <x:v>0.0005393743243378666</x:v>
      </x:c>
      <x:c r="F1010" s="11" t="n">
        <x:v>0.3638613820075989</x:v>
      </x:c>
      <x:c r="G1010" s="13" t="n">
        <x:v>7</x:v>
      </x:c>
      <x:c r="H1010" s="11" t="n">
        <x:v>0.252583384513855</x:v>
      </x:c>
      <x:c r="I1010" s="11" t="n">
        <x:v>0.2786126434803009</x:v>
      </x:c>
      <x:c r="J1010" s="24" t="n">
        <x:v>135.97063426766545</x:v>
      </x:c>
      <x:c r="K1010" s="24" t="n">
        <x:v>151.10856461524963</x:v>
      </x:c>
      <x:c r="L1010" s="11" t="n">
        <x:v>0.5074257254600525</x:v>
      </x:c>
      <x:c r="M1010" s="11" t="n">
        <x:v>0.0999393239617347</x:v>
      </x:c>
    </x:row>
    <x:row r="1011" ht="22" customHeight="1">
      <x:c r="A1011" s="17" t="str">
        <x:f>"14139800"</x:f>
        <x:v>14139800</x:v>
      </x:c>
      <x:c r="B1011" s="13" t="n">
        <x:v>42</x:v>
      </x:c>
      <x:c r="C1011" s="22" t="b">
        <x:v>0</x:v>
      </x:c>
      <x:c r="D1011" s="11" t="n">
        <x:v>0.030603804315129834</x:v>
      </x:c>
      <x:c r="E1011" s="11" t="n">
        <x:v>0.0006881476729176335</x:v>
      </x:c>
      <x:c r="F1011" s="11" t="n">
        <x:v>0.4243176281452179</x:v>
      </x:c>
      <x:c r="G1011" s="13" t="n">
        <x:v>10</x:v>
      </x:c>
      <x:c r="H1011" s="11" t="n">
        <x:v>0.3377093970775604</x:v>
      </x:c>
      <x:c r="I1011" s="11" t="n">
        <x:v>0.3377093970775604</x:v>
      </x:c>
      <x:c r="J1011" s="24" t="n">
        <x:v>137.43065176345408</x:v>
      </x:c>
      <x:c r="K1011" s="24" t="n">
        <x:v>152.42408847808838</x:v>
      </x:c>
      <x:c r="L1011" s="11" t="n">
        <x:v>0.4243176281452179</x:v>
      </x:c>
      <x:c r="M1011" s="11" t="n">
        <x:v>0.0999332070350647</x:v>
      </x:c>
    </x:row>
    <x:row r="1012" ht="22" customHeight="1">
      <x:c r="A1012" s="17" t="str">
        <x:f>"14141500"</x:f>
        <x:v>14141500</x:v>
      </x:c>
      <x:c r="B1012" s="13" t="n">
        <x:v>42</x:v>
      </x:c>
      <x:c r="C1012" s="22" t="b">
        <x:v>1</x:v>
      </x:c>
      <x:c r="D1012" s="11" t="n">
        <x:v>0.030528052399555833</x:v>
      </x:c>
      <x:c r="E1012" s="11" t="n">
        <x:v>0.00020226536435073334</x:v>
      </x:c>
      <x:c r="F1012" s="11" t="n">
        <x:v>0.4034653604030609</x:v>
      </x:c>
      <x:c r="G1012" s="13" t="n">
        <x:v>4</x:v>
      </x:c>
      <x:c r="H1012" s="11" t="n">
        <x:v>0.2041026055812835</x:v>
      </x:c>
      <x:c r="I1012" s="11" t="n">
        <x:v>0.4116763472557068</x:v>
      </x:c>
      <x:c r="J1012" s="24" t="n">
        <x:v>138.99696089327335</x:v>
      </x:c>
      <x:c r="K1012" s="24" t="n">
        <x:v>154.3814582824707</x:v>
      </x:c>
      <x:c r="L1012" s="11" t="n">
        <x:v>0.7202970385551453</x:v>
      </x:c>
      <x:c r="M1012" s="11" t="n">
        <x:v>0.0999393239617347</x:v>
      </x:c>
    </x:row>
    <x:row r="1013" ht="22" customHeight="1">
      <x:c r="A1013" s="17" t="str">
        <x:f>"14141500"</x:f>
        <x:v>14141500</x:v>
      </x:c>
      <x:c r="B1013" s="13" t="n">
        <x:v>42</x:v>
      </x:c>
      <x:c r="C1013" s="22" t="b">
        <x:v>0</x:v>
      </x:c>
      <x:c r="D1013" s="11" t="n">
        <x:v>0.029776675005753764</x:v>
      </x:c>
      <x:c r="E1013" s="11" t="n">
        <x:v>0.0005532167657898667</x:v>
      </x:c>
      <x:c r="F1013" s="11" t="n">
        <x:v>0.4243176281452179</x:v>
      </x:c>
      <x:c r="G1013" s="13" t="n">
        <x:v>10</x:v>
      </x:c>
      <x:c r="H1013" s="11" t="n">
        <x:v>0.3107534945011139</x:v>
      </x:c>
      <x:c r="I1013" s="11" t="n">
        <x:v>0.3107534945011139</x:v>
      </x:c>
      <x:c r="J1013" s="24" t="n">
        <x:v>137.6683312319219</x:v>
      </x:c>
      <x:c r="K1013" s="24" t="n">
        <x:v>150.82085847854614</x:v>
      </x:c>
      <x:c r="L1013" s="11" t="n">
        <x:v>0.4243176281452179</x:v>
      </x:c>
      <x:c r="M1013" s="11" t="n">
        <x:v>0.0999332070350647</x:v>
      </x:c>
    </x:row>
    <x:row r="1014" ht="22" customHeight="1">
      <x:c r="A1014" s="17" t="str">
        <x:f>"14154500"</x:f>
        <x:v>14154500</x:v>
      </x:c>
      <x:c r="B1014" s="13" t="n">
        <x:v>42</x:v>
      </x:c>
      <x:c r="C1014" s="22" t="b">
        <x:v>1</x:v>
      </x:c>
      <x:c r="D1014" s="11" t="n">
        <x:v>0.030528053020437502</x:v>
      </x:c>
      <x:c r="E1014" s="11" t="n">
        <x:v>0.0004045307481040333</x:v>
      </x:c>
      <x:c r="F1014" s="11" t="n">
        <x:v>0.3415841460227966</x:v>
      </x:c>
      <x:c r="G1014" s="13" t="n">
        <x:v>4</x:v>
      </x:c>
      <x:c r="H1014" s="11" t="n">
        <x:v>0.1935183256864547</x:v>
      </x:c>
      <x:c r="I1014" s="11" t="n">
        <x:v>0.2077965289354324</x:v>
      </x:c>
      <x:c r="J1014" s="24" t="n">
        <x:v>140.14989291131496</x:v>
      </x:c>
      <x:c r="K1014" s="24" t="n">
        <x:v>155.99991989135742</x:v>
      </x:c>
      <x:c r="L1014" s="11" t="n">
        <x:v>0.6212871074676514</x:v>
      </x:c>
      <x:c r="M1014" s="11" t="n">
        <x:v>0.0999393239617347</x:v>
      </x:c>
    </x:row>
    <x:row r="1015" ht="22" customHeight="1">
      <x:c r="A1015" s="17" t="str">
        <x:f>"14154500"</x:f>
        <x:v>14154500</x:v>
      </x:c>
      <x:c r="B1015" s="13" t="n">
        <x:v>42</x:v>
      </x:c>
      <x:c r="C1015" s="22" t="b">
        <x:v>0</x:v>
      </x:c>
      <x:c r="D1015" s="11" t="n">
        <x:v>0.041356493408481236</x:v>
      </x:c>
      <x:c r="E1015" s="11" t="n">
        <x:v>0.0003305807428356333</x:v>
      </x:c>
      <x:c r="F1015" s="11" t="n">
        <x:v>0.4913151264190674</x:v>
      </x:c>
      <x:c r="G1015" s="13" t="n">
        <x:v>7</x:v>
      </x:c>
      <x:c r="H1015" s="11" t="n">
        <x:v>0.2084339261054992</x:v>
      </x:c>
      <x:c r="I1015" s="11" t="n">
        <x:v>0.220363900065422</x:v>
      </x:c>
      <x:c r="J1015" s="24" t="n">
        <x:v>134.09840937145054</x:v>
      </x:c>
      <x:c r="K1015" s="24" t="n">
        <x:v>150.98985624313354</x:v>
      </x:c>
      <x:c r="L1015" s="11" t="n">
        <x:v>0.578163743019104</x:v>
      </x:c>
      <x:c r="M1015" s="11" t="n">
        <x:v>0.0999332070350647</x:v>
      </x:c>
    </x:row>
    <x:row r="1016" ht="22" customHeight="1">
      <x:c r="A1016" s="17" t="str">
        <x:f>"14158500"</x:f>
        <x:v>14158500</x:v>
      </x:c>
      <x:c r="B1016" s="13" t="n">
        <x:v>42</x:v>
      </x:c>
      <x:c r="C1016" s="22" t="b">
        <x:v>1</x:v>
      </x:c>
      <x:c r="D1016" s="11" t="n">
        <x:v>0.014026402651021834</x:v>
      </x:c>
      <x:c r="E1016" s="11" t="n">
        <x:v>0.0006674757266106334</x:v>
      </x:c>
      <x:c r="F1016" s="11" t="n">
        <x:v>0.292079210281372</x:v>
      </x:c>
      <x:c r="G1016" s="13" t="n">
        <x:v>7</x:v>
      </x:c>
      <x:c r="H1016" s="11" t="n">
        <x:v>0.0138307912275195</x:v>
      </x:c>
      <x:c r="I1016" s="11" t="n">
        <x:v>0.015880849212408</x:v>
      </x:c>
      <x:c r="J1016" s="24" t="n">
        <x:v>136.4040674418211</x:v>
      </x:c>
      <x:c r="K1016" s="24" t="n">
        <x:v>147.44465374946594</x:v>
      </x:c>
      <x:c r="L1016" s="11" t="n">
        <x:v>0.3861386179924011</x:v>
      </x:c>
      <x:c r="M1016" s="11" t="n">
        <x:v>0.0999393239617347</x:v>
      </x:c>
    </x:row>
    <x:row r="1017" ht="22" customHeight="1">
      <x:c r="A1017" s="17" t="str">
        <x:f>"14158500"</x:f>
        <x:v>14158500</x:v>
      </x:c>
      <x:c r="B1017" s="13" t="n">
        <x:v>42</x:v>
      </x:c>
      <x:c r="C1017" s="22" t="b">
        <x:v>0</x:v>
      </x:c>
      <x:c r="D1017" s="11" t="n">
        <x:v>0.03225806417564543</x:v>
      </x:c>
      <x:c r="E1017" s="11" t="n">
        <x:v>0.00043852547726900003</x:v>
      </x:c>
      <x:c r="F1017" s="11" t="n">
        <x:v>0.4789081811904907</x:v>
      </x:c>
      <x:c r="G1017" s="13" t="n">
        <x:v>9</x:v>
      </x:c>
      <x:c r="H1017" s="11" t="n">
        <x:v>0.4262730777263641</x:v>
      </x:c>
      <x:c r="I1017" s="11" t="n">
        <x:v>0.5371965169906616</x:v>
      </x:c>
      <x:c r="J1017" s="24" t="n">
        <x:v>139.56198809482157</x:v>
      </x:c>
      <x:c r="K1017" s="24" t="n">
        <x:v>162.976003408432</x:v>
      </x:c>
      <x:c r="L1017" s="11" t="n">
        <x:v>0.4913151264190674</x:v>
      </x:c>
      <x:c r="M1017" s="11" t="n">
        <x:v>0.0999332070350647</x:v>
      </x:c>
    </x:row>
    <x:row r="1018" ht="22" customHeight="1">
      <x:c r="A1018" s="17" t="str">
        <x:f>"14158790"</x:f>
        <x:v>14158790</x:v>
      </x:c>
      <x:c r="B1018" s="13" t="n">
        <x:v>42</x:v>
      </x:c>
      <x:c r="C1018" s="22" t="b">
        <x:v>1</x:v>
      </x:c>
      <x:c r="D1018" s="11" t="n">
        <x:v>0.041254125535488066</x:v>
      </x:c>
      <x:c r="E1018" s="11" t="n">
        <x:v>0.0003843042068183</x:v>
      </x:c>
      <x:c r="F1018" s="11" t="n">
        <x:v>0.4900990128517151</x:v>
      </x:c>
      <x:c r="G1018" s="13" t="n">
        <x:v>3</x:v>
      </x:c>
      <x:c r="H1018" s="11" t="n">
        <x:v>0.1638330519199371</x:v>
      </x:c>
      <x:c r="I1018" s="11" t="n">
        <x:v>0.1854697316884994</x:v>
      </x:c>
      <x:c r="J1018" s="24" t="n">
        <x:v>138.49511500261724</x:v>
      </x:c>
      <x:c r="K1018" s="24" t="n">
        <x:v>169.18375253677368</x:v>
      </x:c>
      <x:c r="L1018" s="11" t="n">
        <x:v>0.8044554591178894</x:v>
      </x:c>
      <x:c r="M1018" s="11" t="n">
        <x:v>0.0999393239617347</x:v>
      </x:c>
    </x:row>
    <x:row r="1019" ht="22" customHeight="1">
      <x:c r="A1019" s="17" t="str">
        <x:f>"14158790"</x:f>
        <x:v>14158790</x:v>
      </x:c>
      <x:c r="B1019" s="13" t="n">
        <x:v>42</x:v>
      </x:c>
      <x:c r="C1019" s="22" t="b">
        <x:v>0</x:v>
      </x:c>
      <x:c r="D1019" s="11" t="n">
        <x:v>0.03473945396641883</x:v>
      </x:c>
      <x:c r="E1019" s="11" t="n">
        <x:v>0.0002631152795705</x:v>
      </x:c>
      <x:c r="F1019" s="11" t="n">
        <x:v>0.5012406706809998</x:v>
      </x:c>
      <x:c r="G1019" s="13" t="n">
        <x:v>3</x:v>
      </x:c>
      <x:c r="H1019" s="11" t="n">
        <x:v>0.3836725950241089</x:v>
      </x:c>
      <x:c r="I1019" s="11" t="n">
        <x:v>0.4314884543418884</x:v>
      </x:c>
      <x:c r="J1019" s="24" t="n">
        <x:v>136.06438734661788</x:v>
      </x:c>
      <x:c r="K1019" s="24" t="n">
        <x:v>164.94329452514648</x:v>
      </x:c>
      <x:c r="L1019" s="11" t="n">
        <x:v>0.7965260744094849</x:v>
      </x:c>
      <x:c r="M1019" s="11" t="n">
        <x:v>0.0999332070350647</x:v>
      </x:c>
    </x:row>
    <x:row r="1020" ht="22" customHeight="1">
      <x:c r="A1020" s="17" t="str">
        <x:f>"14166500"</x:f>
        <x:v>14166500</x:v>
      </x:c>
      <x:c r="B1020" s="13" t="n">
        <x:v>42</x:v>
      </x:c>
      <x:c r="C1020" s="22" t="b">
        <x:v>1</x:v>
      </x:c>
      <x:c r="D1020" s="11" t="n">
        <x:v>0.017326732786993135</x:v>
      </x:c>
      <x:c r="E1020" s="11" t="n">
        <x:v>0.00035733550127280004</x:v>
      </x:c>
      <x:c r="F1020" s="11" t="n">
        <x:v>0.4183168411254883</x:v>
      </x:c>
      <x:c r="G1020" s="13" t="n">
        <x:v>6</x:v>
      </x:c>
      <x:c r="H1020" s="11" t="n">
        <x:v>0.0819777399301529</x:v>
      </x:c>
      <x:c r="I1020" s="11" t="n">
        <x:v>0.0926000699400901</x:v>
      </x:c>
      <x:c r="J1020" s="24" t="n">
        <x:v>136.48864073492587</x:v>
      </x:c>
      <x:c r="K1020" s="24" t="n">
        <x:v>156.51040649414062</x:v>
      </x:c>
      <x:c r="L1020" s="11" t="n">
        <x:v>0.5866336822509766</x:v>
      </x:c>
      <x:c r="M1020" s="11" t="n">
        <x:v>0.0999393239617347</x:v>
      </x:c>
    </x:row>
    <x:row r="1021" ht="22" customHeight="1">
      <x:c r="A1021" s="17" t="str">
        <x:f>"14166500"</x:f>
        <x:v>14166500</x:v>
      </x:c>
      <x:c r="B1021" s="13" t="n">
        <x:v>42</x:v>
      </x:c>
      <x:c r="C1021" s="22" t="b">
        <x:v>0</x:v>
      </x:c>
      <x:c r="D1021" s="11" t="n">
        <x:v>0.025641025354464764</x:v>
      </x:c>
      <x:c r="E1021" s="11" t="n">
        <x:v>0.0004924978323590667</x:v>
      </x:c>
      <x:c r="F1021" s="11" t="n">
        <x:v>0.4416873455047607</x:v>
      </x:c>
      <x:c r="G1021" s="13" t="n">
        <x:v>9</x:v>
      </x:c>
      <x:c r="H1021" s="11" t="n">
        <x:v>0.1541282683610916</x:v>
      </x:c>
      <x:c r="I1021" s="11" t="n">
        <x:v>1.0009658336639404</x:v>
      </x:c>
      <x:c r="J1021" s="24" t="n">
        <x:v>140.02026827912778</x:v>
      </x:c>
      <x:c r="K1021" s="24" t="n">
        <x:v>159.64844918251038</x:v>
      </x:c>
      <x:c r="L1021" s="11" t="n">
        <x:v>0.4689826369285583</x:v>
      </x:c>
      <x:c r="M1021" s="11" t="n">
        <x:v>0.0999332070350647</x:v>
      </x:c>
    </x:row>
    <x:row r="1022" ht="22" customHeight="1">
      <x:c r="A1022" s="17" t="str">
        <x:f>"14182500"</x:f>
        <x:v>14182500</x:v>
      </x:c>
      <x:c r="B1022" s="13" t="n">
        <x:v>42</x:v>
      </x:c>
      <x:c r="C1022" s="22" t="b">
        <x:v>1</x:v>
      </x:c>
      <x:c r="D1022" s="11" t="n">
        <x:v>0.03712871360282097</x:v>
      </x:c>
      <x:c r="E1022" s="11" t="n">
        <x:v>0.0004180151057273667</x:v>
      </x:c>
      <x:c r="F1022" s="11" t="n">
        <x:v>0.4356435537338257</x:v>
      </x:c>
      <x:c r="G1022" s="13" t="n">
        <x:v>3</x:v>
      </x:c>
      <x:c r="H1022" s="11" t="n">
        <x:v>0.2597188949584961</x:v>
      </x:c>
      <x:c r="I1022" s="11" t="n">
        <x:v>0.2658134996891022</x:v>
      </x:c>
      <x:c r="J1022" s="24" t="n">
        <x:v>138.32666426245123</x:v>
      </x:c>
      <x:c r="K1022" s="24" t="n">
        <x:v>156.76216530799866</x:v>
      </x:c>
      <x:c r="L1022" s="11" t="n">
        <x:v>0.8267326951026917</x:v>
      </x:c>
      <x:c r="M1022" s="11" t="n">
        <x:v>0.0999393239617347</x:v>
      </x:c>
    </x:row>
    <x:row r="1023" ht="22" customHeight="1">
      <x:c r="A1023" s="17" t="str">
        <x:f>"14182500"</x:f>
        <x:v>14182500</x:v>
      </x:c>
      <x:c r="B1023" s="13" t="n">
        <x:v>42</x:v>
      </x:c>
      <x:c r="C1023" s="22" t="b">
        <x:v>0</x:v>
      </x:c>
      <x:c r="D1023" s="11" t="n">
        <x:v>0.03639371444781617</x:v>
      </x:c>
      <x:c r="E1023" s="11" t="n">
        <x:v>0.0007016407713914333</x:v>
      </x:c>
      <x:c r="F1023" s="11" t="n">
        <x:v>0.4491315186023712</x:v>
      </x:c>
      <x:c r="G1023" s="13" t="n">
        <x:v>5</x:v>
      </x:c>
      <x:c r="H1023" s="11" t="n">
        <x:v>0.308245986700058</x:v>
      </x:c>
      <x:c r="I1023" s="11" t="n">
        <x:v>0.3289772570133209</x:v>
      </x:c>
      <x:c r="J1023" s="24" t="n">
        <x:v>138.7387971431017</x:v>
      </x:c>
      <x:c r="K1023" s="24" t="n">
        <x:v>159.62382817268372</x:v>
      </x:c>
      <x:c r="L1023" s="11" t="n">
        <x:v>0.6501240730285645</x:v>
      </x:c>
      <x:c r="M1023" s="11" t="n">
        <x:v>0.0999332070350647</x:v>
      </x:c>
    </x:row>
    <x:row r="1024" ht="22" customHeight="1">
      <x:c r="A1024" s="17" t="str">
        <x:f>"14185000"</x:f>
        <x:v>14185000</x:v>
      </x:c>
      <x:c r="B1024" s="13" t="n">
        <x:v>42</x:v>
      </x:c>
      <x:c r="C1024" s="22" t="b">
        <x:v>1</x:v>
      </x:c>
      <x:c r="D1024" s="11" t="n">
        <x:v>0.041254125535488066</x:v>
      </x:c>
      <x:c r="E1024" s="11" t="n">
        <x:v>0.00028317152464289996</x:v>
      </x:c>
      <x:c r="F1024" s="11" t="n">
        <x:v>0.4282178282737732</x:v>
      </x:c>
      <x:c r="G1024" s="13" t="n">
        <x:v>7</x:v>
      </x:c>
      <x:c r="H1024" s="11" t="n">
        <x:v>0.1377393454313278</x:v>
      </x:c>
      <x:c r="I1024" s="11" t="n">
        <x:v>0.1500949710607528</x:v>
      </x:c>
      <x:c r="J1024" s="24" t="n">
        <x:v>135.88566806167364</x:v>
      </x:c>
      <x:c r="K1024" s="24" t="n">
        <x:v>156.05186247825623</x:v>
      </x:c>
      <x:c r="L1024" s="11" t="n">
        <x:v>0.551980197429657</x:v>
      </x:c>
      <x:c r="M1024" s="11" t="n">
        <x:v>0.0999393239617347</x:v>
      </x:c>
    </x:row>
    <x:row r="1025" ht="22" customHeight="1">
      <x:c r="A1025" s="17" t="str">
        <x:f>"14185000"</x:f>
        <x:v>14185000</x:v>
      </x:c>
      <x:c r="B1025" s="13" t="n">
        <x:v>42</x:v>
      </x:c>
      <x:c r="C1025" s="22" t="b">
        <x:v>0</x:v>
      </x:c>
      <x:c r="D1025" s="11" t="n">
        <x:v>0.029776674384872037</x:v>
      </x:c>
      <x:c r="E1025" s="11" t="n">
        <x:v>0.00037106002370510005</x:v>
      </x:c>
      <x:c r="F1025" s="11" t="n">
        <x:v>0.4540942907333374</x:v>
      </x:c>
      <x:c r="G1025" s="13" t="n">
        <x:v>10</x:v>
      </x:c>
      <x:c r="H1025" s="11" t="n">
        <x:v>0.2101319134235382</x:v>
      </x:c>
      <x:c r="I1025" s="11" t="n">
        <x:v>0.2101319134235382</x:v>
      </x:c>
      <x:c r="J1025" s="24" t="n">
        <x:v>140.33392160385847</x:v>
      </x:c>
      <x:c r="K1025" s="24" t="n">
        <x:v>155.9900631904602</x:v>
      </x:c>
      <x:c r="L1025" s="11" t="n">
        <x:v>0.4540942907333374</x:v>
      </x:c>
      <x:c r="M1025" s="11" t="n">
        <x:v>0.0999332070350647</x:v>
      </x:c>
    </x:row>
    <x:row r="1026" ht="22" customHeight="1">
      <x:c r="A1026" s="17" t="str">
        <x:f>"14185900"</x:f>
        <x:v>14185900</x:v>
      </x:c>
      <x:c r="B1026" s="13" t="n">
        <x:v>42</x:v>
      </x:c>
      <x:c r="C1026" s="22" t="b">
        <x:v>1</x:v>
      </x:c>
      <x:c r="D1026" s="11" t="n">
        <x:v>0.032178217545151634</x:v>
      </x:c>
      <x:c r="E1026" s="11" t="n">
        <x:v>0.0003371089502858</x:v>
      </x:c>
      <x:c r="F1026" s="11" t="n">
        <x:v>0.4504950642585754</x:v>
      </x:c>
      <x:c r="G1026" s="13" t="n">
        <x:v>3</x:v>
      </x:c>
      <x:c r="H1026" s="11" t="n">
        <x:v>0.1842184662818908</x:v>
      </x:c>
      <x:c r="I1026" s="11" t="n">
        <x:v>0.20359867811203</x:v>
      </x:c>
      <x:c r="J1026" s="24" t="n">
        <x:v>141.12984837591648</x:v>
      </x:c>
      <x:c r="K1026" s="24" t="n">
        <x:v>159.7199194431305</x:v>
      </x:c>
      <x:c r="L1026" s="11" t="n">
        <x:v>0.801980197429657</x:v>
      </x:c>
      <x:c r="M1026" s="11" t="n">
        <x:v>0.0999393239617347</x:v>
      </x:c>
    </x:row>
    <x:row r="1027" ht="22" customHeight="1">
      <x:c r="A1027" s="17" t="str">
        <x:f>"14185900"</x:f>
        <x:v>14185900</x:v>
      </x:c>
      <x:c r="B1027" s="13" t="n">
        <x:v>42</x:v>
      </x:c>
      <x:c r="C1027" s="22" t="b">
        <x:v>0</x:v>
      </x:c>
      <x:c r="D1027" s="11" t="n">
        <x:v>0.03391232465704277</x:v>
      </x:c>
      <x:c r="E1027" s="11" t="n">
        <x:v>0.00037106001400383335</x:v>
      </x:c>
      <x:c r="F1027" s="11" t="n">
        <x:v>0.4416873455047607</x:v>
      </x:c>
      <x:c r="G1027" s="13" t="n">
        <x:v>9</x:v>
      </x:c>
      <x:c r="H1027" s="11" t="n">
        <x:v>0.2423697113990783</x:v>
      </x:c>
      <x:c r="I1027" s="11" t="n">
        <x:v>0.2668504118919372</x:v>
      </x:c>
      <x:c r="J1027" s="24" t="n">
        <x:v>141.74441780522466</x:v>
      </x:c>
      <x:c r="K1027" s="24" t="n">
        <x:v>156.12806749343872</x:v>
      </x:c>
      <x:c r="L1027" s="11" t="n">
        <x:v>0.481389582157135</x:v>
      </x:c>
      <x:c r="M1027" s="11" t="n">
        <x:v>0.0999332070350647</x:v>
      </x:c>
    </x:row>
    <x:row r="1028" ht="22" customHeight="1">
      <x:c r="A1028" s="17" t="str">
        <x:f>"14222500"</x:f>
        <x:v>14222500</x:v>
      </x:c>
      <x:c r="B1028" s="13" t="n">
        <x:v>42</x:v>
      </x:c>
      <x:c r="C1028" s="22" t="b">
        <x:v>1</x:v>
      </x:c>
      <x:c r="D1028" s="11" t="n">
        <x:v>0.0264026404668887</x:v>
      </x:c>
      <x:c r="E1028" s="11" t="n">
        <x:v>0.0005663430298833666</x:v>
      </x:c>
      <x:c r="F1028" s="11" t="n">
        <x:v>0.4084158539772033</x:v>
      </x:c>
      <x:c r="G1028" s="13" t="n">
        <x:v>3</x:v>
      </x:c>
      <x:c r="H1028" s="11" t="n">
        <x:v>0.1744665801525116</x:v>
      </x:c>
      <x:c r="I1028" s="11" t="n">
        <x:v>0.1935537457466125</x:v>
      </x:c>
      <x:c r="J1028" s="24" t="n">
        <x:v>144.79095915611833</x:v>
      </x:c>
      <x:c r="K1028" s="24" t="n">
        <x:v>164.96336555480957</x:v>
      </x:c>
      <x:c r="L1028" s="11" t="n">
        <x:v>0.7772276997566223</x:v>
      </x:c>
      <x:c r="M1028" s="11" t="n">
        <x:v>0.0999393239617347</x:v>
      </x:c>
    </x:row>
    <x:row r="1029" ht="22" customHeight="1">
      <x:c r="A1029" s="17" t="str">
        <x:f>"14222500"</x:f>
        <x:v>14222500</x:v>
      </x:c>
      <x:c r="B1029" s="13" t="n">
        <x:v>42</x:v>
      </x:c>
      <x:c r="C1029" s="22" t="b">
        <x:v>0</x:v>
      </x:c>
      <x:c r="D1029" s="11" t="n">
        <x:v>0.0272952858358621</x:v>
      </x:c>
      <x:c r="E1029" s="11" t="n">
        <x:v>0.00034407383160819997</x:v>
      </x:c>
      <x:c r="F1029" s="11" t="n">
        <x:v>0.4590570628643036</x:v>
      </x:c>
      <x:c r="G1029" s="13" t="n">
        <x:v>1</x:v>
      </x:c>
      <x:c r="H1029" s="11" t="n">
        <x:v>0.2064686268568039</x:v>
      </x:c>
      <x:c r="I1029" s="11" t="n">
        <x:v>0.231093019247055</x:v>
      </x:c>
      <x:c r="J1029" s="24" t="n">
        <x:v>139.79124989081174</x:v>
      </x:c>
      <x:c r="K1029" s="24" t="n">
        <x:v>163.60871148109436</x:v>
      </x:c>
      <x:c r="L1029" s="11" t="n">
        <x:v>0.9602977633476256</x:v>
      </x:c>
      <x:c r="M1029" s="11" t="n">
        <x:v>0.0999332070350647</x:v>
      </x:c>
    </x:row>
    <x:row r="1030" ht="22" customHeight="1">
      <x:c r="A1030" s="17" t="str">
        <x:f>"14236200"</x:f>
        <x:v>14236200</x:v>
      </x:c>
      <x:c r="B1030" s="13" t="n">
        <x:v>42</x:v>
      </x:c>
      <x:c r="C1030" s="22" t="b">
        <x:v>1</x:v>
      </x:c>
      <x:c r="D1030" s="11" t="n">
        <x:v>0.0305280530204375</x:v>
      </x:c>
      <x:c r="E1030" s="11" t="n">
        <x:v>0.0004921790678053666</x:v>
      </x:c>
      <x:c r="F1030" s="11" t="n">
        <x:v>0.3811881244182586</x:v>
      </x:c>
      <x:c r="G1030" s="13" t="n">
        <x:v>10</x:v>
      </x:c>
      <x:c r="H1030" s="11" t="n">
        <x:v>0.3616885542869568</x:v>
      </x:c>
      <x:c r="I1030" s="11" t="n">
        <x:v>0.3616885542869568</x:v>
      </x:c>
      <x:c r="J1030" s="24" t="n">
        <x:v>142.5370954601094</x:v>
      </x:c>
      <x:c r="K1030" s="24" t="n">
        <x:v>154.91585159301758</x:v>
      </x:c>
      <x:c r="L1030" s="11" t="n">
        <x:v>0.3811881244182586</x:v>
      </x:c>
      <x:c r="M1030" s="11" t="n">
        <x:v>0.0999393239617347</x:v>
      </x:c>
    </x:row>
    <x:row r="1031" ht="22" customHeight="1">
      <x:c r="A1031" s="17" t="str">
        <x:f>"14236200"</x:f>
        <x:v>14236200</x:v>
      </x:c>
      <x:c r="B1031" s="13" t="n">
        <x:v>42</x:v>
      </x:c>
      <x:c r="C1031" s="22" t="b">
        <x:v>0</x:v>
      </x:c>
      <x:c r="D1031" s="11" t="n">
        <x:v>0.025641025044023897</x:v>
      </x:c>
      <x:c r="E1031" s="11" t="n">
        <x:v>0.0003980462012501667</x:v>
      </x:c>
      <x:c r="F1031" s="11" t="n">
        <x:v>0.4342431724071502</x:v>
      </x:c>
      <x:c r="G1031" s="13" t="n">
        <x:v>10</x:v>
      </x:c>
      <x:c r="H1031" s="11" t="n">
        <x:v>0.4559506773948669</x:v>
      </x:c>
      <x:c r="I1031" s="11" t="n">
        <x:v>0.4559506773948669</x:v>
      </x:c>
      <x:c r="J1031" s="24" t="n">
        <x:v>142.07657396700233</x:v>
      </x:c>
      <x:c r="K1031" s="24" t="n">
        <x:v>158.59841442108154</x:v>
      </x:c>
      <x:c r="L1031" s="11" t="n">
        <x:v>0.4342431724071502</x:v>
      </x:c>
      <x:c r="M1031" s="11" t="n">
        <x:v>0.0999332070350647</x:v>
      </x:c>
    </x:row>
    <x:row r="1032" ht="22" customHeight="1">
      <x:c r="A1032" s="17" t="str">
        <x:f>"14301000"</x:f>
        <x:v>14301000</x:v>
      </x:c>
      <x:c r="B1032" s="13" t="n">
        <x:v>42</x:v>
      </x:c>
      <x:c r="C1032" s="22" t="b">
        <x:v>1</x:v>
      </x:c>
      <x:c r="D1032" s="11" t="n">
        <x:v>0.022277227292458165</x:v>
      </x:c>
      <x:c r="E1032" s="11" t="n">
        <x:v>0.0005865695808703334</x:v>
      </x:c>
      <x:c r="F1032" s="11" t="n">
        <x:v>0.3787128627300262</x:v>
      </x:c>
      <x:c r="G1032" s="13" t="n">
        <x:v>8</x:v>
      </x:c>
      <x:c r="H1032" s="11" t="n">
        <x:v>0.0923066586256027</x:v>
      </x:c>
      <x:c r="I1032" s="11" t="n">
        <x:v>0.0948052257299423</x:v>
      </x:c>
      <x:c r="J1032" s="24" t="n">
        <x:v>136.9370527593419</x:v>
      </x:c>
      <x:c r="K1032" s="24" t="n">
        <x:v>149.33568692207336</x:v>
      </x:c>
      <x:c r="L1032" s="11" t="n">
        <x:v>0.4009900987148285</x:v>
      </x:c>
      <x:c r="M1032" s="11" t="n">
        <x:v>0.0999393239617347</x:v>
      </x:c>
    </x:row>
    <x:row r="1033" ht="22" customHeight="1">
      <x:c r="A1033" s="17" t="str">
        <x:f>"14301000"</x:f>
        <x:v>14301000</x:v>
      </x:c>
      <x:c r="B1033" s="13" t="n">
        <x:v>42</x:v>
      </x:c>
      <x:c r="C1033" s="22" t="b">
        <x:v>0</x:v>
      </x:c>
      <x:c r="D1033" s="11" t="n">
        <x:v>0.02977667438487203</x:v>
      </x:c>
      <x:c r="E1033" s="11" t="n">
        <x:v>0.0003508203759944333</x:v>
      </x:c>
      <x:c r="F1033" s="11" t="n">
        <x:v>0.357320100069046</x:v>
      </x:c>
      <x:c r="G1033" s="13" t="n">
        <x:v>2</x:v>
      </x:c>
      <x:c r="H1033" s="11" t="n">
        <x:v>0.1111702546477317</x:v>
      </x:c>
      <x:c r="I1033" s="11" t="n">
        <x:v>0.130112737417221</x:v>
      </x:c>
      <x:c r="J1033" s="24" t="n">
        <x:v>135.98849425651133</x:v>
      </x:c>
      <x:c r="K1033" s="24" t="n">
        <x:v>154.46096205711365</x:v>
      </x:c>
      <x:c r="L1033" s="11" t="n">
        <x:v>0.8287841081619263</x:v>
      </x:c>
      <x:c r="M1033" s="11" t="n">
        <x:v>0.0999332070350647</x:v>
      </x:c>
    </x:row>
    <x:row r="1034" ht="22" customHeight="1">
      <x:c r="A1034" s="17" t="str">
        <x:f>"14305500"</x:f>
        <x:v>14305500</x:v>
      </x:c>
      <x:c r="B1034" s="13" t="n">
        <x:v>42</x:v>
      </x:c>
      <x:c r="C1034" s="22" t="b">
        <x:v>1</x:v>
      </x:c>
      <x:c r="D1034" s="11" t="n">
        <x:v>0.02557755820453163</x:v>
      </x:c>
      <x:c r="E1034" s="11" t="n">
        <x:v>0.00047869472958453335</x:v>
      </x:c>
      <x:c r="F1034" s="11" t="n">
        <x:v>0.3886138498783111</x:v>
      </x:c>
      <x:c r="G1034" s="13" t="n">
        <x:v>1</x:v>
      </x:c>
      <x:c r="H1034" s="11" t="n">
        <x:v>0.2175295799970626</x:v>
      </x:c>
      <x:c r="I1034" s="11" t="n">
        <x:v>0.2278984934091568</x:v>
      </x:c>
      <x:c r="J1034" s="24" t="n">
        <x:v>138.0023636939004</x:v>
      </x:c>
      <x:c r="K1034" s="24" t="n">
        <x:v>160.11653447151184</x:v>
      </x:c>
      <x:c r="L1034" s="11" t="n">
        <x:v>0.9554455280303956</x:v>
      </x:c>
      <x:c r="M1034" s="11" t="n">
        <x:v>0.0999393239617347</x:v>
      </x:c>
    </x:row>
    <x:row r="1035" ht="22" customHeight="1">
      <x:c r="A1035" s="17" t="str">
        <x:f>"14305500"</x:f>
        <x:v>14305500</x:v>
      </x:c>
      <x:c r="B1035" s="13" t="n">
        <x:v>42</x:v>
      </x:c>
      <x:c r="C1035" s="22" t="b">
        <x:v>0</x:v>
      </x:c>
      <x:c r="D1035" s="11" t="n">
        <x:v>0.02729528521498037</x:v>
      </x:c>
      <x:c r="E1035" s="11" t="n">
        <x:v>0.0005734563843967333</x:v>
      </x:c>
      <x:c r="F1035" s="11" t="n">
        <x:v>0.3523573279380798</x:v>
      </x:c>
      <x:c r="G1035" s="13" t="n">
        <x:v>10</x:v>
      </x:c>
      <x:c r="H1035" s="11" t="n">
        <x:v>0.2390854060649871</x:v>
      </x:c>
      <x:c r="I1035" s="11" t="n">
        <x:v>0.2390854060649871</x:v>
      </x:c>
      <x:c r="J1035" s="24" t="n">
        <x:v>138.37953386455774</x:v>
      </x:c>
      <x:c r="K1035" s="24" t="n">
        <x:v>151.93319702148438</x:v>
      </x:c>
      <x:c r="L1035" s="11" t="n">
        <x:v>0.3523573279380798</x:v>
      </x:c>
      <x:c r="M1035" s="11" t="n">
        <x:v>0.0999332070350647</x:v>
      </x:c>
    </x:row>
    <x:row r="1036" ht="22" customHeight="1">
      <x:c r="A1036" s="17" t="str">
        <x:f>"14306500"</x:f>
        <x:v>14306500</x:v>
      </x:c>
      <x:c r="B1036" s="13" t="n">
        <x:v>42</x:v>
      </x:c>
      <x:c r="C1036" s="22" t="b">
        <x:v>1</x:v>
      </x:c>
      <x:c r="D1036" s="11" t="n">
        <x:v>0.030528053641319202</x:v>
      </x:c>
      <x:c r="E1036" s="11" t="n">
        <x:v>0.0002562028045455</x:v>
      </x:c>
      <x:c r="F1036" s="11" t="n">
        <x:v>0.4331683218479156</x:v>
      </x:c>
      <x:c r="G1036" s="13" t="n">
        <x:v>10</x:v>
      </x:c>
      <x:c r="H1036" s="11" t="n">
        <x:v>0.0862840637564659</x:v>
      </x:c>
      <x:c r="I1036" s="11" t="n">
        <x:v>0.0862840637564659</x:v>
      </x:c>
      <x:c r="J1036" s="24" t="n">
        <x:v>136.68247400876135</x:v>
      </x:c>
      <x:c r="K1036" s="24" t="n">
        <x:v>150.84197759628296</x:v>
      </x:c>
      <x:c r="L1036" s="11" t="n">
        <x:v>0.4331683218479156</x:v>
      </x:c>
      <x:c r="M1036" s="11" t="n">
        <x:v>0.0999393239617347</x:v>
      </x:c>
    </x:row>
    <x:row r="1037" ht="22" customHeight="1">
      <x:c r="A1037" s="17" t="str">
        <x:f>"14306500"</x:f>
        <x:v>14306500</x:v>
      </x:c>
      <x:c r="B1037" s="13" t="n">
        <x:v>42</x:v>
      </x:c>
      <x:c r="C1037" s="22" t="b">
        <x:v>0</x:v>
      </x:c>
      <x:c r="D1037" s="11" t="n">
        <x:v>0.0272952858358621</x:v>
      </x:c>
      <x:c r="E1037" s="11" t="n">
        <x:v>0.0002968480112030333</x:v>
      </x:c>
      <x:c r="F1037" s="11" t="n">
        <x:v>0.4094292819499969</x:v>
      </x:c>
      <x:c r="G1037" s="13" t="n">
        <x:v>9</x:v>
      </x:c>
      <x:c r="H1037" s="11" t="n">
        <x:v>0.1323889791965484</x:v>
      </x:c>
      <x:c r="I1037" s="11" t="n">
        <x:v>0.1515982002019882</x:v>
      </x:c>
      <x:c r="J1037" s="24" t="n">
        <x:v>135.7080048955977</x:v>
      </x:c>
      <x:c r="K1037" s="24" t="n">
        <x:v>152.29123950004578</x:v>
      </x:c>
      <x:c r="L1037" s="11" t="n">
        <x:v>0.4466501176357269</x:v>
      </x:c>
      <x:c r="M1037" s="11" t="n">
        <x:v>0.0999332070350647</x:v>
      </x:c>
    </x:row>
    <x:row r="1038" ht="22" customHeight="1">
      <x:c r="A1038" s="17" t="str">
        <x:f>"14309500"</x:f>
        <x:v>14309500</x:v>
      </x:c>
      <x:c r="B1038" s="13" t="n">
        <x:v>42</x:v>
      </x:c>
      <x:c r="C1038" s="22" t="b">
        <x:v>1</x:v>
      </x:c>
      <x:c r="D1038" s="11" t="n">
        <x:v>0.040429043273131</x:v>
      </x:c>
      <x:c r="E1038" s="11" t="n">
        <x:v>0.0005258899667144667</x:v>
      </x:c>
      <x:c r="F1038" s="11" t="n">
        <x:v>0.4108910858631134</x:v>
      </x:c>
      <x:c r="G1038" s="13" t="n">
        <x:v>3</x:v>
      </x:c>
      <x:c r="H1038" s="11" t="n">
        <x:v>0.2770867943763733</x:v>
      </x:c>
      <x:c r="I1038" s="11" t="n">
        <x:v>0.2805731892585754</x:v>
      </x:c>
      <x:c r="J1038" s="24" t="n">
        <x:v>138.29719031136483</x:v>
      </x:c>
      <x:c r="K1038" s="24" t="n">
        <x:v>161.6301462650299</x:v>
      </x:c>
      <x:c r="L1038" s="11" t="n">
        <x:v>0.75</x:v>
      </x:c>
      <x:c r="M1038" s="11" t="n">
        <x:v>0.0999393239617347</x:v>
      </x:c>
    </x:row>
    <x:row r="1039" ht="22" customHeight="1">
      <x:c r="A1039" s="17" t="str">
        <x:f>"14309500"</x:f>
        <x:v>14309500</x:v>
      </x:c>
      <x:c r="B1039" s="13" t="n">
        <x:v>42</x:v>
      </x:c>
      <x:c r="C1039" s="22" t="b">
        <x:v>0</x:v>
      </x:c>
      <x:c r="D1039" s="11" t="n">
        <x:v>0.04714640229940406</x:v>
      </x:c>
      <x:c r="E1039" s="11" t="n">
        <x:v>0.00039129966171453333</x:v>
      </x:c>
      <x:c r="F1039" s="11" t="n">
        <x:v>0.5086848735809326</x:v>
      </x:c>
      <x:c r="G1039" s="13" t="n">
        <x:v>1</x:v>
      </x:c>
      <x:c r="H1039" s="11" t="n">
        <x:v>0.3175057768821716</x:v>
      </x:c>
      <x:c r="I1039" s="11" t="n">
        <x:v>0.3314928114414215</x:v>
      </x:c>
      <x:c r="J1039" s="24" t="n">
        <x:v>137.33798055630177</x:v>
      </x:c>
      <x:c r="K1039" s="24" t="n">
        <x:v>165.26150488853455</x:v>
      </x:c>
      <x:c r="L1039" s="11" t="n">
        <x:v>0.970223307609558</x:v>
      </x:c>
      <x:c r="M1039" s="11" t="n">
        <x:v>0.0999332070350647</x:v>
      </x:c>
    </x:row>
    <x:row r="1040" ht="22" customHeight="1">
      <x:c r="A1040" s="17" t="str">
        <x:f>"14316700"</x:f>
        <x:v>14316700</x:v>
      </x:c>
      <x:c r="B1040" s="13" t="n">
        <x:v>42</x:v>
      </x:c>
      <x:c r="C1040" s="22" t="b">
        <x:v>1</x:v>
      </x:c>
      <x:c r="D1040" s="11" t="n">
        <x:v>0.0198019808158278</x:v>
      </x:c>
      <x:c r="E1040" s="11" t="n">
        <x:v>0.0003168824090001</x:v>
      </x:c>
      <x:c r="F1040" s="11" t="n">
        <x:v>0.3415841460227966</x:v>
      </x:c>
      <x:c r="G1040" s="13" t="n">
        <x:v>5</x:v>
      </x:c>
      <x:c r="H1040" s="11" t="n">
        <x:v>0.2138659507036209</x:v>
      </x:c>
      <x:c r="I1040" s="11" t="n">
        <x:v>0.2236145734786987</x:v>
      </x:c>
      <x:c r="J1040" s="24" t="n">
        <x:v>138.7480865092948</x:v>
      </x:c>
      <x:c r="K1040" s="24" t="n">
        <x:v>152.3549964427948</x:v>
      </x:c>
      <x:c r="L1040" s="11" t="n">
        <x:v>0.5346534848213196</x:v>
      </x:c>
      <x:c r="M1040" s="11" t="n">
        <x:v>0.0999393239617347</x:v>
      </x:c>
    </x:row>
    <x:row r="1041" ht="22" customHeight="1">
      <x:c r="A1041" s="17" t="str">
        <x:f>"14316700"</x:f>
        <x:v>14316700</x:v>
      </x:c>
      <x:c r="B1041" s="13" t="n">
        <x:v>42</x:v>
      </x:c>
      <x:c r="C1041" s="22" t="b">
        <x:v>0</x:v>
      </x:c>
      <x:c r="D1041" s="11" t="n">
        <x:v>0.03970223354796563</x:v>
      </x:c>
      <x:c r="E1041" s="11" t="n">
        <x:v>0.0002091429147791</x:v>
      </x:c>
      <x:c r="F1041" s="11" t="n">
        <x:v>0.5086848735809326</x:v>
      </x:c>
      <x:c r="G1041" s="13" t="n">
        <x:v>9</x:v>
      </x:c>
      <x:c r="H1041" s="11" t="n">
        <x:v>0.2647900879383087</x:v>
      </x:c>
      <x:c r="I1041" s="11" t="n">
        <x:v>0.3051150739192962</x:v>
      </x:c>
      <x:c r="J1041" s="24" t="n">
        <x:v>142.39547791332006</x:v>
      </x:c>
      <x:c r="K1041" s="24" t="n">
        <x:v>158.70465850830078</x:v>
      </x:c>
      <x:c r="L1041" s="11" t="n">
        <x:v>0.5459057092666626</x:v>
      </x:c>
      <x:c r="M1041" s="11" t="n">
        <x:v>0.0999332070350647</x:v>
      </x:c>
    </x:row>
    <x:row r="1042" ht="22" customHeight="1">
      <x:c r="A1042" s="17" t="str">
        <x:f>"14325000"</x:f>
        <x:v>14325000</x:v>
      </x:c>
      <x:c r="B1042" s="13" t="n">
        <x:v>42</x:v>
      </x:c>
      <x:c r="C1042" s="22" t="b">
        <x:v>1</x:v>
      </x:c>
      <x:c r="D1042" s="11" t="n">
        <x:v>0.0354785484572251</x:v>
      </x:c>
      <x:c r="E1042" s="11" t="n">
        <x:v>0.0005865695808703334</x:v>
      </x:c>
      <x:c r="F1042" s="11" t="n">
        <x:v>0.4158415794372558</x:v>
      </x:c>
      <x:c r="G1042" s="13" t="n">
        <x:v>1</x:v>
      </x:c>
      <x:c r="H1042" s="11" t="n">
        <x:v>0.255824327468872</x:v>
      </x:c>
      <x:c r="I1042" s="11" t="n">
        <x:v>0.2662235200405121</x:v>
      </x:c>
      <x:c r="J1042" s="24" t="n">
        <x:v>141.00235039554536</x:v>
      </x:c>
      <x:c r="K1042" s="24" t="n">
        <x:v>172.02338409423828</x:v>
      </x:c>
      <x:c r="L1042" s="11" t="n">
        <x:v>0.9653465151786804</x:v>
      </x:c>
      <x:c r="M1042" s="11" t="n">
        <x:v>0.0999393239617347</x:v>
      </x:c>
    </x:row>
    <x:row r="1043" ht="22" customHeight="1">
      <x:c r="A1043" s="17" t="str">
        <x:f>"14325000"</x:f>
        <x:v>14325000</x:v>
      </x:c>
      <x:c r="B1043" s="13" t="n">
        <x:v>42</x:v>
      </x:c>
      <x:c r="C1043" s="22" t="b">
        <x:v>0</x:v>
      </x:c>
      <x:c r="D1043" s="11" t="n">
        <x:v>0.0372208431363105</x:v>
      </x:c>
      <x:c r="E1043" s="11" t="n">
        <x:v>0.00039129964716263333</x:v>
      </x:c>
      <x:c r="F1043" s="11" t="n">
        <x:v>0.4392059445381164</x:v>
      </x:c>
      <x:c r="G1043" s="13" t="n">
        <x:v>1</x:v>
      </x:c>
      <x:c r="H1043" s="11" t="n">
        <x:v>0.3092543184757232</x:v>
      </x:c>
      <x:c r="I1043" s="11" t="n">
        <x:v>0.3163122534751892</x:v>
      </x:c>
      <x:c r="J1043" s="24" t="n">
        <x:v>142.15738433040679</x:v>
      </x:c>
      <x:c r="K1043" s="24" t="n">
        <x:v>168.20159006118774</x:v>
      </x:c>
      <x:c r="L1043" s="11" t="n">
        <x:v>0.9578163623809814</x:v>
      </x:c>
      <x:c r="M1043" s="11" t="n">
        <x:v>0.0999332070350647</x:v>
      </x:c>
    </x:row>
    <x:row r="1044" ht="22" customHeight="1">
      <x:c r="A1044" s="17" t="str">
        <x:f>"14400000"</x:f>
        <x:v>14400000</x:v>
      </x:c>
      <x:c r="B1044" s="13" t="n">
        <x:v>42</x:v>
      </x:c>
      <x:c r="C1044" s="22" t="b">
        <x:v>1</x:v>
      </x:c>
      <x:c r="D1044" s="11" t="n">
        <x:v>0.01815181567023193</x:v>
      </x:c>
      <x:c r="E1044" s="11" t="n">
        <x:v>0.0004854368938443333</x:v>
      </x:c>
      <x:c r="F1044" s="11" t="n">
        <x:v>0.3341584205627441</x:v>
      </x:c>
      <x:c r="G1044" s="13" t="n">
        <x:v>5</x:v>
      </x:c>
      <x:c r="H1044" s="11" t="n">
        <x:v>0.2395087331533432</x:v>
      </x:c>
      <x:c r="I1044" s="11" t="n">
        <x:v>0.2513397336006164</x:v>
      </x:c>
      <x:c r="J1044" s="24" t="n">
        <x:v>139.54990674834698</x:v>
      </x:c>
      <x:c r="K1044" s="24" t="n">
        <x:v>154.35600328445435</x:v>
      </x:c>
      <x:c r="L1044" s="11" t="n">
        <x:v>0.6361386179924011</x:v>
      </x:c>
      <x:c r="M1044" s="11" t="n">
        <x:v>0.0999393239617347</x:v>
      </x:c>
    </x:row>
    <x:row r="1045" ht="22" customHeight="1">
      <x:c r="A1045" s="17" t="str">
        <x:f>"14400000"</x:f>
        <x:v>14400000</x:v>
      </x:c>
      <x:c r="B1045" s="13" t="n">
        <x:v>42</x:v>
      </x:c>
      <x:c r="C1045" s="22" t="b">
        <x:v>0</x:v>
      </x:c>
      <x:c r="D1045" s="11" t="n">
        <x:v>0.019851116308321468</x:v>
      </x:c>
      <x:c r="E1045" s="11" t="n">
        <x:v>0.0004250323787952</x:v>
      </x:c>
      <x:c r="F1045" s="11" t="n">
        <x:v>0.4714640080928802</x:v>
      </x:c>
      <x:c r="G1045" s="13" t="n">
        <x:v>5</x:v>
      </x:c>
      <x:c r="H1045" s="11" t="n">
        <x:v>0.3013083636760711</x:v>
      </x:c>
      <x:c r="I1045" s="11" t="n">
        <x:v>0.3136992454528808</x:v>
      </x:c>
      <x:c r="J1045" s="24" t="n">
        <x:v>139.3035785900429</x:v>
      </x:c>
      <x:c r="K1045" s="24" t="n">
        <x:v>156.4788053035736</x:v>
      </x:c>
      <x:c r="L1045" s="11" t="n">
        <x:v>0.6401985287666321</x:v>
      </x:c>
      <x:c r="M1045" s="11" t="n">
        <x:v>0.0999332070350647</x:v>
      </x:c>
    </x:row>
    <x:row r="1046" ht="22" customHeight="1">
      <x:c r="A1046" s="17" t="str">
        <x:f>"01552500"</x:f>
        <x:v>01552500</x:v>
      </x:c>
      <x:c r="B1046" s="13" t="n">
        <x:v>43</x:v>
      </x:c>
      <x:c r="C1046" s="22" t="b">
        <x:v>1</x:v>
      </x:c>
      <x:c r="D1046" s="11" t="n">
        <x:v>0.03630363071958217</x:v>
      </x:c>
      <x:c r="E1046" s="11" t="n">
        <x:v>0.0004314994633507667</x:v>
      </x:c>
      <x:c r="F1046" s="11" t="n">
        <x:v>0.4207920730113983</x:v>
      </x:c>
      <x:c r="G1046" s="13" t="n">
        <x:v>10</x:v>
      </x:c>
      <x:c r="H1046" s="11" t="n">
        <x:v>0.712774932384491</x:v>
      </x:c>
      <x:c r="I1046" s="11" t="n">
        <x:v>0.712774932384491</x:v>
      </x:c>
      <x:c r="J1046" s="24" t="n">
        <x:v>142.5862334528938</x:v>
      </x:c>
      <x:c r="K1046" s="24" t="n">
        <x:v>153.1719892024994</x:v>
      </x:c>
      <x:c r="L1046" s="11" t="n">
        <x:v>0.4207920730113983</x:v>
      </x:c>
      <x:c r="M1046" s="11" t="n">
        <x:v>0.0999393239617347</x:v>
      </x:c>
    </x:row>
    <x:row r="1047" ht="22" customHeight="1">
      <x:c r="A1047" s="17" t="str">
        <x:f>"01552500"</x:f>
        <x:v>01552500</x:v>
      </x:c>
      <x:c r="B1047" s="13" t="n">
        <x:v>43</x:v>
      </x:c>
      <x:c r="C1047" s="22" t="b">
        <x:v>0</x:v>
      </x:c>
      <x:c r="D1047" s="11" t="n">
        <x:v>0.045492142438888494</x:v>
      </x:c>
      <x:c r="E1047" s="11" t="n">
        <x:v>0.00022938254793786664</x:v>
      </x:c>
      <x:c r="F1047" s="11" t="n">
        <x:v>0.4764268100261688</x:v>
      </x:c>
      <x:c r="G1047" s="13" t="n">
        <x:v>3</x:v>
      </x:c>
      <x:c r="H1047" s="11" t="n">
        <x:v>1.0058358907699585</x:v>
      </x:c>
      <x:c r="I1047" s="11" t="n">
        <x:v>1.011229157447815</x:v>
      </x:c>
      <x:c r="J1047" s="24" t="n">
        <x:v>138.65815056767315</x:v>
      </x:c>
      <x:c r="K1047" s="24" t="n">
        <x:v>157.84901809692383</x:v>
      </x:c>
      <x:c r="L1047" s="11" t="n">
        <x:v>0.7568238377571106</x:v>
      </x:c>
      <x:c r="M1047" s="11" t="n">
        <x:v>0.0999332070350647</x:v>
      </x:c>
    </x:row>
    <x:row r="1048" ht="22" customHeight="1">
      <x:c r="A1048" s="17" t="str">
        <x:f>"01552500"</x:f>
        <x:v>01552500</x:v>
      </x:c>
      <x:c r="B1048" s="13" t="n">
        <x:v>44</x:v>
      </x:c>
      <x:c r="C1048" s="22" t="b">
        <x:v>1</x:v>
      </x:c>
      <x:c r="D1048" s="11" t="n">
        <x:v>0.04537953808903691</x:v>
      </x:c>
      <x:c r="E1048" s="11" t="n">
        <x:v>0.00018203883276626665</x:v>
      </x:c>
      <x:c r="F1048" s="11" t="n">
        <x:v>0.4529702961444855</x:v>
      </x:c>
      <x:c r="G1048" s="13" t="n">
        <x:v>6</x:v>
      </x:c>
      <x:c r="H1048" s="11" t="n">
        <x:v>0.7164616584777832</x:v>
      </x:c>
      <x:c r="I1048" s="11" t="n">
        <x:v>0.7292584776878357</x:v>
      </x:c>
      <x:c r="J1048" s="24" t="n">
        <x:v>140.46845956332982</x:v>
      </x:c>
      <x:c r="K1048" s="24" t="n">
        <x:v>156.6237075328827</x:v>
      </x:c>
      <x:c r="L1048" s="11" t="n">
        <x:v>0.6336633563041687</x:v>
      </x:c>
      <x:c r="M1048" s="11" t="n">
        <x:v>0.0999393239617347</x:v>
      </x:c>
    </x:row>
    <x:row r="1049" ht="22" customHeight="1">
      <x:c r="A1049" s="17" t="str">
        <x:f>"01552500"</x:f>
        <x:v>01552500</x:v>
      </x:c>
      <x:c r="B1049" s="13" t="n">
        <x:v>44</x:v>
      </x:c>
      <x:c r="C1049" s="22" t="b">
        <x:v>0</x:v>
      </x:c>
      <x:c r="D1049" s="11" t="n">
        <x:v>0.03804797368745003</x:v>
      </x:c>
      <x:c r="E1049" s="11" t="n">
        <x:v>0.00015517055241306665</x:v>
      </x:c>
      <x:c r="F1049" s="11" t="n">
        <x:v>0.4565756916999817</x:v>
      </x:c>
      <x:c r="G1049" s="13" t="n">
        <x:v>4</x:v>
      </x:c>
      <x:c r="H1049" s="11" t="n">
        <x:v>1.0229054689407349</x:v>
      </x:c>
      <x:c r="I1049" s="11" t="n">
        <x:v>1.03979754447937</x:v>
      </x:c>
      <x:c r="J1049" s="24" t="n">
        <x:v>140.5714582009241</x:v>
      </x:c>
      <x:c r="K1049" s="24" t="n">
        <x:v>158.8347201347351</x:v>
      </x:c>
      <x:c r="L1049" s="11" t="n">
        <x:v>0.692307710647583</x:v>
      </x:c>
      <x:c r="M1049" s="11" t="n">
        <x:v>0.0999332070350647</x:v>
      </x:c>
    </x:row>
    <x:row r="1050" ht="22" customHeight="1">
      <x:c r="A1050" s="17" t="str">
        <x:f>"01634500"</x:f>
        <x:v>01634500</x:v>
      </x:c>
      <x:c r="B1050" s="13" t="n">
        <x:v>43</x:v>
      </x:c>
      <x:c r="C1050" s="22" t="b">
        <x:v>1</x:v>
      </x:c>
      <x:c r="D1050" s="11" t="n">
        <x:v>0.038778878748416866</x:v>
      </x:c>
      <x:c r="E1050" s="11" t="n">
        <x:v>0.0003438511339481333</x:v>
      </x:c>
      <x:c r="F1050" s="11" t="n">
        <x:v>0.3514851629734039</x:v>
      </x:c>
      <x:c r="G1050" s="13" t="n">
        <x:v>1</x:v>
      </x:c>
      <x:c r="H1050" s="11" t="n">
        <x:v>0.1838644295930862</x:v>
      </x:c>
      <x:c r="I1050" s="11" t="n">
        <x:v>0.2129053324460983</x:v>
      </x:c>
      <x:c r="J1050" s="24" t="n">
        <x:v>137.70646510459483</x:v>
      </x:c>
      <x:c r="K1050" s="24" t="n">
        <x:v>162.2152202129364</x:v>
      </x:c>
      <x:c r="L1050" s="11" t="n">
        <x:v>0.948019802570343</x:v>
      </x:c>
      <x:c r="M1050" s="11" t="n">
        <x:v>0.0999393239617347</x:v>
      </x:c>
    </x:row>
    <x:row r="1051" ht="22" customHeight="1">
      <x:c r="A1051" s="17" t="str">
        <x:f>"01634500"</x:f>
        <x:v>01634500</x:v>
      </x:c>
      <x:c r="B1051" s="13" t="n">
        <x:v>43</x:v>
      </x:c>
      <x:c r="C1051" s="22" t="b">
        <x:v>0</x:v>
      </x:c>
      <x:c r="D1051" s="11" t="n">
        <x:v>0.033085194105903236</x:v>
      </x:c>
      <x:c r="E1051" s="11" t="n">
        <x:v>0.00043177892318146667</x:v>
      </x:c>
      <x:c r="F1051" s="11" t="n">
        <x:v>0.3722084462642669</x:v>
      </x:c>
      <x:c r="G1051" s="13" t="n">
        <x:v>1</x:v>
      </x:c>
      <x:c r="H1051" s="11" t="n">
        <x:v>0.2882286012172699</x:v>
      </x:c>
      <x:c r="I1051" s="11" t="n">
        <x:v>0.3352890908718109</x:v>
      </x:c>
      <x:c r="J1051" s="24" t="n">
        <x:v>136.5670590000227</x:v>
      </x:c>
      <x:c r="K1051" s="24" t="n">
        <x:v>151.94234037399292</x:v>
      </x:c>
      <x:c r="L1051" s="11" t="n">
        <x:v>0.8908188343048096</x:v>
      </x:c>
      <x:c r="M1051" s="11" t="n">
        <x:v>0.0999332070350647</x:v>
      </x:c>
    </x:row>
    <x:row r="1052" ht="22" customHeight="1">
      <x:c r="A1052" s="17" t="str">
        <x:f>"01634500"</x:f>
        <x:v>01634500</x:v>
      </x:c>
      <x:c r="B1052" s="13" t="n">
        <x:v>44</x:v>
      </x:c>
      <x:c r="C1052" s="22" t="b">
        <x:v>1</x:v>
      </x:c>
      <x:c r="D1052" s="11" t="n">
        <x:v>0.027227723350127464</x:v>
      </x:c>
      <x:c r="E1052" s="11" t="n">
        <x:v>0.0003168824090001</x:v>
      </x:c>
      <x:c r="F1052" s="11" t="n">
        <x:v>0.4282178282737732</x:v>
      </x:c>
      <x:c r="G1052" s="13" t="n">
        <x:v>1</x:v>
      </x:c>
      <x:c r="H1052" s="11" t="n">
        <x:v>0.1832516640424728</x:v>
      </x:c>
      <x:c r="I1052" s="11" t="n">
        <x:v>0.193550243973732</x:v>
      </x:c>
      <x:c r="J1052" s="24" t="n">
        <x:v>140.172029142268</x:v>
      </x:c>
      <x:c r="K1052" s="24" t="n">
        <x:v>165.6804323196411</x:v>
      </x:c>
      <x:c r="L1052" s="11" t="n">
        <x:v>0.9504950642585754</x:v>
      </x:c>
      <x:c r="M1052" s="11" t="n">
        <x:v>0.0999393239617347</x:v>
      </x:c>
    </x:row>
    <x:row r="1053" ht="22" customHeight="1">
      <x:c r="A1053" s="17" t="str">
        <x:f>"01634500"</x:f>
        <x:v>01634500</x:v>
      </x:c>
      <x:c r="B1053" s="13" t="n">
        <x:v>44</x:v>
      </x:c>
      <x:c r="C1053" s="22" t="b">
        <x:v>0</x:v>
      </x:c>
      <x:c r="D1053" s="11" t="n">
        <x:v>0.03473945396641883</x:v>
      </x:c>
      <x:c r="E1053" s="11" t="n">
        <x:v>0.00033058073313436666</x:v>
      </x:c>
      <x:c r="F1053" s="11" t="n">
        <x:v>0.3672456443309784</x:v>
      </x:c>
      <x:c r="G1053" s="13" t="n">
        <x:v>6</x:v>
      </x:c>
      <x:c r="H1053" s="11" t="n">
        <x:v>0.2789348661899566</x:v>
      </x:c>
      <x:c r="I1053" s="11" t="n">
        <x:v>0.3128304183483124</x:v>
      </x:c>
      <x:c r="J1053" s="24" t="n">
        <x:v>137.8942443979904</x:v>
      </x:c>
      <x:c r="K1053" s="24" t="n">
        <x:v>150.97953343391418</x:v>
      </x:c>
      <x:c r="L1053" s="11" t="n">
        <x:v>0.4863523542881012</x:v>
      </x:c>
      <x:c r="M1053" s="11" t="n">
        <x:v>0.0999332070350647</x:v>
      </x:c>
    </x:row>
    <x:row r="1054" ht="22" customHeight="1">
      <x:c r="A1054" s="17" t="str">
        <x:f>"02312200"</x:f>
        <x:v>02312200</x:v>
      </x:c>
      <x:c r="B1054" s="13" t="n">
        <x:v>43</x:v>
      </x:c>
      <x:c r="C1054" s="22" t="b">
        <x:v>1</x:v>
      </x:c>
      <x:c r="D1054" s="11" t="n">
        <x:v>0.016501650524636067</x:v>
      </x:c>
      <x:c r="E1054" s="11" t="n">
        <x:v>0.0006202804700781666</x:v>
      </x:c>
      <x:c r="F1054" s="11" t="n">
        <x:v>0.2301980257034301</x:v>
      </x:c>
      <x:c r="G1054" s="13" t="n">
        <x:v>10</x:v>
      </x:c>
      <x:c r="H1054" s="11" t="n">
        <x:v>0.0071716336533427</x:v>
      </x:c>
      <x:c r="I1054" s="11" t="n">
        <x:v>0.0071716336533427</x:v>
      </x:c>
      <x:c r="J1054" s="24" t="n">
        <x:v>139.1310357786715</x:v>
      </x:c>
      <x:c r="K1054" s="24" t="n">
        <x:v>147.36949920654297</x:v>
      </x:c>
      <x:c r="L1054" s="11" t="n">
        <x:v>0.2301980257034301</x:v>
      </x:c>
      <x:c r="M1054" s="11" t="n">
        <x:v>0.0999393239617347</x:v>
      </x:c>
    </x:row>
    <x:row r="1055" ht="22" customHeight="1">
      <x:c r="A1055" s="17" t="str">
        <x:f>"02312200"</x:f>
        <x:v>02312200</x:v>
      </x:c>
      <x:c r="B1055" s="13" t="n">
        <x:v>43</x:v>
      </x:c>
      <x:c r="C1055" s="22" t="b">
        <x:v>0</x:v>
      </x:c>
      <x:c r="D1055" s="11" t="n">
        <x:v>0.03804797368745003</x:v>
      </x:c>
      <x:c r="E1055" s="11" t="n">
        <x:v>0.0005667098351598333</x:v>
      </x:c>
      <x:c r="F1055" s="11" t="n">
        <x:v>0.4714640080928802</x:v>
      </x:c>
      <x:c r="G1055" s="13" t="n">
        <x:v>4</x:v>
      </x:c>
      <x:c r="H1055" s="11" t="n">
        <x:v>0.5004550218582153</x:v>
      </x:c>
      <x:c r="I1055" s="11" t="n">
        <x:v>0.6518073678016663</x:v>
      </x:c>
      <x:c r="J1055" s="24" t="n">
        <x:v>142.41822182480246</x:v>
      </x:c>
      <x:c r="K1055" s="24" t="n">
        <x:v>161.57777953147888</x:v>
      </x:c>
      <x:c r="L1055" s="11" t="n">
        <x:v>0.8014888167381287</x:v>
      </x:c>
      <x:c r="M1055" s="11" t="n">
        <x:v>0.0999332070350647</x:v>
      </x:c>
    </x:row>
    <x:row r="1056" ht="22" customHeight="1">
      <x:c r="A1056" s="17" t="str">
        <x:f>"02312200"</x:f>
        <x:v>02312200</x:v>
      </x:c>
      <x:c r="B1056" s="13" t="n">
        <x:v>44</x:v>
      </x:c>
      <x:c r="C1056" s="22" t="b">
        <x:v>1</x:v>
      </x:c>
      <x:c r="D1056" s="11" t="n">
        <x:v>0.026402641087770396</x:v>
      </x:c>
      <x:c r="E1056" s="11" t="n">
        <x:v>0.0005663430395846</x:v>
      </x:c>
      <x:c r="F1056" s="11" t="n">
        <x:v>0.3217821717262268</x:v>
      </x:c>
      <x:c r="G1056" s="13" t="n">
        <x:v>9</x:v>
      </x:c>
      <x:c r="H1056" s="11" t="n">
        <x:v>0.0074183670803904</x:v>
      </x:c>
      <x:c r="I1056" s="11" t="n">
        <x:v>0.0104057788848876</x:v>
      </x:c>
      <x:c r="J1056" s="24" t="n">
        <x:v>140.34778625238687</x:v>
      </x:c>
      <x:c r="K1056" s="24" t="n">
        <x:v>147.09348011016846</x:v>
      </x:c>
      <x:c r="L1056" s="11" t="n">
        <x:v>0.3514851629734039</x:v>
      </x:c>
      <x:c r="M1056" s="11" t="n">
        <x:v>0.0999393239617347</x:v>
      </x:c>
    </x:row>
    <x:row r="1057" ht="22" customHeight="1">
      <x:c r="A1057" s="17" t="str">
        <x:f>"02312200"</x:f>
        <x:v>02312200</x:v>
      </x:c>
      <x:c r="B1057" s="13" t="n">
        <x:v>44</x:v>
      </x:c>
      <x:c r="C1057" s="22" t="b">
        <x:v>0</x:v>
      </x:c>
      <x:c r="D1057" s="11" t="n">
        <x:v>0.026468155905604297</x:v>
      </x:c>
      <x:c r="E1057" s="11" t="n">
        <x:v>0.00036431346476693333</x:v>
      </x:c>
      <x:c r="F1057" s="11" t="n">
        <x:v>0.5012406706809998</x:v>
      </x:c>
      <x:c r="G1057" s="13" t="n">
        <x:v>9</x:v>
      </x:c>
      <x:c r="H1057" s="11" t="n">
        <x:v>0.5116679072380066</x:v>
      </x:c>
      <x:c r="I1057" s="11" t="n">
        <x:v>0.5261303186416626</x:v>
      </x:c>
      <x:c r="J1057" s="24" t="n">
        <x:v>139.03903861250728</x:v>
      </x:c>
      <x:c r="K1057" s="24" t="n">
        <x:v>157.0223183631897</x:v>
      </x:c>
      <x:c r="L1057" s="11" t="n">
        <x:v>0.5334987640380859</x:v>
      </x:c>
      <x:c r="M1057" s="11" t="n">
        <x:v>0.0999332070350647</x:v>
      </x:c>
    </x:row>
    <x:row r="1058" ht="22" customHeight="1">
      <x:c r="A1058" s="17" t="str">
        <x:f>"03604000"</x:f>
        <x:v>03604000</x:v>
      </x:c>
      <x:c r="B1058" s="13" t="n">
        <x:v>43</x:v>
      </x:c>
      <x:c r="C1058" s="22" t="b">
        <x:v>1</x:v>
      </x:c>
      <x:c r="D1058" s="11" t="n">
        <x:v>0.019801980505386934</x:v>
      </x:c>
      <x:c r="E1058" s="11" t="n">
        <x:v>0.0008292880180912334</x:v>
      </x:c>
      <x:c r="F1058" s="11" t="n">
        <x:v>0.3564356565475464</x:v>
      </x:c>
      <x:c r="G1058" s="13" t="n">
        <x:v>1</x:v>
      </x:c>
      <x:c r="H1058" s="11" t="n">
        <x:v>0.1471967846155166</x:v>
      </x:c>
      <x:c r="I1058" s="11" t="n">
        <x:v>0.1735435128211975</x:v>
      </x:c>
      <x:c r="J1058" s="24" t="n">
        <x:v>140.56628571357578</x:v>
      </x:c>
      <x:c r="K1058" s="24" t="n">
        <x:v>166.99074935913086</x:v>
      </x:c>
      <x:c r="L1058" s="11" t="n">
        <x:v>0.9356435537338256</x:v>
      </x:c>
      <x:c r="M1058" s="11" t="n">
        <x:v>0.0999393239617347</x:v>
      </x:c>
    </x:row>
    <x:row r="1059" ht="22" customHeight="1">
      <x:c r="A1059" s="17" t="str">
        <x:f>"03604000"</x:f>
        <x:v>03604000</x:v>
      </x:c>
      <x:c r="B1059" s="13" t="n">
        <x:v>43</x:v>
      </x:c>
      <x:c r="C1059" s="22" t="b">
        <x:v>0</x:v>
      </x:c>
      <x:c r="D1059" s="11" t="n">
        <x:v>0.0438378825783729</x:v>
      </x:c>
      <x:c r="E1059" s="11" t="n">
        <x:v>0.00024287565126234593</x:v>
      </x:c>
      <x:c r="F1059" s="11" t="n">
        <x:v>0.4640198647975921</x:v>
      </x:c>
      <x:c r="G1059" s="13" t="n">
        <x:v>1</x:v>
      </x:c>
      <x:c r="H1059" s="11" t="n">
        <x:v>0.186364084482193</x:v>
      </x:c>
      <x:c r="I1059" s="11" t="n">
        <x:v>0.2368173897266388</x:v>
      </x:c>
      <x:c r="J1059" s="24" t="n">
        <x:v>136.7137481449172</x:v>
      </x:c>
      <x:c r="K1059" s="24" t="n">
        <x:v>162.39625549316406</x:v>
      </x:c>
      <x:c r="L1059" s="11" t="n">
        <x:v>0.9553349614143372</x:v>
      </x:c>
      <x:c r="M1059" s="11" t="n">
        <x:v>0.0999332070350647</x:v>
      </x:c>
    </x:row>
    <x:row r="1060" ht="22" customHeight="1">
      <x:c r="A1060" s="17" t="str">
        <x:f>"03604000"</x:f>
        <x:v>03604000</x:v>
      </x:c>
      <x:c r="B1060" s="13" t="n">
        <x:v>44</x:v>
      </x:c>
      <x:c r="C1060" s="22" t="b">
        <x:v>1</x:v>
      </x:c>
      <x:c r="D1060" s="11" t="n">
        <x:v>0.02557755820453163</x:v>
      </x:c>
      <x:c r="E1060" s="11" t="n">
        <x:v>0.00047195253622093325</x:v>
      </x:c>
      <x:c r="F1060" s="11" t="n">
        <x:v>0.344059407711029</x:v>
      </x:c>
      <x:c r="G1060" s="13" t="n">
        <x:v>10</x:v>
      </x:c>
      <x:c r="H1060" s="11" t="n">
        <x:v>0.134052038192749</x:v>
      </x:c>
      <x:c r="I1060" s="11" t="n">
        <x:v>0.134052038192749</x:v>
      </x:c>
      <x:c r="J1060" s="24" t="n">
        <x:v>140.1567831998691</x:v>
      </x:c>
      <x:c r="K1060" s="24" t="n">
        <x:v>154.01237845420837</x:v>
      </x:c>
      <x:c r="L1060" s="11" t="n">
        <x:v>0.344059407711029</x:v>
      </x:c>
      <x:c r="M1060" s="11" t="n">
        <x:v>0.0999393239617347</x:v>
      </x:c>
    </x:row>
    <x:row r="1061" ht="22" customHeight="1">
      <x:c r="A1061" s="17" t="str">
        <x:f>"03604000"</x:f>
        <x:v>03604000</x:v>
      </x:c>
      <x:c r="B1061" s="13" t="n">
        <x:v>44</x:v>
      </x:c>
      <x:c r="C1061" s="22" t="b">
        <x:v>0</x:v>
      </x:c>
      <x:c r="D1061" s="11" t="n">
        <x:v>0.03308519472678497</x:v>
      </x:c>
      <x:c r="E1061" s="11" t="n">
        <x:v>0.0004857513025247333</x:v>
      </x:c>
      <x:c r="F1061" s="11" t="n">
        <x:v>0.4317618012428283</x:v>
      </x:c>
      <x:c r="G1061" s="13" t="n">
        <x:v>1</x:v>
      </x:c>
      <x:c r="H1061" s="11" t="n">
        <x:v>0.1893996000289917</x:v>
      </x:c>
      <x:c r="I1061" s="11" t="n">
        <x:v>0.2352753430604934</x:v>
      </x:c>
      <x:c r="J1061" s="24" t="n">
        <x:v>137.77160973008722</x:v>
      </x:c>
      <x:c r="K1061" s="24" t="n">
        <x:v>164.35320234298706</x:v>
      </x:c>
      <x:c r="L1061" s="11" t="n">
        <x:v>0.9652605652809144</x:v>
      </x:c>
      <x:c r="M1061" s="11" t="n">
        <x:v>0.0999332070350647</x:v>
      </x:c>
    </x:row>
    <x:row r="1062" ht="22" customHeight="1">
      <x:c r="A1062" s="17" t="str">
        <x:f>"04127997"</x:f>
        <x:v>04127997</x:v>
      </x:c>
      <x:c r="B1062" s="13" t="n">
        <x:v>43</x:v>
      </x:c>
      <x:c r="C1062" s="22" t="b">
        <x:v>1</x:v>
      </x:c>
      <x:c r="D1062" s="11" t="n">
        <x:v>0.04042904203136757</x:v>
      </x:c>
      <x:c r="E1062" s="11" t="n">
        <x:v>0.0002764293458312</x:v>
      </x:c>
      <x:c r="F1062" s="11" t="n">
        <x:v>0.5099009871482849</x:v>
      </x:c>
      <x:c r="G1062" s="13" t="n">
        <x:v>4</x:v>
      </x:c>
      <x:c r="H1062" s="11" t="n">
        <x:v>0.2029882073402404</x:v>
      </x:c>
      <x:c r="I1062" s="11" t="n">
        <x:v>0.2195907831192016</x:v>
      </x:c>
      <x:c r="J1062" s="24" t="n">
        <x:v>139.23887815792114</x:v>
      </x:c>
      <x:c r="K1062" s="24" t="n">
        <x:v>171.10900902748108</x:v>
      </x:c>
      <x:c r="L1062" s="11" t="n">
        <x:v>0.7450494766235352</x:v>
      </x:c>
      <x:c r="M1062" s="11" t="n">
        <x:v>0.0999393239617347</x:v>
      </x:c>
    </x:row>
    <x:row r="1063" ht="22" customHeight="1">
      <x:c r="A1063" s="17" t="str">
        <x:f>"04127997"</x:f>
        <x:v>04127997</x:v>
      </x:c>
      <x:c r="B1063" s="13" t="n">
        <x:v>43</x:v>
      </x:c>
      <x:c r="C1063" s="22" t="b">
        <x:v>0</x:v>
      </x:c>
      <x:c r="D1063" s="11" t="n">
        <x:v>0.048800662159919704</x:v>
      </x:c>
      <x:c r="E1063" s="11" t="n">
        <x:v>0.0001484240080268</x:v>
      </x:c>
      <x:c r="F1063" s="11" t="n">
        <x:v>0.5905707478523254</x:v>
      </x:c>
      <x:c r="G1063" s="13" t="n">
        <x:v>2</x:v>
      </x:c>
      <x:c r="H1063" s="11" t="n">
        <x:v>0.3321626782417297</x:v>
      </x:c>
      <x:c r="I1063" s="11" t="n">
        <x:v>0.338314801454544</x:v>
      </x:c>
      <x:c r="J1063" s="24" t="n">
        <x:v>137.9110482307151</x:v>
      </x:c>
      <x:c r="K1063" s="24" t="n">
        <x:v>170.31496167182922</x:v>
      </x:c>
      <x:c r="L1063" s="11" t="n">
        <x:v>0.9528536200523376</x:v>
      </x:c>
      <x:c r="M1063" s="11" t="n">
        <x:v>0.0999332070350647</x:v>
      </x:c>
    </x:row>
    <x:row r="1064" ht="22" customHeight="1">
      <x:c r="A1064" s="17" t="str">
        <x:f>"04127997"</x:f>
        <x:v>04127997</x:v>
      </x:c>
      <x:c r="B1064" s="13" t="n">
        <x:v>44</x:v>
      </x:c>
      <x:c r="C1064" s="22" t="b">
        <x:v>1</x:v>
      </x:c>
      <x:c r="D1064" s="11" t="n">
        <x:v>0.024752475942174532</x:v>
      </x:c>
      <x:c r="E1064" s="11" t="n">
        <x:v>0.00046521036225986666</x:v>
      </x:c>
      <x:c r="F1064" s="11" t="n">
        <x:v>0.4183168411254883</x:v>
      </x:c>
      <x:c r="G1064" s="13" t="n">
        <x:v>9</x:v>
      </x:c>
      <x:c r="H1064" s="11" t="n">
        <x:v>0.2005127221345901</x:v>
      </x:c>
      <x:c r="I1064" s="11" t="n">
        <x:v>0.2199605703353881</x:v>
      </x:c>
      <x:c r="J1064" s="24" t="n">
        <x:v>138.5284046130255</x:v>
      </x:c>
      <x:c r="K1064" s="24" t="n">
        <x:v>155.2129385471344</x:v>
      </x:c>
      <x:c r="L1064" s="11" t="n">
        <x:v>0.4603960514068603</x:v>
      </x:c>
      <x:c r="M1064" s="11" t="n">
        <x:v>0.0999393239617347</x:v>
      </x:c>
    </x:row>
    <x:row r="1065" ht="22" customHeight="1">
      <x:c r="A1065" s="17" t="str">
        <x:f>"04127997"</x:f>
        <x:v>04127997</x:v>
      </x:c>
      <x:c r="B1065" s="13" t="n">
        <x:v>44</x:v>
      </x:c>
      <x:c r="C1065" s="22" t="b">
        <x:v>0</x:v>
      </x:c>
      <x:c r="D1065" s="11" t="n">
        <x:v>0.0438378825783729</x:v>
      </x:c>
      <x:c r="E1065" s="11" t="n">
        <x:v>0.00044527202650593333</x:v>
      </x:c>
      <x:c r="F1065" s="11" t="n">
        <x:v>0.5235732197761536</x:v>
      </x:c>
      <x:c r="G1065" s="13" t="n">
        <x:v>4</x:v>
      </x:c>
      <x:c r="H1065" s="11" t="n">
        <x:v>0.3249561786651611</x:v>
      </x:c>
      <x:c r="I1065" s="11" t="n">
        <x:v>0.4042213857173919</x:v>
      </x:c>
      <x:c r="J1065" s="24" t="n">
        <x:v>137.89126082882285</x:v>
      </x:c>
      <x:c r="K1065" s="24" t="n">
        <x:v>165.26325607299805</x:v>
      </x:c>
      <x:c r="L1065" s="11" t="n">
        <x:v>0.7915632724761963</x:v>
      </x:c>
      <x:c r="M1065" s="11" t="n">
        <x:v>0.0999332070350647</x:v>
      </x:c>
    </x:row>
    <x:row r="1066" ht="22" customHeight="1">
      <x:c r="A1066" s="17" t="str">
        <x:f>"05393500"</x:f>
        <x:v>05393500</x:v>
      </x:c>
      <x:c r="B1066" s="13" t="n">
        <x:v>43</x:v>
      </x:c>
      <x:c r="C1066" s="22" t="b">
        <x:v>1</x:v>
      </x:c>
      <x:c r="D1066" s="11" t="n">
        <x:v>0.0313531359036763</x:v>
      </x:c>
      <x:c r="E1066" s="11" t="n">
        <x:v>0.0005326321697793667</x:v>
      </x:c>
      <x:c r="F1066" s="11" t="n">
        <x:v>0.4727722704410553</x:v>
      </x:c>
      <x:c r="G1066" s="13" t="n">
        <x:v>4</x:v>
      </x:c>
      <x:c r="H1066" s="11" t="n">
        <x:v>0.0610253140330314</x:v>
      </x:c>
      <x:c r="I1066" s="11" t="n">
        <x:v>0.0920775085687637</x:v>
      </x:c>
      <x:c r="J1066" s="24" t="n">
        <x:v>140.6299674389884</x:v>
      </x:c>
      <x:c r="K1066" s="24" t="n">
        <x:v>167.4788682460785</x:v>
      </x:c>
      <x:c r="L1066" s="11" t="n">
        <x:v>0.7995049357414246</x:v>
      </x:c>
      <x:c r="M1066" s="11" t="n">
        <x:v>0.0999393239617347</x:v>
      </x:c>
    </x:row>
    <x:row r="1067" ht="22" customHeight="1">
      <x:c r="A1067" s="17" t="str">
        <x:f>"05393500"</x:f>
        <x:v>05393500</x:v>
      </x:c>
      <x:c r="B1067" s="13" t="n">
        <x:v>43</x:v>
      </x:c>
      <x:c r="C1067" s="22" t="b">
        <x:v>0</x:v>
      </x:c>
      <x:c r="D1067" s="11" t="n">
        <x:v>0.0446650125086307</x:v>
      </x:c>
      <x:c r="E1067" s="11" t="n">
        <x:v>0.00031708764921246663</x:v>
      </x:c>
      <x:c r="F1067" s="11" t="n">
        <x:v>0.5607940554618835</x:v>
      </x:c>
      <x:c r="G1067" s="13" t="n">
        <x:v>2</x:v>
      </x:c>
      <x:c r="H1067" s="11" t="n">
        <x:v>0.2928637266159057</x:v>
      </x:c>
      <x:c r="I1067" s="11" t="n">
        <x:v>0.3639944493770599</x:v>
      </x:c>
      <x:c r="J1067" s="24" t="n">
        <x:v>141.95876755937934</x:v>
      </x:c>
      <x:c r="K1067" s="24" t="n">
        <x:v>167.76788783073425</x:v>
      </x:c>
      <x:c r="L1067" s="11" t="n">
        <x:v>0.9181141257286072</x:v>
      </x:c>
      <x:c r="M1067" s="11" t="n">
        <x:v>0.0999332070350647</x:v>
      </x:c>
    </x:row>
    <x:row r="1068" ht="22" customHeight="1">
      <x:c r="A1068" s="17" t="str">
        <x:f>"05393500"</x:f>
        <x:v>05393500</x:v>
      </x:c>
      <x:c r="B1068" s="13" t="n">
        <x:v>44</x:v>
      </x:c>
      <x:c r="C1068" s="22" t="b">
        <x:v>1</x:v>
      </x:c>
      <x:c r="D1068" s="11" t="n">
        <x:v>0.029702970758080437</x:v>
      </x:c>
      <x:c r="E1068" s="11" t="n">
        <x:v>0.0005798274069092334</x:v>
      </x:c>
      <x:c r="F1068" s="11" t="n">
        <x:v>0.3712871372699737</x:v>
      </x:c>
      <x:c r="G1068" s="13" t="n">
        <x:v>5</x:v>
      </x:c>
      <x:c r="H1068" s="11" t="n">
        <x:v>0.047382902354002</x:v>
      </x:c>
      <x:c r="I1068" s="11" t="n">
        <x:v>0.0728855356574058</x:v>
      </x:c>
      <x:c r="J1068" s="24" t="n">
        <x:v>142.0323540000245</x:v>
      </x:c>
      <x:c r="K1068" s="24" t="n">
        <x:v>158.493328332901</x:v>
      </x:c>
      <x:c r="L1068" s="11" t="n">
        <x:v>0.5841584205627441</x:v>
      </x:c>
      <x:c r="M1068" s="11" t="n">
        <x:v>0.0999393239617347</x:v>
      </x:c>
    </x:row>
    <x:row r="1069" ht="22" customHeight="1">
      <x:c r="A1069" s="17" t="str">
        <x:f>"05393500"</x:f>
        <x:v>05393500</x:v>
      </x:c>
      <x:c r="B1069" s="13" t="n">
        <x:v>44</x:v>
      </x:c>
      <x:c r="C1069" s="22" t="b">
        <x:v>0</x:v>
      </x:c>
      <x:c r="D1069" s="11" t="n">
        <x:v>0.06286186973253881</x:v>
      </x:c>
      <x:c r="E1069" s="11" t="n">
        <x:v>0.00012143782199315943</x:v>
      </x:c>
      <x:c r="F1069" s="11" t="n">
        <x:v>0.5285359621047974</x:v>
      </x:c>
      <x:c r="G1069" s="13" t="n">
        <x:v>5</x:v>
      </x:c>
      <x:c r="H1069" s="11" t="n">
        <x:v>0.246488332748413</x:v>
      </x:c>
      <x:c r="I1069" s="11" t="n">
        <x:v>0.355129212141037</x:v>
      </x:c>
      <x:c r="J1069" s="24" t="n">
        <x:v>148.2276865011081</x:v>
      </x:c>
      <x:c r="K1069" s="24" t="n">
        <x:v>172.3104212284088</x:v>
      </x:c>
      <x:c r="L1069" s="11" t="n">
        <x:v>0.729528546333313</x:v>
      </x:c>
      <x:c r="M1069" s="11" t="n">
        <x:v>0.0999332070350647</x:v>
      </x:c>
    </x:row>
    <x:row r="1070" ht="22" customHeight="1">
      <x:c r="A1070" s="17" t="str">
        <x:f>"06601000"</x:f>
        <x:v>06601000</x:v>
      </x:c>
      <x:c r="B1070" s="13" t="n">
        <x:v>43</x:v>
      </x:c>
      <x:c r="C1070" s="22" t="b">
        <x:v>1</x:v>
      </x:c>
      <x:c r="D1070" s="11" t="n">
        <x:v>0.018976897932589</x:v>
      </x:c>
      <x:c r="E1070" s="11" t="n">
        <x:v>0.0013349514532213</x:v>
      </x:c>
      <x:c r="F1070" s="11" t="n">
        <x:v>0.3094059526920318</x:v>
      </x:c>
      <x:c r="G1070" s="13" t="n">
        <x:v>3</x:v>
      </x:c>
      <x:c r="H1070" s="11" t="n">
        <x:v>0.0807009562849998</x:v>
      </x:c>
      <x:c r="I1070" s="11" t="n">
        <x:v>0.086512915790081</x:v>
      </x:c>
      <x:c r="J1070" s="24" t="n">
        <x:v>148.68842529226094</x:v>
      </x:c>
      <x:c r="K1070" s="24" t="n">
        <x:v>160.34464573860168</x:v>
      </x:c>
      <x:c r="L1070" s="11" t="n">
        <x:v>0.5990098714828491</x:v>
      </x:c>
      <x:c r="M1070" s="11" t="n">
        <x:v>0.0999393239617347</x:v>
      </x:c>
    </x:row>
    <x:row r="1071" ht="22" customHeight="1">
      <x:c r="A1071" s="17" t="str">
        <x:f>"06601000"</x:f>
        <x:v>06601000</x:v>
      </x:c>
      <x:c r="B1071" s="13" t="n">
        <x:v>43</x:v>
      </x:c>
      <x:c r="C1071" s="22" t="b">
        <x:v>0</x:v>
      </x:c>
      <x:c r="D1071" s="11" t="n">
        <x:v>0.0446650125086307</x:v>
      </x:c>
      <x:c r="E1071" s="11" t="n">
        <x:v>0.00029010146681679997</x:v>
      </x:c>
      <x:c r="F1071" s="11" t="n">
        <x:v>0.3846153914928436</x:v>
      </x:c>
      <x:c r="G1071" s="13" t="n">
        <x:v>1</x:v>
      </x:c>
      <x:c r="H1071" s="11" t="n">
        <x:v>0.1405587345361709</x:v>
      </x:c>
      <x:c r="I1071" s="11" t="n">
        <x:v>0.1440578252077102</x:v>
      </x:c>
      <x:c r="J1071" s="24" t="n">
        <x:v>144.4817531146109</x:v>
      </x:c>
      <x:c r="K1071" s="24" t="n">
        <x:v>163.51042795181274</x:v>
      </x:c>
      <x:c r="L1071" s="11" t="n">
        <x:v>0.9032257795333862</x:v>
      </x:c>
      <x:c r="M1071" s="11" t="n">
        <x:v>0.0999332070350647</x:v>
      </x:c>
    </x:row>
    <x:row r="1072" ht="22" customHeight="1">
      <x:c r="A1072" s="17" t="str">
        <x:f>"06601000"</x:f>
        <x:v>06601000</x:v>
      </x:c>
      <x:c r="B1072" s="13" t="n">
        <x:v>44</x:v>
      </x:c>
      <x:c r="C1072" s="22" t="b">
        <x:v>1</x:v>
      </x:c>
      <x:c r="D1072" s="11" t="n">
        <x:v>0.021452145340541934</x:v>
      </x:c>
      <x:c r="E1072" s="11" t="n">
        <x:v>0.0008495145593769333</x:v>
      </x:c>
      <x:c r="F1072" s="11" t="n">
        <x:v>0.301980197429657</x:v>
      </x:c>
      <x:c r="G1072" s="13" t="n">
        <x:v>2</x:v>
      </x:c>
      <x:c r="H1072" s="11" t="n">
        <x:v>0.0835529193282127</x:v>
      </x:c>
      <x:c r="I1072" s="11" t="n">
        <x:v>0.091879054903984</x:v>
      </x:c>
      <x:c r="J1072" s="24" t="n">
        <x:v>142.8282782640308</x:v>
      </x:c>
      <x:c r="K1072" s="24" t="n">
        <x:v>155.13056635856628</x:v>
      </x:c>
      <x:c r="L1072" s="11" t="n">
        <x:v>0.7475247383117676</x:v>
      </x:c>
      <x:c r="M1072" s="11" t="n">
        <x:v>0.0999393239617347</x:v>
      </x:c>
    </x:row>
    <x:row r="1073" ht="22" customHeight="1">
      <x:c r="A1073" s="17" t="str">
        <x:f>"06601000"</x:f>
        <x:v>06601000</x:v>
      </x:c>
      <x:c r="B1073" s="13" t="n">
        <x:v>44</x:v>
      </x:c>
      <x:c r="C1073" s="22" t="b">
        <x:v>0</x:v>
      </x:c>
      <x:c r="D1073" s="11" t="n">
        <x:v>0.038875102996826096</x:v>
      </x:c>
      <x:c r="E1073" s="11" t="n">
        <x:v>0.0004992443815959667</x:v>
      </x:c>
      <x:c r="F1073" s="11" t="n">
        <x:v>0.3821339905261993</x:v>
      </x:c>
      <x:c r="G1073" s="13" t="n">
        <x:v>2</x:v>
      </x:c>
      <x:c r="H1073" s="11" t="n">
        <x:v>0.1216823607683181</x:v>
      </x:c>
      <x:c r="I1073" s="11" t="n">
        <x:v>0.1444065272808075</x:v>
      </x:c>
      <x:c r="J1073" s="24" t="n">
        <x:v>144.88016035873443</x:v>
      </x:c>
      <x:c r="K1073" s="24" t="n">
        <x:v>161.84810781478882</x:v>
      </x:c>
      <x:c r="L1073" s="11" t="n">
        <x:v>0.8163771629333496</x:v>
      </x:c>
      <x:c r="M1073" s="11" t="n">
        <x:v>0.0999332070350647</x:v>
      </x:c>
    </x:row>
    <x:row r="1074" ht="22" customHeight="1">
      <x:c r="A1074" s="17" t="str">
        <x:f>"08158700"</x:f>
        <x:v>08158700</x:v>
      </x:c>
      <x:c r="B1074" s="13" t="n">
        <x:v>43</x:v>
      </x:c>
      <x:c r="C1074" s="22" t="b">
        <x:v>1</x:v>
      </x:c>
      <x:c r="D1074" s="11" t="n">
        <x:v>0.020627062767744</x:v>
      </x:c>
      <x:c r="E1074" s="11" t="n">
        <x:v>0.0002292340892987333</x:v>
      </x:c>
      <x:c r="F1074" s="11" t="n">
        <x:v>0.3490099012851715</x:v>
      </x:c>
      <x:c r="G1074" s="13" t="n">
        <x:v>1</x:v>
      </x:c>
      <x:c r="H1074" s="11" t="n">
        <x:v>0.5234901905059814</x:v>
      </x:c>
      <x:c r="I1074" s="11" t="n">
        <x:v>0.551064133644104</x:v>
      </x:c>
      <x:c r="J1074" s="24" t="n">
        <x:v>140.24043066054583</x:v>
      </x:c>
      <x:c r="K1074" s="24" t="n">
        <x:v>163.3487584590912</x:v>
      </x:c>
      <x:c r="L1074" s="11" t="n">
        <x:v>0.9554455280303956</x:v>
      </x:c>
      <x:c r="M1074" s="11" t="n">
        <x:v>0.0999393239617347</x:v>
      </x:c>
    </x:row>
    <x:row r="1075" ht="22" customHeight="1">
      <x:c r="A1075" s="17" t="str">
        <x:f>"08158700"</x:f>
        <x:v>08158700</x:v>
      </x:c>
      <x:c r="B1075" s="13" t="n">
        <x:v>43</x:v>
      </x:c>
      <x:c r="C1075" s="22" t="b">
        <x:v>0</x:v>
      </x:c>
      <x:c r="D1075" s="11" t="n">
        <x:v>0.028949545075495964</x:v>
      </x:c>
      <x:c r="E1075" s="11" t="n">
        <x:v>0.0002361290971748</x:v>
      </x:c>
      <x:c r="F1075" s="11" t="n">
        <x:v>0.4267989993095398</x:v>
      </x:c>
      <x:c r="G1075" s="13" t="n">
        <x:v>10</x:v>
      </x:c>
      <x:c r="H1075" s="11" t="n">
        <x:v>0.5464634895324707</x:v>
      </x:c>
      <x:c r="I1075" s="11" t="n">
        <x:v>0.5464634895324707</x:v>
      </x:c>
      <x:c r="J1075" s="24" t="n">
        <x:v>135.29415627382696</x:v>
      </x:c>
      <x:c r="K1075" s="24" t="n">
        <x:v>151.4153447151184</x:v>
      </x:c>
      <x:c r="L1075" s="11" t="n">
        <x:v>0.4267989993095398</x:v>
      </x:c>
      <x:c r="M1075" s="11" t="n">
        <x:v>0.0999332070350647</x:v>
      </x:c>
    </x:row>
    <x:row r="1076" ht="22" customHeight="1">
      <x:c r="A1076" s="17" t="str">
        <x:f>"08158700"</x:f>
        <x:v>08158700</x:v>
      </x:c>
      <x:c r="B1076" s="13" t="n">
        <x:v>44</x:v>
      </x:c>
      <x:c r="C1076" s="22" t="b">
        <x:v>1</x:v>
      </x:c>
      <x:c r="D1076" s="11" t="n">
        <x:v>0.016501650524636067</x:v>
      </x:c>
      <x:c r="E1076" s="11" t="n">
        <x:v>0.0005596008559223</x:v>
      </x:c>
      <x:c r="F1076" s="11" t="n">
        <x:v>0.3366336524486542</x:v>
      </x:c>
      <x:c r="G1076" s="13" t="n">
        <x:v>5</x:v>
      </x:c>
      <x:c r="H1076" s="11" t="n">
        <x:v>0.5171825289726257</x:v>
      </x:c>
      <x:c r="I1076" s="11" t="n">
        <x:v>0.5446761250495911</x:v>
      </x:c>
      <x:c r="J1076" s="24" t="n">
        <x:v>140.0966814989224</x:v>
      </x:c>
      <x:c r="K1076" s="24" t="n">
        <x:v>154.453711271286</x:v>
      </x:c>
      <x:c r="L1076" s="11" t="n">
        <x:v>0.4925742447376251</x:v>
      </x:c>
      <x:c r="M1076" s="11" t="n">
        <x:v>0.0999393239617347</x:v>
      </x:c>
    </x:row>
    <x:row r="1077" ht="22" customHeight="1">
      <x:c r="A1077" s="17" t="str">
        <x:f>"08158700"</x:f>
        <x:v>08158700</x:v>
      </x:c>
      <x:c r="B1077" s="13" t="n">
        <x:v>44</x:v>
      </x:c>
      <x:c r="C1077" s="22" t="b">
        <x:v>0</x:v>
      </x:c>
      <x:c r="D1077" s="11" t="n">
        <x:v>0.014061207572619033</x:v>
      </x:c>
      <x:c r="E1077" s="11" t="n">
        <x:v>0.000573456394098</x:v>
      </x:c>
      <x:c r="F1077" s="11" t="n">
        <x:v>0.3598015010356903</x:v>
      </x:c>
      <x:c r="G1077" s="13" t="n">
        <x:v>7</x:v>
      </x:c>
      <x:c r="H1077" s="11" t="n">
        <x:v>0.5668952465057373</x:v>
      </x:c>
      <x:c r="I1077" s="11" t="n">
        <x:v>0.5905275940895081</x:v>
      </x:c>
      <x:c r="J1077" s="24" t="n">
        <x:v>139.03164087142795</x:v>
      </x:c>
      <x:c r="K1077" s="24" t="n">
        <x:v>155.08135843276978</x:v>
      </x:c>
      <x:c r="L1077" s="11" t="n">
        <x:v>0.466501235961914</x:v>
      </x:c>
      <x:c r="M1077" s="11" t="n">
        <x:v>0.0999332070350647</x:v>
      </x:c>
    </x:row>
    <x:row r="1078" ht="22" customHeight="1">
      <x:c r="A1078" s="17" t="str">
        <x:f>"10172700"</x:f>
        <x:v>10172700</x:v>
      </x:c>
      <x:c r="B1078" s="13" t="n">
        <x:v>43</x:v>
      </x:c>
      <x:c r="C1078" s="22" t="b">
        <x:v>1</x:v>
      </x:c>
      <x:c r="D1078" s="11" t="n">
        <x:v>0.023927393058935736</x:v>
      </x:c>
      <x:c r="E1078" s="11" t="n">
        <x:v>0.0006944444418574</x:v>
      </x:c>
      <x:c r="F1078" s="11" t="n">
        <x:v>0.3688118755817413</x:v>
      </x:c>
      <x:c r="G1078" s="13" t="n">
        <x:v>8</x:v>
      </x:c>
      <x:c r="H1078" s="11" t="n">
        <x:v>0.1044487282633781</x:v>
      </x:c>
      <x:c r="I1078" s="11" t="n">
        <x:v>0.1091263070702552</x:v>
      </x:c>
      <x:c r="J1078" s="24" t="n">
        <x:v>138.00848785508424</x:v>
      </x:c>
      <x:c r="K1078" s="24" t="n">
        <x:v>149.90815496444702</x:v>
      </x:c>
      <x:c r="L1078" s="11" t="n">
        <x:v>0.4381188154220581</x:v>
      </x:c>
      <x:c r="M1078" s="11" t="n">
        <x:v>0.0999393239617347</x:v>
      </x:c>
    </x:row>
    <x:row r="1079" ht="22" customHeight="1">
      <x:c r="A1079" s="17" t="str">
        <x:f>"10172700"</x:f>
        <x:v>10172700</x:v>
      </x:c>
      <x:c r="B1079" s="13" t="n">
        <x:v>43</x:v>
      </x:c>
      <x:c r="C1079" s="22" t="b">
        <x:v>0</x:v>
      </x:c>
      <x:c r="D1079" s="11" t="n">
        <x:v>0.0272952858358621</x:v>
      </x:c>
      <x:c r="E1079" s="11" t="n">
        <x:v>0.0003643134744682</x:v>
      </x:c>
      <x:c r="F1079" s="11" t="n">
        <x:v>0.3374689817428589</x:v>
      </x:c>
      <x:c r="G1079" s="13" t="n">
        <x:v>1</x:v>
      </x:c>
      <x:c r="H1079" s="11" t="n">
        <x:v>0.4544907808303833</x:v>
      </x:c>
      <x:c r="I1079" s="11" t="n">
        <x:v>0.6621080040931702</x:v>
      </x:c>
      <x:c r="J1079" s="24" t="n">
        <x:v>135.56036195158958</x:v>
      </x:c>
      <x:c r="K1079" s="24" t="n">
        <x:v>159.99787855148315</x:v>
      </x:c>
      <x:c r="L1079" s="11" t="n">
        <x:v>0.8982630372047424</x:v>
      </x:c>
      <x:c r="M1079" s="11" t="n">
        <x:v>0.0999332070350647</x:v>
      </x:c>
    </x:row>
    <x:row r="1080" ht="22" customHeight="1">
      <x:c r="A1080" s="17" t="str">
        <x:f>"10172700"</x:f>
        <x:v>10172700</x:v>
      </x:c>
      <x:c r="B1080" s="13" t="n">
        <x:v>44</x:v>
      </x:c>
      <x:c r="C1080" s="22" t="b">
        <x:v>1</x:v>
      </x:c>
      <x:c r="D1080" s="11" t="n">
        <x:v>0.014851485534260633</x:v>
      </x:c>
      <x:c r="E1080" s="11" t="n">
        <x:v>0.0006000539190911666</x:v>
      </x:c>
      <x:c r="F1080" s="11" t="n">
        <x:v>0.3564356565475464</x:v>
      </x:c>
      <x:c r="G1080" s="13" t="n">
        <x:v>5</x:v>
      </x:c>
      <x:c r="H1080" s="11" t="n">
        <x:v>0.1048443838953971</x:v>
      </x:c>
      <x:c r="I1080" s="11" t="n">
        <x:v>0.1059127151966095</x:v>
      </x:c>
      <x:c r="J1080" s="24" t="n">
        <x:v>136.57577787339687</x:v>
      </x:c>
      <x:c r="K1080" s="24" t="n">
        <x:v>148.0072727203369</x:v>
      </x:c>
      <x:c r="L1080" s="11" t="n">
        <x:v>0.5693069100379944</x:v>
      </x:c>
      <x:c r="M1080" s="11" t="n">
        <x:v>0.0999393239617347</x:v>
      </x:c>
    </x:row>
    <x:row r="1081" ht="22" customHeight="1">
      <x:c r="A1081" s="17" t="str">
        <x:f>"10172700"</x:f>
        <x:v>10172700</x:v>
      </x:c>
      <x:c r="B1081" s="13" t="n">
        <x:v>44</x:v>
      </x:c>
      <x:c r="C1081" s="22" t="b">
        <x:v>0</x:v>
      </x:c>
      <x:c r="D1081" s="11" t="n">
        <x:v>0.02729528521498037</x:v>
      </x:c>
      <x:c r="E1081" s="11" t="n">
        <x:v>0.00040479274078576667</x:v>
      </x:c>
      <x:c r="F1081" s="11" t="n">
        <x:v>0.3771712183952331</x:v>
      </x:c>
      <x:c r="G1081" s="13" t="n">
        <x:v>8</x:v>
      </x:c>
      <x:c r="H1081" s="11" t="n">
        <x:v>0.3878089785575866</x:v>
      </x:c>
      <x:c r="I1081" s="11" t="n">
        <x:v>0.5435081124305725</x:v>
      </x:c>
      <x:c r="J1081" s="24" t="n">
        <x:v>140.17542676068842</x:v>
      </x:c>
      <x:c r="K1081" s="24" t="n">
        <x:v>155.7605676651001</x:v>
      </x:c>
      <x:c r="L1081" s="11" t="n">
        <x:v>0.4491315186023712</x:v>
      </x:c>
      <x:c r="M1081" s="11" t="n">
        <x:v>0.0999332070350647</x:v>
      </x:c>
    </x:row>
    <x:row r="1082" ht="22" customHeight="1">
      <x:c r="A1082" s="17" t="str">
        <x:f>"10234500"</x:f>
        <x:v>10234500</x:v>
      </x:c>
      <x:c r="B1082" s="13" t="n">
        <x:v>43</x:v>
      </x:c>
      <x:c r="C1082" s="22" t="b">
        <x:v>1</x:v>
      </x:c>
      <x:c r="D1082" s="11" t="n">
        <x:v>0.013201320388664764</x:v>
      </x:c>
      <x:c r="E1082" s="11" t="n">
        <x:v>0.0005393743340391333</x:v>
      </x:c>
      <x:c r="F1082" s="11" t="n">
        <x:v>0.3094059526920318</x:v>
      </x:c>
      <x:c r="G1082" s="13" t="n">
        <x:v>9</x:v>
      </x:c>
      <x:c r="H1082" s="11" t="n">
        <x:v>0.0106481779366731</x:v>
      </x:c>
      <x:c r="I1082" s="11" t="n">
        <x:v>0.0130439037457108</x:v>
      </x:c>
      <x:c r="J1082" s="24" t="n">
        <x:v>138.0173588115722</x:v>
      </x:c>
      <x:c r="K1082" s="24" t="n">
        <x:v>145.93411827087402</x:v>
      </x:c>
      <x:c r="L1082" s="11" t="n">
        <x:v>0.3267326653003692</x:v>
      </x:c>
      <x:c r="M1082" s="11" t="n">
        <x:v>0.0999393239617347</x:v>
      </x:c>
    </x:row>
    <x:row r="1083" ht="22" customHeight="1">
      <x:c r="A1083" s="17" t="str">
        <x:f>"10234500"</x:f>
        <x:v>10234500</x:v>
      </x:c>
      <x:c r="B1083" s="13" t="n">
        <x:v>43</x:v>
      </x:c>
      <x:c r="C1083" s="22" t="b">
        <x:v>0</x:v>
      </x:c>
      <x:c r="D1083" s="11" t="n">
        <x:v>0.03225806417564544</x:v>
      </x:c>
      <x:c r="E1083" s="11" t="n">
        <x:v>0.0003035945604399667</x:v>
      </x:c>
      <x:c r="F1083" s="11" t="n">
        <x:v>0.4367245733737945</x:v>
      </x:c>
      <x:c r="G1083" s="13" t="n">
        <x:v>8</x:v>
      </x:c>
      <x:c r="H1083" s="11" t="n">
        <x:v>0.4191526770591736</x:v>
      </x:c>
      <x:c r="I1083" s="11" t="n">
        <x:v>0.4465288817882538</x:v>
      </x:c>
      <x:c r="J1083" s="24" t="n">
        <x:v>136.4167618509382</x:v>
      </x:c>
      <x:c r="K1083" s="24" t="n">
        <x:v>151.28893876075745</x:v>
      </x:c>
      <x:c r="L1083" s="11" t="n">
        <x:v>0.4764268100261688</x:v>
      </x:c>
      <x:c r="M1083" s="11" t="n">
        <x:v>0.0999332070350647</x:v>
      </x:c>
    </x:row>
    <x:row r="1084" ht="22" customHeight="1">
      <x:c r="A1084" s="17" t="str">
        <x:f>"10234500"</x:f>
        <x:v>10234500</x:v>
      </x:c>
      <x:c r="B1084" s="13" t="n">
        <x:v>44</x:v>
      </x:c>
      <x:c r="C1084" s="22" t="b">
        <x:v>1</x:v>
      </x:c>
      <x:c r="D1084" s="11" t="n">
        <x:v>0.01897689762214813</x:v>
      </x:c>
      <x:c r="E1084" s="11" t="n">
        <x:v>0.0005933117645326667</x:v>
      </x:c>
      <x:c r="F1084" s="11" t="n">
        <x:v>0.3613861501216888</x:v>
      </x:c>
      <x:c r="G1084" s="13" t="n">
        <x:v>8</x:v>
      </x:c>
      <x:c r="H1084" s="11" t="n">
        <x:v>0.0127124218270182</x:v>
      </x:c>
      <x:c r="I1084" s="11" t="n">
        <x:v>0.013167917728424</x:v>
      </x:c>
      <x:c r="J1084" s="24" t="n">
        <x:v>134.25945053435862</x:v>
      </x:c>
      <x:c r="K1084" s="24" t="n">
        <x:v>141.8208248615265</x:v>
      </x:c>
      <x:c r="L1084" s="11" t="n">
        <x:v>0.4554455578327179</x:v>
      </x:c>
      <x:c r="M1084" s="11" t="n">
        <x:v>0.0999393239617347</x:v>
      </x:c>
    </x:row>
    <x:row r="1085" ht="22" customHeight="1">
      <x:c r="A1085" s="17" t="str">
        <x:f>"10234500"</x:f>
        <x:v>10234500</x:v>
      </x:c>
      <x:c r="B1085" s="13" t="n">
        <x:v>44</x:v>
      </x:c>
      <x:c r="C1085" s="22" t="b">
        <x:v>0</x:v>
      </x:c>
      <x:c r="D1085" s="11" t="n">
        <x:v>0.04052936347822344</x:v>
      </x:c>
      <x:c r="E1085" s="11" t="n">
        <x:v>0.0003103410999755667</x:v>
      </x:c>
      <x:c r="F1085" s="11" t="n">
        <x:v>0.4168734550476074</x:v>
      </x:c>
      <x:c r="G1085" s="13" t="n">
        <x:v>5</x:v>
      </x:c>
      <x:c r="H1085" s="11" t="n">
        <x:v>0.4647626578807831</x:v>
      </x:c>
      <x:c r="I1085" s="11" t="n">
        <x:v>0.5255597829818726</x:v>
      </x:c>
      <x:c r="J1085" s="24" t="n">
        <x:v>123.71324920002371</x:v>
      </x:c>
      <x:c r="K1085" s="24" t="n">
        <x:v>137.99318742752075</x:v>
      </x:c>
      <x:c r="L1085" s="11" t="n">
        <x:v>0.5905707478523254</x:v>
      </x:c>
      <x:c r="M1085" s="11" t="n">
        <x:v>0.0999332070350647</x:v>
      </x:c>
    </x:row>
    <x:row r="1086" ht="22" customHeight="1">
      <x:c r="A1086" s="17" t="str">
        <x:f>"10343500"</x:f>
        <x:v>10343500</x:v>
      </x:c>
      <x:c r="B1086" s="13" t="n">
        <x:v>43</x:v>
      </x:c>
      <x:c r="C1086" s="22" t="b">
        <x:v>1</x:v>
      </x:c>
      <x:c r="D1086" s="11" t="n">
        <x:v>0.014851485223819768</x:v>
      </x:c>
      <x:c r="E1086" s="11" t="n">
        <x:v>0.0009371628790782667</x:v>
      </x:c>
      <x:c r="F1086" s="11" t="n">
        <x:v>0.2970297038555145</x:v>
      </x:c>
      <x:c r="G1086" s="13" t="n">
        <x:v>2</x:v>
      </x:c>
      <x:c r="H1086" s="11" t="n">
        <x:v>0.098701573908329</x:v>
      </x:c>
      <x:c r="I1086" s="11" t="n">
        <x:v>0.1022978797554969</x:v>
      </x:c>
      <x:c r="J1086" s="24" t="n">
        <x:v>123.35786164272577</x:v>
      </x:c>
      <x:c r="K1086" s="24" t="n">
        <x:v>135.48798298835754</x:v>
      </x:c>
      <x:c r="L1086" s="11" t="n">
        <x:v>0.7351484894752502</x:v>
      </x:c>
      <x:c r="M1086" s="11" t="n">
        <x:v>0.0999393239617347</x:v>
      </x:c>
    </x:row>
    <x:row r="1087" ht="22" customHeight="1">
      <x:c r="A1087" s="17" t="str">
        <x:f>"10343500"</x:f>
        <x:v>10343500</x:v>
      </x:c>
      <x:c r="B1087" s="13" t="n">
        <x:v>43</x:v>
      </x:c>
      <x:c r="C1087" s="22" t="b">
        <x:v>0</x:v>
      </x:c>
      <x:c r="D1087" s="11" t="n">
        <x:v>0.02646815528472257</x:v>
      </x:c>
      <x:c r="E1087" s="11" t="n">
        <x:v>0.00032383418874809994</x:v>
      </x:c>
      <x:c r="F1087" s="11" t="n">
        <x:v>0.4218362271785736</x:v>
      </x:c>
      <x:c r="G1087" s="13" t="n">
        <x:v>1</x:v>
      </x:c>
      <x:c r="H1087" s="11" t="n">
        <x:v>0.2461996227502823</x:v>
      </x:c>
      <x:c r="I1087" s="11" t="n">
        <x:v>0.2713785469532013</x:v>
      </x:c>
      <x:c r="J1087" s="24" t="n">
        <x:v>120.42939635645598</x:v>
      </x:c>
      <x:c r="K1087" s="24" t="n">
        <x:v>137.8451223373413</x:v>
      </x:c>
      <x:c r="L1087" s="11" t="n">
        <x:v>0.9528536200523376</x:v>
      </x:c>
      <x:c r="M1087" s="11" t="n">
        <x:v>0.0999332070350647</x:v>
      </x:c>
    </x:row>
    <x:row r="1088" ht="22" customHeight="1">
      <x:c r="A1088" s="17" t="str">
        <x:f>"10343500"</x:f>
        <x:v>10343500</x:v>
      </x:c>
      <x:c r="B1088" s="13" t="n">
        <x:v>44</x:v>
      </x:c>
      <x:c r="C1088" s="22" t="b">
        <x:v>1</x:v>
      </x:c>
      <x:c r="D1088" s="11" t="n">
        <x:v>0.019801979884505234</x:v>
      </x:c>
      <x:c r="E1088" s="11" t="n">
        <x:v>0.0005258899570132</x:v>
      </x:c>
      <x:c r="F1088" s="11" t="n">
        <x:v>0.2673267424106598</x:v>
      </x:c>
      <x:c r="G1088" s="13" t="n">
        <x:v>9</x:v>
      </x:c>
      <x:c r="H1088" s="11" t="n">
        <x:v>0.1021322458982467</x:v>
      </x:c>
      <x:c r="I1088" s="11" t="n">
        <x:v>0.106166772544384</x:v>
      </x:c>
      <x:c r="J1088" s="24" t="n">
        <x:v>113.01576672587544</x:v>
      </x:c>
      <x:c r="K1088" s="24" t="n">
        <x:v>120.11537528038025</x:v>
      </x:c>
      <x:c r="L1088" s="11" t="n">
        <x:v>0.2970297038555145</x:v>
      </x:c>
      <x:c r="M1088" s="11" t="n">
        <x:v>0.0999393239617347</x:v>
      </x:c>
    </x:row>
    <x:row r="1089" ht="22" customHeight="1">
      <x:c r="A1089" s="17" t="str">
        <x:f>"10343500"</x:f>
        <x:v>10343500</x:v>
      </x:c>
      <x:c r="B1089" s="13" t="n">
        <x:v>44</x:v>
      </x:c>
      <x:c r="C1089" s="22" t="b">
        <x:v>0</x:v>
      </x:c>
      <x:c r="D1089" s="11" t="n">
        <x:v>0.0430107526481151</x:v>
      </x:c>
      <x:c r="E1089" s="11" t="n">
        <x:v>0.00041828583925956664</x:v>
      </x:c>
      <x:c r="F1089" s="11" t="n">
        <x:v>0.4937965273857116</x:v>
      </x:c>
      <x:c r="G1089" s="13" t="n">
        <x:v>4</x:v>
      </x:c>
      <x:c r="H1089" s="11" t="n">
        <x:v>0.2777295708656311</x:v>
      </x:c>
      <x:c r="I1089" s="11" t="n">
        <x:v>0.2842722237110138</x:v>
      </x:c>
      <x:c r="J1089" s="24" t="n">
        <x:v>113.18551542889327</x:v>
      </x:c>
      <x:c r="K1089" s="24" t="n">
        <x:v>127.95488023757935</x:v>
      </x:c>
      <x:c r="L1089" s="11" t="n">
        <x:v>0.7047146558761597</x:v>
      </x:c>
      <x:c r="M1089" s="11" t="n">
        <x:v>0.0999332070350647</x:v>
      </x:c>
    </x:row>
    <x:row r="1090" ht="22" customHeight="1">
      <x:c r="A1090" s="17" t="str">
        <x:f>"12035000"</x:f>
        <x:v>12035000</x:v>
      </x:c>
      <x:c r="B1090" s="13" t="n">
        <x:v>43</x:v>
      </x:c>
      <x:c r="C1090" s="22" t="b">
        <x:v>1</x:v>
      </x:c>
      <x:c r="D1090" s="11" t="n">
        <x:v>0.020627062767744</x:v>
      </x:c>
      <x:c r="E1090" s="11" t="n">
        <x:v>0.0005461165080001667</x:v>
      </x:c>
      <x:c r="F1090" s="11" t="n">
        <x:v>0.4158415794372558</x:v>
      </x:c>
      <x:c r="G1090" s="13" t="n">
        <x:v>3</x:v>
      </x:c>
      <x:c r="H1090" s="11" t="n">
        <x:v>0.1528811305761337</x:v>
      </x:c>
      <x:c r="I1090" s="11" t="n">
        <x:v>0.1719337105751037</x:v>
      </x:c>
      <x:c r="J1090" s="24" t="n">
        <x:v>106.81294503621757</x:v>
      </x:c>
      <x:c r="K1090" s="24" t="n">
        <x:v>118.76024508476257</x:v>
      </x:c>
      <x:c r="L1090" s="11" t="n">
        <x:v>0.7698019742965698</x:v>
      </x:c>
      <x:c r="M1090" s="11" t="n">
        <x:v>0.0999393239617347</x:v>
      </x:c>
    </x:row>
    <x:row r="1091" ht="22" customHeight="1">
      <x:c r="A1091" s="17" t="str">
        <x:f>"12035000"</x:f>
        <x:v>12035000</x:v>
      </x:c>
      <x:c r="B1091" s="13" t="n">
        <x:v>43</x:v>
      </x:c>
      <x:c r="C1091" s="22" t="b">
        <x:v>0</x:v>
      </x:c>
      <x:c r="D1091" s="11" t="n">
        <x:v>0.0231596361845731</x:v>
      </x:c>
      <x:c r="E1091" s="11" t="n">
        <x:v>0.00041153928032140004</x:v>
      </x:c>
      <x:c r="F1091" s="11" t="n">
        <x:v>0.4069478809833526</x:v>
      </x:c>
      <x:c r="G1091" s="13" t="n">
        <x:v>8</x:v>
      </x:c>
      <x:c r="H1091" s="11" t="n">
        <x:v>0.1613893061876297</x:v>
      </x:c>
      <x:c r="I1091" s="11" t="n">
        <x:v>0.1687000542879104</x:v>
      </x:c>
      <x:c r="J1091" s="24" t="n">
        <x:v>102.86344561353326</x:v>
      </x:c>
      <x:c r="K1091" s="24" t="n">
        <x:v>111.36187028884888</x:v>
      </x:c>
      <x:c r="L1091" s="11" t="n">
        <x:v>0.4838709533214569</x:v>
      </x:c>
      <x:c r="M1091" s="11" t="n">
        <x:v>0.0999332070350647</x:v>
      </x:c>
    </x:row>
    <x:row r="1092" ht="22" customHeight="1">
      <x:c r="A1092" s="17" t="str">
        <x:f>"12035000"</x:f>
        <x:v>12035000</x:v>
      </x:c>
      <x:c r="B1092" s="13" t="n">
        <x:v>44</x:v>
      </x:c>
      <x:c r="C1092" s="22" t="b">
        <x:v>1</x:v>
      </x:c>
      <x:c r="D1092" s="11" t="n">
        <x:v>0.03382838331162923</x:v>
      </x:c>
      <x:c r="E1092" s="11" t="n">
        <x:v>0.00045172600463650006</x:v>
      </x:c>
      <x:c r="F1092" s="11" t="n">
        <x:v>0.4257425665855407</x:v>
      </x:c>
      <x:c r="G1092" s="13" t="n">
        <x:v>1</x:v>
      </x:c>
      <x:c r="H1092" s="11" t="n">
        <x:v>0.160231351852417</x:v>
      </x:c>
      <x:c r="I1092" s="11" t="n">
        <x:v>0.1780982315540313</x:v>
      </x:c>
      <x:c r="J1092" s="24" t="n">
        <x:v>100.71401658747345</x:v>
      </x:c>
      <x:c r="K1092" s="24" t="n">
        <x:v>118.43553972244263</x:v>
      </x:c>
      <x:c r="L1092" s="11" t="n">
        <x:v>0.957920789718628</x:v>
      </x:c>
      <x:c r="M1092" s="11" t="n">
        <x:v>0.0999393239617347</x:v>
      </x:c>
    </x:row>
    <x:row r="1093" ht="22" customHeight="1">
      <x:c r="A1093" s="18" t="str">
        <x:f>"12035000"</x:f>
        <x:v>12035000</x:v>
      </x:c>
      <x:c r="B1093" s="15" t="n">
        <x:v>44</x:v>
      </x:c>
      <x:c r="C1093" s="23" t="b">
        <x:v>0</x:v>
      </x:c>
      <x:c r="D1093" s="16" t="n">
        <x:v>0.03391232465704277</x:v>
      </x:c>
      <x:c r="E1093" s="16" t="n">
        <x:v>0.0004452720168046</x:v>
      </x:c>
      <x:c r="F1093" s="16" t="n">
        <x:v>0.444168746471405</x:v>
      </x:c>
      <x:c r="G1093" s="15" t="n">
        <x:v>8</x:v>
      </x:c>
      <x:c r="H1093" s="16" t="n">
        <x:v>0.1624704897403717</x:v>
      </x:c>
      <x:c r="I1093" s="16" t="n">
        <x:v>0.1705502867698669</x:v>
      </x:c>
      <x:c r="J1093" s="25" t="n">
        <x:v>92.81132451444864</x:v>
      </x:c>
      <x:c r="K1093" s="25" t="n">
        <x:v>103.08453464508057</x:v>
      </x:c>
      <x:c r="L1093" s="16" t="n">
        <x:v>0.5210918188095093</x:v>
      </x:c>
      <x:c r="M1093" s="16" t="n">
        <x:v>0.0999332070350647</x:v>
      </x:c>
    </x:row>
  </x:sheetData>
  <x:mergeCells>
    <x:mergeCell ref="A1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4" t="str">
        <x:v>12 new basins; three fixed seeds; three pairs averaged per basin. CKA centered in FP64; constants undefined.</x:v>
      </x:c>
      <x:c r="B1" s="5"/>
      <x:c r="C1" s="5"/>
      <x:c r="D1" s="5"/>
      <x:c r="E1" s="5"/>
      <x:c r="F1" s="5"/>
      <x:c r="G1" s="5"/>
      <x:c r="H1" s="5"/>
    </x:row>
    <x:row r="2" ht="22" customHeight="1">
      <x:c r="A2" s="5"/>
      <x:c r="B2" s="5"/>
      <x:c r="C2" s="5"/>
      <x:c r="D2" s="5"/>
      <x:c r="E2" s="5"/>
      <x:c r="F2" s="5"/>
      <x:c r="G2" s="5"/>
      <x:c r="H2" s="5"/>
    </x:row>
    <x:row r="3" ht="38" customHeight="1">
      <x:c r="A3" s="10" t="str">
        <x:v>Basin ID</x:v>
      </x:c>
      <x:c r="B3" s="10" t="str">
        <x:v>Q history</x:v>
      </x:c>
      <x:c r="C3" s="10" t="str">
        <x:v>Mean rank correlation</x:v>
      </x:c>
      <x:c r="D3" s="10" t="str">
        <x:v>Min rank correlation</x:v>
      </x:c>
      <x:c r="E3" s="10" t="str">
        <x:v>Mean linear CKA</x:v>
      </x:c>
      <x:c r="F3" s="10" t="str">
        <x:v>Min linear CKA</x:v>
      </x:c>
      <x:c r="G3" s="10" t="str">
        <x:v>Full forecast correlation</x:v>
      </x:c>
      <x:c r="H3" s="10" t="str">
        <x:v>Core forecast correlation</x:v>
      </x:c>
    </x:row>
    <x:row r="4" ht="22" customHeight="1">
      <x:c r="A4" s="17" t="str">
        <x:f>"01552500"</x:f>
        <x:v>01552500</x:v>
      </x:c>
      <x:c r="B4" s="22" t="b">
        <x:v>0</x:v>
      </x:c>
      <x:c r="C4" s="11" t="n">
        <x:v>0.635477360061894</x:v>
      </x:c>
      <x:c r="D4" s="11" t="n">
        <x:v>0.3928571428571429</x:v>
      </x:c>
      <x:c r="E4" s="11" t="n">
        <x:v>0.8103216704178212</x:v>
      </x:c>
      <x:c r="F4" s="11" t="n">
        <x:v>0.7472115537565153</x:v>
      </x:c>
      <x:c r="G4" s="11" t="n">
        <x:v>0.9413548403518482</x:v>
      </x:c>
      <x:c r="H4" s="11" t="n">
        <x:v>0.9139882963506331</x:v>
      </x:c>
    </x:row>
    <x:row r="5" ht="22" customHeight="1">
      <x:c r="A5" s="17" t="str">
        <x:f>"01552500"</x:f>
        <x:v>01552500</x:v>
      </x:c>
      <x:c r="B5" s="22" t="b">
        <x:v>1</x:v>
      </x:c>
      <x:c r="C5" s="11" t="n">
        <x:v>0.9043925200836419</x:v>
      </x:c>
      <x:c r="D5" s="11" t="n">
        <x:v>0.8503146459584139</x:v>
      </x:c>
      <x:c r="E5" s="11" t="n">
        <x:v>0.7857964650241697</x:v>
      </x:c>
      <x:c r="F5" s="11" t="n">
        <x:v>0.7667163746019133</x:v>
      </x:c>
      <x:c r="G5" s="11" t="n">
        <x:v>0.9864964415181897</x:v>
      </x:c>
      <x:c r="H5" s="11" t="n">
        <x:v>0.9623110861556569</x:v>
      </x:c>
    </x:row>
    <x:row r="6" ht="22" customHeight="1">
      <x:c r="A6" s="17" t="str">
        <x:f>"01634500"</x:f>
        <x:v>01634500</x:v>
      </x:c>
      <x:c r="B6" s="22" t="b">
        <x:v>0</x:v>
      </x:c>
      <x:c r="C6" s="11" t="n">
        <x:v>0.8095238095238096</x:v>
      </x:c>
      <x:c r="D6" s="11" t="n">
        <x:v>0.7142857142857144</x:v>
      </x:c>
      <x:c r="E6" s="11" t="n">
        <x:v>0.7638969579726648</x:v>
      </x:c>
      <x:c r="F6" s="11" t="n">
        <x:v>0.7036071585092033</x:v>
      </x:c>
      <x:c r="G6" s="11" t="n">
        <x:v>0.9377276434901379</x:v>
      </x:c>
      <x:c r="H6" s="11" t="n">
        <x:v>0.9295220805107073</x:v>
      </x:c>
    </x:row>
    <x:row r="7" ht="22" customHeight="1">
      <x:c r="A7" s="17" t="str">
        <x:f>"01634500"</x:f>
        <x:v>01634500</x:v>
      </x:c>
      <x:c r="B7" s="22" t="b">
        <x:v>1</x:v>
      </x:c>
      <x:c r="C7" s="11" t="n">
        <x:v>0.16174319708054288</x:v>
      </x:c>
      <x:c r="D7" s="11" t="n">
        <x:v>-0.0060240963855421</x:v>
      </x:c>
      <x:c r="E7" s="11" t="n">
        <x:v>0.8206025760554767</x:v>
      </x:c>
      <x:c r="F7" s="11" t="n">
        <x:v>0.7702825768953894</x:v>
      </x:c>
      <x:c r="G7" s="11" t="n">
        <x:v>0.9804073376118877</x:v>
      </x:c>
      <x:c r="H7" s="11" t="n">
        <x:v>0.9810657433230849</x:v>
      </x:c>
    </x:row>
    <x:row r="8" ht="22" customHeight="1">
      <x:c r="A8" s="17" t="str">
        <x:f>"02312200"</x:f>
        <x:v>02312200</x:v>
      </x:c>
      <x:c r="B8" s="22" t="b">
        <x:v>0</x:v>
      </x:c>
      <x:c r="C8" s="11" t="n">
        <x:v>0.9047619047619048</x:v>
      </x:c>
      <x:c r="D8" s="11" t="n">
        <x:v>0.8571428571428573</x:v>
      </x:c>
      <x:c r="E8" s="11" t="n">
        <x:v>0.8800001267011965</x:v>
      </x:c>
      <x:c r="F8" s="11" t="n">
        <x:v>0.8291589144854615</x:v>
      </x:c>
      <x:c r="G8" s="11" t="n">
        <x:v>0.9121696262810577</x:v>
      </x:c>
      <x:c r="H8" s="11" t="n">
        <x:v>0.9142359038334454</x:v>
      </x:c>
    </x:row>
    <x:row r="9" ht="22" customHeight="1">
      <x:c r="A9" s="17" t="str">
        <x:f>"02312200"</x:f>
        <x:v>02312200</x:v>
      </x:c>
      <x:c r="B9" s="22" t="b">
        <x:v>1</x:v>
      </x:c>
      <x:c r="C9" s="11" t="n">
        <x:v>0.8766530759276113</x:v>
      </x:c>
      <x:c r="D9" s="11" t="n">
        <x:v>0.7891566265060239</x:v>
      </x:c>
      <x:c r="E9" s="11" t="n">
        <x:v>0.9739797837836796</x:v>
      </x:c>
      <x:c r="F9" s="11" t="n">
        <x:v>0.9703457763755223</x:v>
      </x:c>
      <x:c r="G9" s="11" t="n">
        <x:v>0.9989690788061373</x:v>
      </x:c>
      <x:c r="H9" s="11" t="n">
        <x:v>0.9984302788926563</x:v>
      </x:c>
    </x:row>
    <x:row r="10" ht="22" customHeight="1">
      <x:c r="A10" s="17" t="str">
        <x:f>"03604000"</x:f>
        <x:v>03604000</x:v>
      </x:c>
      <x:c r="B10" s="22" t="b">
        <x:v>0</x:v>
      </x:c>
      <x:c r="C10" s="11" t="n">
        <x:v>0.5714285714285715</x:v>
      </x:c>
      <x:c r="D10" s="11" t="n">
        <x:v>0.3214285714285715</x:v>
      </x:c>
      <x:c r="E10" s="11" t="n">
        <x:v>0.8367324987514473</x:v>
      </x:c>
      <x:c r="F10" s="11" t="n">
        <x:v>0.8032220188009608</x:v>
      </x:c>
      <x:c r="G10" s="11" t="n">
        <x:v>0.9699337429813535</x:v>
      </x:c>
      <x:c r="H10" s="11" t="n">
        <x:v>0.9628430903781728</x:v>
      </x:c>
    </x:row>
    <x:row r="11" ht="22" customHeight="1">
      <x:c r="A11" s="17" t="str">
        <x:f>"03604000"</x:f>
        <x:v>03604000</x:v>
      </x:c>
      <x:c r="B11" s="22" t="b">
        <x:v>1</x:v>
      </x:c>
      <x:c r="C11" s="11" t="n">
        <x:v>0.6170149065597279</x:v>
      </x:c>
      <x:c r="D11" s="11" t="n">
        <x:v>0.4721139335637746</x:v>
      </x:c>
      <x:c r="E11" s="11" t="n">
        <x:v>0.7685986868669058</x:v>
      </x:c>
      <x:c r="F11" s="11" t="n">
        <x:v>0.6912527940488298</x:v>
      </x:c>
      <x:c r="G11" s="11" t="n">
        <x:v>0.956847866945297</x:v>
      </x:c>
      <x:c r="H11" s="11" t="n">
        <x:v>0.9701977055118456</x:v>
      </x:c>
    </x:row>
    <x:row r="12" ht="22" customHeight="1">
      <x:c r="A12" s="17" t="str">
        <x:f>"04127997"</x:f>
        <x:v>04127997</x:v>
      </x:c>
      <x:c r="B12" s="22" t="b">
        <x:v>0</x:v>
      </x:c>
      <x:c r="C12" s="11" t="n">
        <x:v>0.6666666666666669</x:v>
      </x:c>
      <x:c r="D12" s="11" t="n">
        <x:v>0.4642857142857144</x:v>
      </x:c>
      <x:c r="E12" s="11" t="n">
        <x:v>0.9301842508708017</x:v>
      </x:c>
      <x:c r="F12" s="11" t="n">
        <x:v>0.8933338497449713</x:v>
      </x:c>
      <x:c r="G12" s="11" t="n">
        <x:v>0.9776389065683423</x:v>
      </x:c>
      <x:c r="H12" s="11" t="n">
        <x:v>0.9623051109342002</x:v>
      </x:c>
    </x:row>
    <x:row r="13" ht="22" customHeight="1">
      <x:c r="A13" s="17" t="str">
        <x:f>"04127997"</x:f>
        <x:v>04127997</x:v>
      </x:c>
      <x:c r="B13" s="22" t="b">
        <x:v>1</x:v>
      </x:c>
      <x:c r="C13" s="11" t="n">
        <x:v>0.8554216867469879</x:v>
      </x:c>
      <x:c r="D13" s="11" t="n">
        <x:v>0.825301204819277</x:v>
      </x:c>
      <x:c r="E13" s="11" t="n">
        <x:v>0.9610803578685053</x:v>
      </x:c>
      <x:c r="F13" s="11" t="n">
        <x:v>0.9587650307747647</x:v>
      </x:c>
      <x:c r="G13" s="11" t="n">
        <x:v>0.9875585269458517</x:v>
      </x:c>
      <x:c r="H13" s="11" t="n">
        <x:v>0.9888133067654215</x:v>
      </x:c>
    </x:row>
    <x:row r="14" ht="22" customHeight="1">
      <x:c r="A14" s="17" t="str">
        <x:f>"05393500"</x:f>
        <x:v>05393500</x:v>
      </x:c>
      <x:c r="B14" s="22" t="b">
        <x:v>0</x:v>
      </x:c>
      <x:c r="C14" s="11" t="n">
        <x:v>0.7380952380952382</x:v>
      </x:c>
      <x:c r="D14" s="11" t="n">
        <x:v>0.7142857142857144</x:v>
      </x:c>
      <x:c r="E14" s="11" t="n">
        <x:v>0.8526134593905258</x:v>
      </x:c>
      <x:c r="F14" s="11" t="n">
        <x:v>0.7591575456194296</x:v>
      </x:c>
      <x:c r="G14" s="11" t="n">
        <x:v>0.9342551210011981</x:v>
      </x:c>
      <x:c r="H14" s="11" t="n">
        <x:v>0.9252285491281943</x:v>
      </x:c>
    </x:row>
    <x:row r="15" ht="22" customHeight="1">
      <x:c r="A15" s="17" t="str">
        <x:f>"05393500"</x:f>
        <x:v>05393500</x:v>
      </x:c>
      <x:c r="B15" s="22" t="b">
        <x:v>1</x:v>
      </x:c>
      <x:c r="C15" s="11" t="n">
        <x:v>0.7488917746065735</x:v>
      </x:c>
      <x:c r="D15" s="11" t="n">
        <x:v>0.5868368683374969</x:v>
      </x:c>
      <x:c r="E15" s="11" t="n">
        <x:v>0.8444092977839942</x:v>
      </x:c>
      <x:c r="F15" s="11" t="n">
        <x:v>0.7605929682278106</x:v>
      </x:c>
      <x:c r="G15" s="11" t="n">
        <x:v>0.9906907608392471</x:v>
      </x:c>
      <x:c r="H15" s="11" t="n">
        <x:v>0.9924952379183166</x:v>
      </x:c>
    </x:row>
    <x:row r="16" ht="22" customHeight="1">
      <x:c r="A16" s="17" t="str">
        <x:f>"06601000"</x:f>
        <x:v>06601000</x:v>
      </x:c>
      <x:c r="B16" s="22" t="b">
        <x:v>0</x:v>
      </x:c>
      <x:c r="C16" s="11" t="n">
        <x:v>0.761904761904762</x:v>
      </x:c>
      <x:c r="D16" s="11" t="n">
        <x:v>0.6071428571428572</x:v>
      </x:c>
      <x:c r="E16" s="11" t="n">
        <x:v>0.6692647951546028</x:v>
      </x:c>
      <x:c r="F16" s="11" t="n">
        <x:v>0.5155773074827248</x:v>
      </x:c>
      <x:c r="G16" s="11" t="n">
        <x:v>0.8830427044093604</x:v>
      </x:c>
      <x:c r="H16" s="11" t="n">
        <x:v>0.8527405232829972</x:v>
      </x:c>
    </x:row>
    <x:row r="17" ht="22" customHeight="1">
      <x:c r="A17" s="17" t="str">
        <x:f>"06601000"</x:f>
        <x:v>06601000</x:v>
      </x:c>
      <x:c r="B17" s="22" t="b">
        <x:v>1</x:v>
      </x:c>
      <x:c r="C17" s="11" t="n">
        <x:v>0.434127147735311</x:v>
      </x:c>
      <x:c r="D17" s="11" t="n">
        <x:v>0.1718082427858356</x:v>
      </x:c>
      <x:c r="E17" s="11" t="n">
        <x:v>0.7120723118607598</x:v>
      </x:c>
      <x:c r="F17" s="11" t="n">
        <x:v>0.6657807536746644</x:v>
      </x:c>
      <x:c r="G17" s="11" t="n">
        <x:v>0.977867843026173</x:v>
      </x:c>
      <x:c r="H17" s="11" t="n">
        <x:v>0.9816143209906821</x:v>
      </x:c>
    </x:row>
    <x:row r="18" ht="22" customHeight="1">
      <x:c r="A18" s="17" t="str">
        <x:f>"08158700"</x:f>
        <x:v>08158700</x:v>
      </x:c>
      <x:c r="B18" s="22" t="b">
        <x:v>0</x:v>
      </x:c>
      <x:c r="C18" s="11" t="n">
        <x:v>0.7023809523809526</x:v>
      </x:c>
      <x:c r="D18" s="11" t="n">
        <x:v>0.5</x:v>
      </x:c>
      <x:c r="E18" s="11" t="n">
        <x:v>0.8382863221474096</x:v>
      </x:c>
      <x:c r="F18" s="11" t="n">
        <x:v>0.8289706053215555</x:v>
      </x:c>
      <x:c r="G18" s="11" t="n">
        <x:v>0.8722179710737231</x:v>
      </x:c>
      <x:c r="H18" s="11" t="n">
        <x:v>0.6987945176194977</x:v>
      </x:c>
    </x:row>
    <x:row r="19" ht="22" customHeight="1">
      <x:c r="A19" s="17" t="str">
        <x:f>"08158700"</x:f>
        <x:v>08158700</x:v>
      </x:c>
      <x:c r="B19" s="22" t="b">
        <x:v>1</x:v>
      </x:c>
      <x:c r="C19" s="11" t="n">
        <x:v>0.8365270319085573</x:v>
      </x:c>
      <x:c r="D19" s="11" t="n">
        <x:v>0.7784570702436182</x:v>
      </x:c>
      <x:c r="E19" s="11" t="n">
        <x:v>0.6247221238263051</x:v>
      </x:c>
      <x:c r="F19" s="11" t="n">
        <x:v>0.5314251717218325</x:v>
      </x:c>
      <x:c r="G19" s="11" t="n">
        <x:v>0.9684786683438159</x:v>
      </x:c>
      <x:c r="H19" s="11" t="n">
        <x:v>0.9217695109806171</x:v>
      </x:c>
    </x:row>
    <x:row r="20" ht="22" customHeight="1">
      <x:c r="A20" s="17" t="str">
        <x:f>"10172700"</x:f>
        <x:v>10172700</x:v>
      </x:c>
      <x:c r="B20" s="22" t="b">
        <x:v>0</x:v>
      </x:c>
      <x:c r="C20" s="11" t="n">
        <x:v>0.8095238095238096</x:v>
      </x:c>
      <x:c r="D20" s="11" t="n">
        <x:v>0.7500000000000002</x:v>
      </x:c>
      <x:c r="E20" s="11" t="n">
        <x:v>0.6786257462819005</x:v>
      </x:c>
      <x:c r="F20" s="11" t="n">
        <x:v>0.5525607666737776</x:v>
      </x:c>
      <x:c r="G20" s="11" t="n">
        <x:v>0.8190137072991325</x:v>
      </x:c>
      <x:c r="H20" s="11" t="n">
        <x:v>0.724765792112359</x:v>
      </x:c>
    </x:row>
    <x:row r="21" ht="22" customHeight="1">
      <x:c r="A21" s="17" t="str">
        <x:f>"10172700"</x:f>
        <x:v>10172700</x:v>
      </x:c>
      <x:c r="B21" s="22" t="b">
        <x:v>1</x:v>
      </x:c>
      <x:c r="C21" s="11" t="n">
        <x:v>0.6746031746031745</x:v>
      </x:c>
      <x:c r="D21" s="11" t="n">
        <x:v>0.4523809523809524</x:v>
      </x:c>
      <x:c r="E21" s="11" t="n">
        <x:v>0.8894549607999623</x:v>
      </x:c>
      <x:c r="F21" s="11" t="n">
        <x:v>0.8837606180521294</x:v>
      </x:c>
      <x:c r="G21" s="11" t="n">
        <x:v>0.9973299032942166</x:v>
      </x:c>
      <x:c r="H21" s="11" t="n">
        <x:v>0.9967188025597128</x:v>
      </x:c>
    </x:row>
    <x:row r="22" ht="22" customHeight="1">
      <x:c r="A22" s="17" t="str">
        <x:f>"10234500"</x:f>
        <x:v>10234500</x:v>
      </x:c>
      <x:c r="B22" s="22" t="b">
        <x:v>0</x:v>
      </x:c>
      <x:c r="C22" s="11" t="n">
        <x:v>0.9761904761904763</x:v>
      </x:c>
      <x:c r="D22" s="11" t="n">
        <x:v>0.9642857142857144</x:v>
      </x:c>
      <x:c r="E22" s="11" t="n">
        <x:v>0.9656723447822477</x:v>
      </x:c>
      <x:c r="F22" s="11" t="n">
        <x:v>0.9619015911172041</x:v>
      </x:c>
      <x:c r="G22" s="11" t="n">
        <x:v>0.9554073422120427</x:v>
      </x:c>
      <x:c r="H22" s="11" t="n">
        <x:v>0.9429713540299698</x:v>
      </x:c>
    </x:row>
    <x:row r="23" ht="22" customHeight="1">
      <x:c r="A23" s="17" t="str">
        <x:f>"10234500"</x:f>
        <x:v>10234500</x:v>
      </x:c>
      <x:c r="B23" s="22" t="b">
        <x:v>1</x:v>
      </x:c>
      <x:c r="C23" s="11" t="n">
        <x:v>0.8460888033716655</x:v>
      </x:c>
      <x:c r="D23" s="11" t="n">
        <x:v>0.7784570702436183</x:v>
      </x:c>
      <x:c r="E23" s="11" t="n">
        <x:v>0.8176246343369593</x:v>
      </x:c>
      <x:c r="F23" s="11" t="n">
        <x:v>0.8017678498243642</x:v>
      </x:c>
      <x:c r="G23" s="11" t="n">
        <x:v>0.9990294111678253</x:v>
      </x:c>
      <x:c r="H23" s="11" t="n">
        <x:v>0.9989070146535072</x:v>
      </x:c>
    </x:row>
    <x:row r="24" ht="22" customHeight="1">
      <x:c r="A24" s="17" t="str">
        <x:f>"10343500"</x:f>
        <x:v>10343500</x:v>
      </x:c>
      <x:c r="B24" s="22" t="b">
        <x:v>0</x:v>
      </x:c>
      <x:c r="C24" s="11" t="n">
        <x:v>0.6666666666666669</x:v>
      </x:c>
      <x:c r="D24" s="11" t="n">
        <x:v>0.4642857142857144</x:v>
      </x:c>
      <x:c r="E24" s="11" t="n">
        <x:v>0.9136661877532152</x:v>
      </x:c>
      <x:c r="F24" s="11" t="n">
        <x:v>0.8936029519911328</x:v>
      </x:c>
      <x:c r="G24" s="11" t="n">
        <x:v>0.9295690333036252</x:v>
      </x:c>
      <x:c r="H24" s="11" t="n">
        <x:v>0.9302471484978345</x:v>
      </x:c>
    </x:row>
    <x:row r="25" ht="22" customHeight="1">
      <x:c r="A25" s="17" t="str">
        <x:f>"10343500"</x:f>
        <x:v>10343500</x:v>
      </x:c>
      <x:c r="B25" s="22" t="b">
        <x:v>1</x:v>
      </x:c>
      <x:c r="C25" s="11" t="n">
        <x:v>0.7301587301587302</x:v>
      </x:c>
      <x:c r="D25" s="11" t="n">
        <x:v>0.5714285714285715</x:v>
      </x:c>
      <x:c r="E25" s="11" t="n">
        <x:v>0.8507535010926247</x:v>
      </x:c>
      <x:c r="F25" s="11" t="n">
        <x:v>0.8177438486641144</x:v>
      </x:c>
      <x:c r="G25" s="11" t="n">
        <x:v>0.9969643452268809</x:v>
      </x:c>
      <x:c r="H25" s="11" t="n">
        <x:v>0.9916559540149478</x:v>
      </x:c>
    </x:row>
    <x:row r="26" ht="22" customHeight="1">
      <x:c r="A26" s="17" t="str">
        <x:f>"12035000"</x:f>
        <x:v>12035000</x:v>
      </x:c>
      <x:c r="B26" s="22" t="b">
        <x:v>0</x:v>
      </x:c>
      <x:c r="C26" s="11" t="n">
        <x:v>0.9044657476964152</x:v>
      </x:c>
      <x:c r="D26" s="11" t="n">
        <x:v>0.8214285714285715</x:v>
      </x:c>
      <x:c r="E26" s="11" t="n">
        <x:v>0.9522817286919186</x:v>
      </x:c>
      <x:c r="F26" s="11" t="n">
        <x:v>0.944845234305512</x:v>
      </x:c>
      <x:c r="G26" s="11" t="n">
        <x:v>0.988786100087547</x:v>
      </x:c>
      <x:c r="H26" s="11" t="n">
        <x:v>0.9772963624400327</x:v>
      </x:c>
    </x:row>
    <x:row r="27" ht="22" customHeight="1">
      <x:c r="A27" s="18" t="str">
        <x:f>"12035000"</x:f>
        <x:v>12035000</x:v>
      </x:c>
      <x:c r="B27" s="23" t="b">
        <x:v>1</x:v>
      </x:c>
      <x:c r="C27" s="16" t="n">
        <x:v>0.7082059345890785</x:v>
      </x:c>
      <x:c r="D27" s="16" t="n">
        <x:v>0.6107893935757621</x:v>
      </x:c>
      <x:c r="E27" s="16" t="n">
        <x:v>0.8897987062699407</x:v>
      </x:c>
      <x:c r="F27" s="16" t="n">
        <x:v>0.8492718105170878</x:v>
      </x:c>
      <x:c r="G27" s="16" t="n">
        <x:v>0.983732140168495</x:v>
      </x:c>
      <x:c r="H27" s="16" t="n">
        <x:v>0.9704079360417556</x:v>
      </x:c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2" customHeight="1">
      <x:c r="A1" s="4" t="str">
        <x:v>Primary LSTM remains single-seed. Confirmation success requires all 3 STEH circuits to pass.</x:v>
      </x:c>
      <x:c r="B1" s="5"/>
      <x:c r="C1" s="5"/>
      <x:c r="D1" s="5"/>
      <x:c r="E1" s="5"/>
      <x:c r="F1" s="5"/>
      <x:c r="G1" s="5"/>
    </x:row>
    <x:row r="2" ht="22" customHeight="1">
      <x:c r="A2" s="5"/>
      <x:c r="B2" s="5"/>
      <x:c r="C2" s="5"/>
      <x:c r="D2" s="5"/>
      <x:c r="E2" s="5"/>
      <x:c r="F2" s="5"/>
      <x:c r="G2" s="5"/>
    </x:row>
    <x:row r="3" ht="38" customHeight="1">
      <x:c r="A3" s="10" t="str">
        <x:v>Basin ID</x:v>
      </x:c>
      <x:c r="B3" s="10" t="str">
        <x:v>Q history</x:v>
      </x:c>
      <x:c r="C3" s="10" t="str">
        <x:v>All 3 pass</x:v>
      </x:c>
      <x:c r="D3" s="10" t="str">
        <x:v>Seeds passing</x:v>
      </x:c>
      <x:c r="E3" s="10" t="str">
        <x:v>3-seed mean NSE</x:v>
      </x:c>
      <x:c r="F3" s="10" t="str">
        <x:v>Fixed-seed NSE SD</x:v>
      </x:c>
      <x:c r="G3" s="10" t="str">
        <x:v>Maximum core loss</x:v>
      </x:c>
    </x:row>
    <x:row r="4" ht="22" customHeight="1">
      <x:c r="A4" s="17" t="str">
        <x:f>"01552500"</x:f>
        <x:v>01552500</x:v>
      </x:c>
      <x:c r="B4" s="22" t="b">
        <x:v>0</x:v>
      </x:c>
      <x:c r="C4" s="22" t="b">
        <x:v>0</x:v>
      </x:c>
      <x:c r="D4" s="13" t="n">
        <x:v>0</x:v>
      </x:c>
      <x:c r="E4" s="11" t="n">
        <x:v>0.18495619366623361</x:v>
      </x:c>
      <x:c r="F4" s="11" t="n">
        <x:v>0.017154074726868866</x:v>
      </x:c>
      <x:c r="G4" s="11" t="n">
        <x:v>0.03215093393770563</x:v>
      </x:c>
    </x:row>
    <x:row r="5" ht="22" customHeight="1">
      <x:c r="A5" s="17" t="str">
        <x:f>"01552500"</x:f>
        <x:v>01552500</x:v>
      </x:c>
      <x:c r="B5" s="22" t="b">
        <x:v>1</x:v>
      </x:c>
      <x:c r="C5" s="22" t="b">
        <x:v>0</x:v>
      </x:c>
      <x:c r="D5" s="13" t="n">
        <x:v>1</x:v>
      </x:c>
      <x:c r="E5" s="11" t="n">
        <x:v>0.31847684104063334</x:v>
      </x:c>
      <x:c r="F5" s="11" t="n">
        <x:v>0.0054840546320317025</x:v>
      </x:c>
      <x:c r="G5" s="11" t="n">
        <x:v>0.03983565650028864</x:v>
      </x:c>
    </x:row>
    <x:row r="6" ht="22" customHeight="1">
      <x:c r="A6" s="17" t="str">
        <x:f>"01634500"</x:f>
        <x:v>01634500</x:v>
      </x:c>
      <x:c r="B6" s="22" t="b">
        <x:v>0</x:v>
      </x:c>
      <x:c r="C6" s="22" t="b">
        <x:v>0</x:v>
      </x:c>
      <x:c r="D6" s="13" t="n">
        <x:v>2</x:v>
      </x:c>
      <x:c r="E6" s="11" t="n">
        <x:v>0.1292417522213435</x:v>
      </x:c>
      <x:c r="F6" s="11" t="n">
        <x:v>0.0027277911194123696</x:v>
      </x:c>
      <x:c r="G6" s="11" t="n">
        <x:v>0.014409112826881398</x:v>
      </x:c>
    </x:row>
    <x:row r="7" ht="22" customHeight="1">
      <x:c r="A7" s="17" t="str">
        <x:f>"01634500"</x:f>
        <x:v>01634500</x:v>
      </x:c>
      <x:c r="B7" s="22" t="b">
        <x:v>1</x:v>
      </x:c>
      <x:c r="C7" s="22" t="b">
        <x:v>0</x:v>
      </x:c>
      <x:c r="D7" s="13" t="n">
        <x:v>1</x:v>
      </x:c>
      <x:c r="E7" s="11" t="n">
        <x:v>0.38018209604426834</x:v>
      </x:c>
      <x:c r="F7" s="11" t="n">
        <x:v>0.003380506758527158</x:v>
      </x:c>
      <x:c r="G7" s="11" t="n">
        <x:v>0.007827349190658972</x:v>
      </x:c>
    </x:row>
    <x:row r="8" ht="22" customHeight="1">
      <x:c r="A8" s="17" t="str">
        <x:f>"02312200"</x:f>
        <x:v>02312200</x:v>
      </x:c>
      <x:c r="B8" s="22" t="b">
        <x:v>0</x:v>
      </x:c>
      <x:c r="C8" s="22" t="b">
        <x:v>1</x:v>
      </x:c>
      <x:c r="D8" s="13" t="n">
        <x:v>3</x:v>
      </x:c>
      <x:c r="E8" s="11" t="n">
        <x:v>-3.553758406795378</x:v>
      </x:c>
      <x:c r="F8" s="11" t="n">
        <x:v>0.5649187970862514</x:v>
      </x:c>
      <x:c r="G8" s="11" t="n">
        <x:v>-0.544519376484029</x:v>
      </x:c>
    </x:row>
    <x:row r="9" ht="22" customHeight="1">
      <x:c r="A9" s="17" t="str">
        <x:f>"02312200"</x:f>
        <x:v>02312200</x:v>
      </x:c>
      <x:c r="B9" s="22" t="b">
        <x:v>1</x:v>
      </x:c>
      <x:c r="C9" s="22" t="b">
        <x:v>0</x:v>
      </x:c>
      <x:c r="D9" s="13" t="n">
        <x:v>1</x:v>
      </x:c>
      <x:c r="E9" s="11" t="n">
        <x:v>0.9721106635284945</x:v>
      </x:c>
      <x:c r="F9" s="11" t="n">
        <x:v>0.00132874065906018</x:v>
      </x:c>
      <x:c r="G9" s="11" t="n">
        <x:v>0.050997144793976656</x:v>
      </x:c>
    </x:row>
    <x:row r="10" ht="22" customHeight="1">
      <x:c r="A10" s="17" t="str">
        <x:f>"03604000"</x:f>
        <x:v>03604000</x:v>
      </x:c>
      <x:c r="B10" s="22" t="b">
        <x:v>0</x:v>
      </x:c>
      <x:c r="C10" s="22" t="b">
        <x:v>0</x:v>
      </x:c>
      <x:c r="D10" s="13" t="n">
        <x:v>1</x:v>
      </x:c>
      <x:c r="E10" s="11" t="n">
        <x:v>0.3355031667192918</x:v>
      </x:c>
      <x:c r="F10" s="11" t="n">
        <x:v>0.02115638444867835</x:v>
      </x:c>
      <x:c r="G10" s="11" t="n">
        <x:v>0.08774345270824435</x:v>
      </x:c>
    </x:row>
    <x:row r="11" ht="22" customHeight="1">
      <x:c r="A11" s="17" t="str">
        <x:f>"03604000"</x:f>
        <x:v>03604000</x:v>
      </x:c>
      <x:c r="B11" s="22" t="b">
        <x:v>1</x:v>
      </x:c>
      <x:c r="C11" s="22" t="b">
        <x:v>1</x:v>
      </x:c>
      <x:c r="D11" s="13" t="n">
        <x:v>3</x:v>
      </x:c>
      <x:c r="E11" s="11" t="n">
        <x:v>0.374504461605443</x:v>
      </x:c>
      <x:c r="F11" s="11" t="n">
        <x:v>0.02706019564010122</x:v>
      </x:c>
      <x:c r="G11" s="11" t="n">
        <x:v>0.02681950113459486</x:v>
      </x:c>
    </x:row>
    <x:row r="12" ht="22" customHeight="1">
      <x:c r="A12" s="17" t="str">
        <x:f>"04127997"</x:f>
        <x:v>04127997</x:v>
      </x:c>
      <x:c r="B12" s="22" t="b">
        <x:v>0</x:v>
      </x:c>
      <x:c r="C12" s="22" t="b">
        <x:v>0</x:v>
      </x:c>
      <x:c r="D12" s="13" t="n">
        <x:v>2</x:v>
      </x:c>
      <x:c r="E12" s="11" t="n">
        <x:v>0.5497494706414127</x:v>
      </x:c>
      <x:c r="F12" s="11" t="n">
        <x:v>0.01888415089253692</x:v>
      </x:c>
      <x:c r="G12" s="11" t="n">
        <x:v>0.07025170578909501</x:v>
      </x:c>
    </x:row>
    <x:row r="13" ht="22" customHeight="1">
      <x:c r="A13" s="17" t="str">
        <x:f>"04127997"</x:f>
        <x:v>04127997</x:v>
      </x:c>
      <x:c r="B13" s="22" t="b">
        <x:v>1</x:v>
      </x:c>
      <x:c r="C13" s="22" t="b">
        <x:v>1</x:v>
      </x:c>
      <x:c r="D13" s="13" t="n">
        <x:v>3</x:v>
      </x:c>
      <x:c r="E13" s="11" t="n">
        <x:v>0.7337850369905147</x:v>
      </x:c>
      <x:c r="F13" s="11" t="n">
        <x:v>0.008450433761846673</x:v>
      </x:c>
      <x:c r="G13" s="11" t="n">
        <x:v>0.005649803197858794</x:v>
      </x:c>
    </x:row>
    <x:row r="14" ht="22" customHeight="1">
      <x:c r="A14" s="17" t="str">
        <x:f>"05393500"</x:f>
        <x:v>05393500</x:v>
      </x:c>
      <x:c r="B14" s="22" t="b">
        <x:v>0</x:v>
      </x:c>
      <x:c r="C14" s="22" t="b">
        <x:v>0</x:v>
      </x:c>
      <x:c r="D14" s="13" t="n">
        <x:v>1</x:v>
      </x:c>
      <x:c r="E14" s="11" t="n">
        <x:v>0.6207130611428692</x:v>
      </x:c>
      <x:c r="F14" s="11" t="n">
        <x:v>0.028589203714706444</x:v>
      </x:c>
      <x:c r="G14" s="11" t="n">
        <x:v>0.005778357004172396</x:v>
      </x:c>
    </x:row>
    <x:row r="15" ht="22" customHeight="1">
      <x:c r="A15" s="17" t="str">
        <x:f>"05393500"</x:f>
        <x:v>05393500</x:v>
      </x:c>
      <x:c r="B15" s="22" t="b">
        <x:v>1</x:v>
      </x:c>
      <x:c r="C15" s="22" t="b">
        <x:v>0</x:v>
      </x:c>
      <x:c r="D15" s="13" t="n">
        <x:v>2</x:v>
      </x:c>
      <x:c r="E15" s="11" t="n">
        <x:v>0.8081303866764932</x:v>
      </x:c>
      <x:c r="F15" s="11" t="n">
        <x:v>0.006345572886911339</x:v>
      </x:c>
      <x:c r="G15" s="11" t="n">
        <x:v>0.05695721576193424</x:v>
      </x:c>
    </x:row>
    <x:row r="16" ht="22" customHeight="1">
      <x:c r="A16" s="17" t="str">
        <x:f>"06601000"</x:f>
        <x:v>06601000</x:v>
      </x:c>
      <x:c r="B16" s="22" t="b">
        <x:v>0</x:v>
      </x:c>
      <x:c r="C16" s="22" t="b">
        <x:v>0</x:v>
      </x:c>
      <x:c r="D16" s="13" t="n">
        <x:v>0</x:v>
      </x:c>
      <x:c r="E16" s="11" t="n">
        <x:v>0.06790540359400403</x:v>
      </x:c>
      <x:c r="F16" s="11" t="n">
        <x:v>0.031362179140666524</x:v>
      </x:c>
      <x:c r="G16" s="11" t="n">
        <x:v>0.028402118404512233</x:v>
      </x:c>
    </x:row>
    <x:row r="17" ht="22" customHeight="1">
      <x:c r="A17" s="17" t="str">
        <x:f>"06601000"</x:f>
        <x:v>06601000</x:v>
      </x:c>
      <x:c r="B17" s="22" t="b">
        <x:v>1</x:v>
      </x:c>
      <x:c r="C17" s="22" t="b">
        <x:v>0</x:v>
      </x:c>
      <x:c r="D17" s="13" t="n">
        <x:v>0</x:v>
      </x:c>
      <x:c r="E17" s="11" t="n">
        <x:v>0.18288100803759963</x:v>
      </x:c>
      <x:c r="F17" s="11" t="n">
        <x:v>0.003916320041092024</x:v>
      </x:c>
      <x:c r="G17" s="11" t="n">
        <x:v>0.029918923546195075</x:v>
      </x:c>
    </x:row>
    <x:row r="18" ht="22" customHeight="1">
      <x:c r="A18" s="17" t="str">
        <x:f>"08158700"</x:f>
        <x:v>08158700</x:v>
      </x:c>
      <x:c r="B18" s="22" t="b">
        <x:v>0</x:v>
      </x:c>
      <x:c r="C18" s="22" t="b">
        <x:v>0</x:v>
      </x:c>
      <x:c r="D18" s="13" t="n">
        <x:v>0</x:v>
      </x:c>
      <x:c r="E18" s="11" t="n">
        <x:v>-0.027106832060514785</x:v>
      </x:c>
      <x:c r="F18" s="11" t="n">
        <x:v>0.06394989909497353</x:v>
      </x:c>
      <x:c r="G18" s="11" t="n">
        <x:v>1.2265816758302743</x:v>
      </x:c>
    </x:row>
    <x:row r="19" ht="22" customHeight="1">
      <x:c r="A19" s="17" t="str">
        <x:f>"08158700"</x:f>
        <x:v>08158700</x:v>
      </x:c>
      <x:c r="B19" s="22" t="b">
        <x:v>1</x:v>
      </x:c>
      <x:c r="C19" s="22" t="b">
        <x:v>0</x:v>
      </x:c>
      <x:c r="D19" s="13" t="n">
        <x:v>0</x:v>
      </x:c>
      <x:c r="E19" s="11" t="n">
        <x:v>0.11158372856506371</x:v>
      </x:c>
      <x:c r="F19" s="11" t="n">
        <x:v>0.006903525454388789</x:v>
      </x:c>
      <x:c r="G19" s="11" t="n">
        <x:v>0.18271838408810948</x:v>
      </x:c>
    </x:row>
    <x:row r="20" ht="22" customHeight="1">
      <x:c r="A20" s="17" t="str">
        <x:f>"10172700"</x:f>
        <x:v>10172700</x:v>
      </x:c>
      <x:c r="B20" s="22" t="b">
        <x:v>0</x:v>
      </x:c>
      <x:c r="C20" s="22" t="b">
        <x:v>0</x:v>
      </x:c>
      <x:c r="D20" s="13" t="n">
        <x:v>0</x:v>
      </x:c>
      <x:c r="E20" s="11" t="n">
        <x:v>0.06344076478139911</x:v>
      </x:c>
      <x:c r="F20" s="11" t="n">
        <x:v>0.061240340290233945</x:v>
      </x:c>
      <x:c r="G20" s="11" t="n">
        <x:v>0.9064156360566433</x:v>
      </x:c>
    </x:row>
    <x:row r="21" ht="22" customHeight="1">
      <x:c r="A21" s="17" t="str">
        <x:f>"10172700"</x:f>
        <x:v>10172700</x:v>
      </x:c>
      <x:c r="B21" s="22" t="b">
        <x:v>1</x:v>
      </x:c>
      <x:c r="C21" s="22" t="b">
        <x:v>0</x:v>
      </x:c>
      <x:c r="D21" s="13" t="n">
        <x:v>1</x:v>
      </x:c>
      <x:c r="E21" s="11" t="n">
        <x:v>0.9240636753782699</x:v>
      </x:c>
      <x:c r="F21" s="11" t="n">
        <x:v>0.005125109596767353</x:v>
      </x:c>
      <x:c r="G21" s="11" t="n">
        <x:v>0.05620183891862396</x:v>
      </x:c>
    </x:row>
    <x:row r="22" ht="22" customHeight="1">
      <x:c r="A22" s="17" t="str">
        <x:f>"10234500"</x:f>
        <x:v>10234500</x:v>
      </x:c>
      <x:c r="B22" s="22" t="b">
        <x:v>0</x:v>
      </x:c>
      <x:c r="C22" s="22" t="b">
        <x:v>0</x:v>
      </x:c>
      <x:c r="D22" s="13" t="n">
        <x:v>1</x:v>
      </x:c>
      <x:c r="E22" s="11" t="n">
        <x:v>0.7652751407518062</x:v>
      </x:c>
      <x:c r="F22" s="11" t="n">
        <x:v>0.028781727961430387</x:v>
      </x:c>
      <x:c r="G22" s="11" t="n">
        <x:v>0.14606935963674006</x:v>
      </x:c>
    </x:row>
    <x:row r="23" ht="22" customHeight="1">
      <x:c r="A23" s="17" t="str">
        <x:f>"10234500"</x:f>
        <x:v>10234500</x:v>
      </x:c>
      <x:c r="B23" s="22" t="b">
        <x:v>1</x:v>
      </x:c>
      <x:c r="C23" s="22" t="b">
        <x:v>0</x:v>
      </x:c>
      <x:c r="D23" s="13" t="n">
        <x:v>2</x:v>
      </x:c>
      <x:c r="E23" s="11" t="n">
        <x:v>0.9676016776949611</x:v>
      </x:c>
      <x:c r="F23" s="11" t="n">
        <x:v>0.0026891477871865016</x:v>
      </x:c>
      <x:c r="G23" s="11" t="n">
        <x:v>0.010825511334128901</x:v>
      </x:c>
    </x:row>
    <x:row r="24" ht="22" customHeight="1">
      <x:c r="A24" s="17" t="str">
        <x:f>"10343500"</x:f>
        <x:v>10343500</x:v>
      </x:c>
      <x:c r="B24" s="22" t="b">
        <x:v>0</x:v>
      </x:c>
      <x:c r="C24" s="22" t="b">
        <x:v>0</x:v>
      </x:c>
      <x:c r="D24" s="13" t="n">
        <x:v>2</x:v>
      </x:c>
      <x:c r="E24" s="11" t="n">
        <x:v>0.37804827902313715</x:v>
      </x:c>
      <x:c r="F24" s="11" t="n">
        <x:v>0.07892414076020775</x:v>
      </x:c>
      <x:c r="G24" s="11" t="n">
        <x:v>0.01721908985944054</x:v>
      </x:c>
    </x:row>
    <x:row r="25" ht="22" customHeight="1">
      <x:c r="A25" s="17" t="str">
        <x:f>"10343500"</x:f>
        <x:v>10343500</x:v>
      </x:c>
      <x:c r="B25" s="22" t="b">
        <x:v>1</x:v>
      </x:c>
      <x:c r="C25" s="22" t="b">
        <x:v>0</x:v>
      </x:c>
      <x:c r="D25" s="13" t="n">
        <x:v>1</x:v>
      </x:c>
      <x:c r="E25" s="11" t="n">
        <x:v>0.9542103590465215</x:v>
      </x:c>
      <x:c r="F25" s="11" t="n">
        <x:v>0.004219403958131607</x:v>
      </x:c>
      <x:c r="G25" s="11" t="n">
        <x:v>0.05957343409755522</x:v>
      </x:c>
    </x:row>
    <x:row r="26" ht="22" customHeight="1">
      <x:c r="A26" s="17" t="str">
        <x:f>"12035000"</x:f>
        <x:v>12035000</x:v>
      </x:c>
      <x:c r="B26" s="22" t="b">
        <x:v>0</x:v>
      </x:c>
      <x:c r="C26" s="22" t="b">
        <x:v>1</x:v>
      </x:c>
      <x:c r="D26" s="13" t="n">
        <x:v>3</x:v>
      </x:c>
      <x:c r="E26" s="11" t="n">
        <x:v>0.8659966281734036</x:v>
      </x:c>
      <x:c r="F26" s="11" t="n">
        <x:v>0.008755856062007211</x:v>
      </x:c>
      <x:c r="G26" s="11" t="n">
        <x:v>0.041628286828115146</x:v>
      </x:c>
    </x:row>
    <x:row r="27" ht="22" customHeight="1">
      <x:c r="A27" s="18" t="str">
        <x:f>"12035000"</x:f>
        <x:v>12035000</x:v>
      </x:c>
      <x:c r="B27" s="23" t="b">
        <x:v>1</x:v>
      </x:c>
      <x:c r="C27" s="23" t="b">
        <x:v>0</x:v>
      </x:c>
      <x:c r="D27" s="15" t="n">
        <x:v>2</x:v>
      </x:c>
      <x:c r="E27" s="16" t="n">
        <x:v>0.8911429987539231</x:v>
      </x:c>
      <x:c r="F27" s="16" t="n">
        <x:v>0.013823005178319466</x:v>
      </x:c>
      <x:c r="G27" s="16" t="n">
        <x:v>0.12101391597895406</x:v>
      </x:c>
    </x:row>
  </x:sheetData>
  <x:mergeCells>
    <x:mergeCell ref="A1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2" customHeight="1">
      <x:c r="A1" s="4" t="str">
        <x:v>Input-derived rainfall proxies; decodability only. Unfiltered scores; R2 not independently recomputed.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3" ht="38" customHeight="1">
      <x:c r="A3" s="10" t="str">
        <x:v>Q history</x:v>
      </x:c>
      <x:c r="B3" s="10" t="str">
        <x:v>Proxy</x:v>
      </x:c>
      <x:c r="C3" s="10" t="str">
        <x:v>Representation</x:v>
      </x:c>
      <x:c r="D3" s="10" t="str">
        <x:v>Basins</x:v>
      </x:c>
      <x:c r="E3" s="10" t="str">
        <x:v>Defined</x:v>
      </x:c>
      <x:c r="F3" s="10" t="str">
        <x:v>Mean R2</x:v>
      </x:c>
      <x:c r="G3" s="10" t="str">
        <x:v>Median R2</x:v>
      </x:c>
      <x:c r="H3" s="10" t="str">
        <x:v>Negative R2</x:v>
      </x:c>
      <x:c r="I3" s="10" t="str">
        <x:v>Failed or undefined</x:v>
      </x:c>
    </x:row>
    <x:row r="4" ht="22" customHeight="1">
      <x:c r="A4" s="22" t="b">
        <x:v>0</x:v>
      </x:c>
      <x:c r="B4" s="12" t="str">
        <x:v>API</x:v>
      </x:c>
      <x:c r="C4" s="12" t="str">
        <x:v>input_history</x:v>
      </x:c>
      <x:c r="D4" s="13" t="n">
        <x:v>521</x:v>
      </x:c>
      <x:c r="E4" s="13" t="n">
        <x:v>521</x:v>
      </x:c>
      <x:c r="F4" s="11" t="n">
        <x:v>0.9999998359204463</x:v>
      </x:c>
      <x:c r="G4" s="11" t="n">
        <x:v>0.99999984106808</x:v>
      </x:c>
      <x:c r="H4" s="13" t="n">
        <x:v>0</x:v>
      </x:c>
      <x:c r="I4" s="13" t="n">
        <x:v>0</x:v>
      </x:c>
    </x:row>
    <x:row r="5" ht="22" customHeight="1">
      <x:c r="A5" s="22" t="b">
        <x:v>0</x:v>
      </x:c>
      <x:c r="B5" s="12" t="str">
        <x:v>API</x:v>
      </x:c>
      <x:c r="C5" s="12" t="str">
        <x:v>trained_hidden</x:v>
      </x:c>
      <x:c r="D5" s="13" t="n">
        <x:v>521</x:v>
      </x:c>
      <x:c r="E5" s="13" t="n">
        <x:v>521</x:v>
      </x:c>
      <x:c r="F5" s="11" t="n">
        <x:v>0.8485204357804574</x:v>
      </x:c>
      <x:c r="G5" s="11" t="n">
        <x:v>0.8692721681506344</x:v>
      </x:c>
      <x:c r="H5" s="13" t="n">
        <x:v>0</x:v>
      </x:c>
      <x:c r="I5" s="13" t="n">
        <x:v>0</x:v>
      </x:c>
    </x:row>
    <x:row r="6" ht="22" customHeight="1">
      <x:c r="A6" s="22" t="b">
        <x:v>0</x:v>
      </x:c>
      <x:c r="B6" s="12" t="str">
        <x:v>CHG</x:v>
      </x:c>
      <x:c r="C6" s="12" t="str">
        <x:v>input_history</x:v>
      </x:c>
      <x:c r="D6" s="13" t="n">
        <x:v>521</x:v>
      </x:c>
      <x:c r="E6" s="13" t="n">
        <x:v>521</x:v>
      </x:c>
      <x:c r="F6" s="11" t="n">
        <x:v>0.49597669711726183</x:v>
      </x:c>
      <x:c r="G6" s="11" t="n">
        <x:v>0.5245956182479858</x:v>
      </x:c>
      <x:c r="H6" s="13" t="n">
        <x:v>6</x:v>
      </x:c>
      <x:c r="I6" s="13" t="n">
        <x:v>0</x:v>
      </x:c>
    </x:row>
    <x:row r="7" ht="22" customHeight="1">
      <x:c r="A7" s="22" t="b">
        <x:v>0</x:v>
      </x:c>
      <x:c r="B7" s="12" t="str">
        <x:v>CHG</x:v>
      </x:c>
      <x:c r="C7" s="12" t="str">
        <x:v>trained_hidden</x:v>
      </x:c>
      <x:c r="D7" s="13" t="n">
        <x:v>521</x:v>
      </x:c>
      <x:c r="E7" s="13" t="n">
        <x:v>521</x:v>
      </x:c>
      <x:c r="F7" s="11" t="n">
        <x:v>0.3666505490978483</x:v>
      </x:c>
      <x:c r="G7" s="11" t="n">
        <x:v>0.39264100790023804</x:v>
      </x:c>
      <x:c r="H7" s="13" t="n">
        <x:v>16</x:v>
      </x:c>
      <x:c r="I7" s="13" t="n">
        <x:v>0</x:v>
      </x:c>
    </x:row>
    <x:row r="8" ht="22" customHeight="1">
      <x:c r="A8" s="22" t="b">
        <x:v>0</x:v>
      </x:c>
      <x:c r="B8" s="12" t="str">
        <x:v>CUM</x:v>
      </x:c>
      <x:c r="C8" s="12" t="str">
        <x:v>input_history</x:v>
      </x:c>
      <x:c r="D8" s="13" t="n">
        <x:v>521</x:v>
      </x:c>
      <x:c r="E8" s="13" t="n">
        <x:v>521</x:v>
      </x:c>
      <x:c r="F8" s="11" t="n">
        <x:v>0.9999998544777194</x:v>
      </x:c>
      <x:c r="G8" s="11" t="n">
        <x:v>0.9999998807907104</x:v>
      </x:c>
      <x:c r="H8" s="13" t="n">
        <x:v>0</x:v>
      </x:c>
      <x:c r="I8" s="13" t="n">
        <x:v>0</x:v>
      </x:c>
    </x:row>
    <x:row r="9" ht="22" customHeight="1">
      <x:c r="A9" s="22" t="b">
        <x:v>0</x:v>
      </x:c>
      <x:c r="B9" s="12" t="str">
        <x:v>CUM</x:v>
      </x:c>
      <x:c r="C9" s="12" t="str">
        <x:v>trained_hidden</x:v>
      </x:c>
      <x:c r="D9" s="13" t="n">
        <x:v>521</x:v>
      </x:c>
      <x:c r="E9" s="13" t="n">
        <x:v>521</x:v>
      </x:c>
      <x:c r="F9" s="11" t="n">
        <x:v>0.8401748015189583</x:v>
      </x:c>
      <x:c r="G9" s="11" t="n">
        <x:v>0.8571083545684814</x:v>
      </x:c>
      <x:c r="H9" s="13" t="n">
        <x:v>0</x:v>
      </x:c>
      <x:c r="I9" s="13" t="n">
        <x:v>0</x:v>
      </x:c>
    </x:row>
    <x:row r="10" ht="22" customHeight="1">
      <x:c r="A10" s="22" t="b">
        <x:v>1</x:v>
      </x:c>
      <x:c r="B10" s="12" t="str">
        <x:v>API</x:v>
      </x:c>
      <x:c r="C10" s="12" t="str">
        <x:v>input_history</x:v>
      </x:c>
      <x:c r="D10" s="13" t="n">
        <x:v>521</x:v>
      </x:c>
      <x:c r="E10" s="13" t="n">
        <x:v>521</x:v>
      </x:c>
      <x:c r="F10" s="11" t="n">
        <x:v>0.9999996959240308</x:v>
      </x:c>
      <x:c r="G10" s="11" t="n">
        <x:v>0.9999997381187582</x:v>
      </x:c>
      <x:c r="H10" s="13" t="n">
        <x:v>0</x:v>
      </x:c>
      <x:c r="I10" s="13" t="n">
        <x:v>0</x:v>
      </x:c>
    </x:row>
    <x:row r="11" ht="22" customHeight="1">
      <x:c r="A11" s="22" t="b">
        <x:v>1</x:v>
      </x:c>
      <x:c r="B11" s="12" t="str">
        <x:v>API</x:v>
      </x:c>
      <x:c r="C11" s="12" t="str">
        <x:v>trained_hidden</x:v>
      </x:c>
      <x:c r="D11" s="13" t="n">
        <x:v>521</x:v>
      </x:c>
      <x:c r="E11" s="13" t="n">
        <x:v>521</x:v>
      </x:c>
      <x:c r="F11" s="11" t="n">
        <x:v>0.7692238799930634</x:v>
      </x:c>
      <x:c r="G11" s="11" t="n">
        <x:v>0.7816290210314922</x:v>
      </x:c>
      <x:c r="H11" s="13" t="n">
        <x:v>0</x:v>
      </x:c>
      <x:c r="I11" s="13" t="n">
        <x:v>0</x:v>
      </x:c>
    </x:row>
    <x:row r="12" ht="22" customHeight="1">
      <x:c r="A12" s="22" t="b">
        <x:v>1</x:v>
      </x:c>
      <x:c r="B12" s="12" t="str">
        <x:v>CHG</x:v>
      </x:c>
      <x:c r="C12" s="12" t="str">
        <x:v>input_history</x:v>
      </x:c>
      <x:c r="D12" s="13" t="n">
        <x:v>521</x:v>
      </x:c>
      <x:c r="E12" s="13" t="n">
        <x:v>521</x:v>
      </x:c>
      <x:c r="F12" s="11" t="n">
        <x:v>0.48987593611920405</x:v>
      </x:c>
      <x:c r="G12" s="11" t="n">
        <x:v>0.5161092281341553</x:v>
      </x:c>
      <x:c r="H12" s="13" t="n">
        <x:v>8</x:v>
      </x:c>
      <x:c r="I12" s="13" t="n">
        <x:v>0</x:v>
      </x:c>
    </x:row>
    <x:row r="13" ht="22" customHeight="1">
      <x:c r="A13" s="22" t="b">
        <x:v>1</x:v>
      </x:c>
      <x:c r="B13" s="12" t="str">
        <x:v>CHG</x:v>
      </x:c>
      <x:c r="C13" s="12" t="str">
        <x:v>trained_hidden</x:v>
      </x:c>
      <x:c r="D13" s="13" t="n">
        <x:v>521</x:v>
      </x:c>
      <x:c r="E13" s="13" t="n">
        <x:v>521</x:v>
      </x:c>
      <x:c r="F13" s="11" t="n">
        <x:v>0.38980103248369213</x:v>
      </x:c>
      <x:c r="G13" s="11" t="n">
        <x:v>0.42233771085739136</x:v>
      </x:c>
      <x:c r="H13" s="13" t="n">
        <x:v>16</x:v>
      </x:c>
      <x:c r="I13" s="13" t="n">
        <x:v>0</x:v>
      </x:c>
    </x:row>
    <x:row r="14" ht="22" customHeight="1">
      <x:c r="A14" s="22" t="b">
        <x:v>1</x:v>
      </x:c>
      <x:c r="B14" s="12" t="str">
        <x:v>CUM</x:v>
      </x:c>
      <x:c r="C14" s="12" t="str">
        <x:v>input_history</x:v>
      </x:c>
      <x:c r="D14" s="13" t="n">
        <x:v>521</x:v>
      </x:c>
      <x:c r="E14" s="13" t="n">
        <x:v>521</x:v>
      </x:c>
      <x:c r="F14" s="11" t="n">
        <x:v>0.9999997189086138</x:v>
      </x:c>
      <x:c r="G14" s="11" t="n">
        <x:v>0.9999997615814209</x:v>
      </x:c>
      <x:c r="H14" s="13" t="n">
        <x:v>0</x:v>
      </x:c>
      <x:c r="I14" s="13" t="n">
        <x:v>0</x:v>
      </x:c>
    </x:row>
    <x:row r="15" ht="22" customHeight="1">
      <x:c r="A15" s="23" t="b">
        <x:v>1</x:v>
      </x:c>
      <x:c r="B15" s="14" t="str">
        <x:v>CUM</x:v>
      </x:c>
      <x:c r="C15" s="14" t="str">
        <x:v>trained_hidden</x:v>
      </x:c>
      <x:c r="D15" s="15" t="n">
        <x:v>521</x:v>
      </x:c>
      <x:c r="E15" s="15" t="n">
        <x:v>521</x:v>
      </x:c>
      <x:c r="F15" s="16" t="n">
        <x:v>0.7440419268013191</x:v>
      </x:c>
      <x:c r="G15" s="16" t="n">
        <x:v>0.7564723491668701</x:v>
      </x:c>
      <x:c r="H15" s="15" t="n">
        <x:v>0</x:v>
      </x:c>
      <x:c r="I15" s="15" t="n">
        <x:v>0</x:v>
      </x:c>
    </x:row>
  </x:sheetData>
  <x:mergeCells>
    <x:mergeCell ref="A1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4" t="str">
        <x:v>Exact hypergeometric SRS interval: 503 eligible basins, three fixed seeds; not all initializations.</x:v>
      </x:c>
      <x:c r="B1" s="5"/>
      <x:c r="C1" s="5"/>
      <x:c r="D1" s="5"/>
      <x:c r="E1" s="5"/>
      <x:c r="F1" s="5"/>
    </x:row>
    <x:row r="2" ht="22" customHeight="1">
      <x:c r="A2" s="5"/>
      <x:c r="B2" s="5"/>
      <x:c r="C2" s="5"/>
      <x:c r="D2" s="5"/>
      <x:c r="E2" s="5"/>
      <x:c r="F2" s="5"/>
    </x:row>
    <x:row r="3" ht="38" customHeight="1">
      <x:c r="A3" s="10" t="str">
        <x:v>Q history</x:v>
      </x:c>
      <x:c r="B3" s="10" t="str">
        <x:v>Sample basins</x:v>
      </x:c>
      <x:c r="C3" s="10" t="str">
        <x:v>Eligible population</x:v>
      </x:c>
      <x:c r="D3" s="10" t="str">
        <x:v>All 3 pass basins</x:v>
      </x:c>
      <x:c r="E3" s="10" t="str">
        <x:v>95% lower fraction</x:v>
      </x:c>
      <x:c r="F3" s="10" t="str">
        <x:v>95% upper fraction</x:v>
      </x:c>
    </x:row>
    <x:row r="4" ht="22" customHeight="1">
      <x:c r="A4" s="22" t="b">
        <x:v>1</x:v>
      </x:c>
      <x:c r="B4" s="13" t="n">
        <x:v>12</x:v>
      </x:c>
      <x:c r="C4" s="13" t="n">
        <x:v>503</x:v>
      </x:c>
      <x:c r="D4" s="13" t="n">
        <x:v>2</x:v>
      </x:c>
      <x:c r="E4" s="11" t="n">
        <x:v>0.02186878727634195</x:v>
      </x:c>
      <x:c r="F4" s="11" t="n">
        <x:v>0.47912524850894633</x:v>
      </x:c>
    </x:row>
    <x:row r="5" ht="22" customHeight="1">
      <x:c r="A5" s="23" t="b">
        <x:v>0</x:v>
      </x:c>
      <x:c r="B5" s="15" t="n">
        <x:v>12</x:v>
      </x:c>
      <x:c r="C5" s="15" t="n">
        <x:v>503</x:v>
      </x:c>
      <x:c r="D5" s="15" t="n">
        <x:v>2</x:v>
      </x:c>
      <x:c r="E5" s="16" t="n">
        <x:v>0.02186878727634195</x:v>
      </x:c>
      <x:c r="F5" s="16" t="n">
        <x:v>0.47912524850894633</x:v>
      </x:c>
    </x:row>
  </x:sheetData>
  <x:mergeCells>
    <x:mergeCell ref="A1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4" t="str">
        <x:v>Original nearest-degree criterion retained. Both calipers reported; neither chosen using test results.</x:v>
      </x:c>
      <x:c r="B1" s="5"/>
      <x:c r="C1" s="5"/>
      <x:c r="D1" s="5"/>
      <x:c r="E1" s="5"/>
      <x:c r="F1" s="5"/>
      <x:c r="G1" s="5"/>
      <x:c r="H1" s="5"/>
    </x:row>
    <x:row r="2" ht="22" customHeight="1">
      <x:c r="A2" s="5"/>
      <x:c r="B2" s="5"/>
      <x:c r="C2" s="5"/>
      <x:c r="D2" s="5"/>
      <x:c r="E2" s="5"/>
      <x:c r="F2" s="5"/>
      <x:c r="G2" s="5"/>
      <x:c r="H2" s="5"/>
    </x:row>
    <x:row r="3" ht="38" customHeight="1">
      <x:c r="A3" s="10" t="str">
        <x:v>Q history</x:v>
      </x:c>
      <x:c r="B3" s="10" t="str">
        <x:v>Fixed caliper</x:v>
      </x:c>
      <x:c r="C3" s="10" t="str">
        <x:v>Basins</x:v>
      </x:c>
      <x:c r="D3" s="10" t="str">
        <x:v>Primary passes</x:v>
      </x:c>
      <x:c r="E3" s="10" t="str">
        <x:v>Caliper passes</x:v>
      </x:c>
      <x:c r="F3" s="10" t="str">
        <x:v>No valid control win</x:v>
      </x:c>
      <x:c r="G3" s="10" t="str">
        <x:v>Median unique controls</x:v>
      </x:c>
      <x:c r="H3" s="10" t="str">
        <x:v>Median core overlap</x:v>
      </x:c>
    </x:row>
    <x:row r="4" ht="22" customHeight="1">
      <x:c r="A4" s="22" t="b">
        <x:v>0</x:v>
      </x:c>
      <x:c r="B4" s="13" t="n">
        <x:v>1</x:v>
      </x:c>
      <x:c r="C4" s="13" t="n">
        <x:v>521</x:v>
      </x:c>
      <x:c r="D4" s="13" t="n">
        <x:v>167</x:v>
      </x:c>
      <x:c r="E4" s="13" t="n">
        <x:v>246</x:v>
      </x:c>
      <x:c r="F4" s="13" t="n">
        <x:v>0</x:v>
      </x:c>
      <x:c r="G4" s="13" t="n">
        <x:v>20</x:v>
      </x:c>
      <x:c r="H4" s="11" t="n">
        <x:v>0.6645161290322581</x:v>
      </x:c>
    </x:row>
    <x:row r="5" ht="22" customHeight="1">
      <x:c r="A5" s="22" t="b">
        <x:v>0</x:v>
      </x:c>
      <x:c r="B5" s="13" t="n">
        <x:v>2</x:v>
      </x:c>
      <x:c r="C5" s="13" t="n">
        <x:v>521</x:v>
      </x:c>
      <x:c r="D5" s="13" t="n">
        <x:v>167</x:v>
      </x:c>
      <x:c r="E5" s="13" t="n">
        <x:v>264</x:v>
      </x:c>
      <x:c r="F5" s="13" t="n">
        <x:v>0</x:v>
      </x:c>
      <x:c r="G5" s="13" t="n">
        <x:v>20</x:v>
      </x:c>
      <x:c r="H5" s="11" t="n">
        <x:v>0.5576923076923077</x:v>
      </x:c>
    </x:row>
    <x:row r="6" ht="22" customHeight="1">
      <x:c r="A6" s="22" t="b">
        <x:v>1</x:v>
      </x:c>
      <x:c r="B6" s="13" t="n">
        <x:v>1</x:v>
      </x:c>
      <x:c r="C6" s="13" t="n">
        <x:v>521</x:v>
      </x:c>
      <x:c r="D6" s="13" t="n">
        <x:v>203</x:v>
      </x:c>
      <x:c r="E6" s="13" t="n">
        <x:v>291</x:v>
      </x:c>
      <x:c r="F6" s="13" t="n">
        <x:v>2</x:v>
      </x:c>
      <x:c r="G6" s="13" t="n">
        <x:v>20</x:v>
      </x:c>
      <x:c r="H6" s="11" t="n">
        <x:v>0.7180000000000001</x:v>
      </x:c>
    </x:row>
    <x:row r="7" ht="22" customHeight="1">
      <x:c r="A7" s="23" t="b">
        <x:v>1</x:v>
      </x:c>
      <x:c r="B7" s="15" t="n">
        <x:v>2</x:v>
      </x:c>
      <x:c r="C7" s="15" t="n">
        <x:v>521</x:v>
      </x:c>
      <x:c r="D7" s="15" t="n">
        <x:v>203</x:v>
      </x:c>
      <x:c r="E7" s="15" t="n">
        <x:v>310</x:v>
      </x:c>
      <x:c r="F7" s="15" t="n">
        <x:v>0</x:v>
      </x:c>
      <x:c r="G7" s="15" t="n">
        <x:v>20</x:v>
      </x:c>
      <x:c r="H7" s="16" t="n">
        <x:v>0.5944444444444444</x:v>
      </x:c>
    </x:row>
  </x:sheetData>
  <x:mergeCells>
    <x:mergeCell ref="A1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2" customHeight="1">
      <x:c r="A1" s="4" t="str">
        <x:v>Conditional SRS: 492 basins. Four Bonferroni intervals have &gt;=95% joint coverage; three fixed seeds.</x:v>
      </x:c>
      <x:c r="B1" s="5"/>
      <x:c r="C1" s="5"/>
      <x:c r="D1" s="5"/>
      <x:c r="E1" s="5"/>
      <x:c r="F1" s="5"/>
      <x:c r="G1" s="5"/>
    </x:row>
    <x:row r="2" ht="22" customHeight="1">
      <x:c r="A2" s="5"/>
      <x:c r="B2" s="5"/>
      <x:c r="C2" s="5"/>
      <x:c r="D2" s="5"/>
      <x:c r="E2" s="5"/>
      <x:c r="F2" s="5"/>
      <x:c r="G2" s="5"/>
    </x:row>
    <x:row r="3" ht="38" customHeight="1">
      <x:c r="A3" s="10" t="str">
        <x:v>Q history</x:v>
      </x:c>
      <x:c r="B3" s="10" t="str">
        <x:v>Fixed caliper</x:v>
      </x:c>
      <x:c r="C3" s="10" t="str">
        <x:v>All 3 pass basins</x:v>
      </x:c>
      <x:c r="D3" s="10" t="str">
        <x:v>Sample basins</x:v>
      </x:c>
      <x:c r="E3" s="10" t="str">
        <x:v>Eligible population</x:v>
      </x:c>
      <x:c r="F3" s="10" t="str">
        <x:v>98.75% lower fraction</x:v>
      </x:c>
      <x:c r="G3" s="10" t="str">
        <x:v>98.75% upper fraction</x:v>
      </x:c>
    </x:row>
    <x:row r="4" ht="22" customHeight="1">
      <x:c r="A4" s="22" t="b">
        <x:v>0</x:v>
      </x:c>
      <x:c r="B4" s="13" t="n">
        <x:v>1</x:v>
      </x:c>
      <x:c r="C4" s="13" t="n">
        <x:v>3</x:v>
      </x:c>
      <x:c r="D4" s="13" t="n">
        <x:v>12</x:v>
      </x:c>
      <x:c r="E4" s="13" t="n">
        <x:v>492</x:v>
      </x:c>
      <x:c r="F4" s="11" t="n">
        <x:v>0.036585365853658534</x:v>
      </x:c>
      <x:c r="G4" s="11" t="n">
        <x:v>0.6402439024390244</x:v>
      </x:c>
    </x:row>
    <x:row r="5" ht="22" customHeight="1">
      <x:c r="A5" s="22" t="b">
        <x:v>0</x:v>
      </x:c>
      <x:c r="B5" s="13" t="n">
        <x:v>2</x:v>
      </x:c>
      <x:c r="C5" s="13" t="n">
        <x:v>4</x:v>
      </x:c>
      <x:c r="D5" s="13" t="n">
        <x:v>12</x:v>
      </x:c>
      <x:c r="E5" s="13" t="n">
        <x:v>492</x:v>
      </x:c>
      <x:c r="F5" s="11" t="n">
        <x:v>0.06910569105691057</x:v>
      </x:c>
      <x:c r="G5" s="11" t="n">
        <x:v>0.7134146341463414</x:v>
      </x:c>
    </x:row>
    <x:row r="6" ht="22" customHeight="1">
      <x:c r="A6" s="22" t="b">
        <x:v>1</x:v>
      </x:c>
      <x:c r="B6" s="13" t="n">
        <x:v>1</x:v>
      </x:c>
      <x:c r="C6" s="13" t="n">
        <x:v>3</x:v>
      </x:c>
      <x:c r="D6" s="13" t="n">
        <x:v>12</x:v>
      </x:c>
      <x:c r="E6" s="13" t="n">
        <x:v>492</x:v>
      </x:c>
      <x:c r="F6" s="11" t="n">
        <x:v>0.036585365853658534</x:v>
      </x:c>
      <x:c r="G6" s="11" t="n">
        <x:v>0.6402439024390244</x:v>
      </x:c>
    </x:row>
    <x:row r="7" ht="22" customHeight="1">
      <x:c r="A7" s="23" t="b">
        <x:v>1</x:v>
      </x:c>
      <x:c r="B7" s="15" t="n">
        <x:v>2</x:v>
      </x:c>
      <x:c r="C7" s="15" t="n">
        <x:v>3</x:v>
      </x:c>
      <x:c r="D7" s="15" t="n">
        <x:v>12</x:v>
      </x:c>
      <x:c r="E7" s="15" t="n">
        <x:v>492</x:v>
      </x:c>
      <x:c r="F7" s="16" t="n">
        <x:v>0.036585365853658534</x:v>
      </x:c>
      <x:c r="G7" s="16" t="n">
        <x:v>0.6402439024390244</x:v>
      </x:c>
    </x:row>
  </x:sheetData>
  <x:mergeCells>
    <x:mergeCell ref="A1:G2"/>
  </x:mergeCells>
  <x:pageMargins left="0.7" right="0.7" top="0.75" bottom="0.75" header="0.3" footer="0.3"/>
</x:worksheet>
</file>