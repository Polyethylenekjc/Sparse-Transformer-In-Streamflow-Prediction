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d5459a56e548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389ee33b22b84ed2"/>
    <x:sheet xmlns:r="http://schemas.openxmlformats.org/officeDocument/2006/relationships" name="Station models" sheetId="2" r:id="R89bbbaa045a34606"/>
    <x:sheet xmlns:r="http://schemas.openxmlformats.org/officeDocument/2006/relationships" name="Tuning station fits" sheetId="3" r:id="Rfa335403c89b43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"/>
    <x:numFmt numFmtId="201" formatCode="0"/>
    <x:numFmt numFmtId="202" formatCode="0.000000"/>
    <x:numFmt numFmtId="203" formatCode="00000000"/>
    <x:numFmt numFmtId="204" formatCode="#,##0.0"/>
    <x:numFmt numFmtId="205" formatCode="0.0"/>
    <x:numFmt numFmtId="206" formatCode="yyyy-mm-dd"/>
  </x:numFmts>
  <x:fonts count="6">
    <x:font>
      <x:sz val="11"/>
      <x:name val="Carlito"/>
    </x:font>
    <x:font>
      <x:b/>
      <x:sz val="10"/>
      <x:color rgb="FF243A52"/>
      <x:name val="Arial"/>
    </x:font>
    <x:font>
      <x:b/>
      <x:sz val="14"/>
      <x:color rgb="FF243A52"/>
      <x:name val="Arial"/>
    </x:font>
    <x:font>
      <x:sz val="10"/>
      <x:color rgb="FF52616C"/>
      <x:name val="Arial"/>
    </x:font>
    <x:font>
      <x:sz val="10"/>
      <x:color rgb="FF202B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2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AB5BF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1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1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1" xfId="0" applyNumberFormat="1" applyFont="1" applyFill="1" applyBorder="1" applyAlignment="1">
      <x:alignment vertical="center"/>
    </x:xf>
    <x:xf numFmtId="206" fontId="4" fillId="0" borderId="0" xfId="0" applyNumberFormat="1" applyFont="1" applyFill="1" applyBorder="1" applyAlignment="1">
      <x:alignment vertical="center"/>
    </x:xf>
    <x:xf numFmtId="206" fontId="4" fillId="0" borderId="1" xfId="0" applyNumberFormat="1" applyFont="1" applyFill="1" applyBorder="1" applyAlignment="1">
      <x:alignment vertical="center"/>
    </x:xf>
    <x:xf numFmtId="206" fontId="4" fillId="0" borderId="0" xfId="0" applyNumberFormat="1" applyFont="1" applyFill="1" applyBorder="1" applyAlignment="1">
      <x:alignment horizontal="center" vertical="center"/>
    </x:xf>
    <x:xf numFmtId="206" fontId="4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47109a621841ba" /><Relationship Type="http://schemas.openxmlformats.org/officeDocument/2006/relationships/theme" Target="/xl/theme/theme1.xml" Id="R237faa52a7ee4679" /><Relationship Type="http://schemas.openxmlformats.org/officeDocument/2006/relationships/sharedStrings" Target="/xl/sharedStrings.xml" Id="R0d3ed20b3bf0419c" /><Relationship Type="http://schemas.openxmlformats.org/officeDocument/2006/relationships/worksheet" Target="/xl/worksheets/sheet1.xml" Id="R389ee33b22b84ed2" /><Relationship Type="http://schemas.openxmlformats.org/officeDocument/2006/relationships/worksheet" Target="/xl/worksheets/sheet2.xml" Id="R89bbbaa045a34606" /><Relationship Type="http://schemas.openxmlformats.org/officeDocument/2006/relationships/worksheet" Target="/xl/worksheets/sheet3.xml" Id="Rfa335403c89b43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A52"/>
  </x:sheetPr>
  <x:sheetViews>
    <x:sheetView showGridLines="0" workbookViewId="0"/>
  </x:sheetViews>
  <x:sheetFormatPr defaultRowHeight="15"/>
  <x:cols>
    <x:col min="1" max="1" width="1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2">
      <x:c r="A2" s="2" t="str">
        <x:v>LSTM baseline | 521 stations; shared parameters; seed 42</x:v>
      </x:c>
    </x:row>
    <x:row r="3">
      <x:c r="A3" s="3" t="str">
        <x:v>One fresh model per station. SD describes between-station variation, not seed uncertainty.</x:v>
      </x:c>
    </x:row>
    <x:row r="5" ht="34" customHeight="1">
      <x:c r="A5" s="9" t="str">
        <x:v>Model</x:v>
      </x:c>
      <x:c r="B5" s="9" t="str">
        <x:v>Stations</x:v>
      </x:c>
      <x:c r="C5" s="9" t="str">
        <x:v>NSE mean</x:v>
      </x:c>
      <x:c r="D5" s="9" t="str">
        <x:v>NSE SD</x:v>
      </x:c>
      <x:c r="E5" s="9" t="str">
        <x:v>NSE median</x:v>
      </x:c>
      <x:c r="F5" s="9" t="str">
        <x:v>KGE mean</x:v>
      </x:c>
      <x:c r="G5" s="9" t="str">
        <x:v>KGE SD</x:v>
      </x:c>
      <x:c r="H5" s="9" t="str">
        <x:v>KGE median</x:v>
      </x:c>
    </x:row>
    <x:row r="6" ht="22" customHeight="1">
      <x:c r="A6" s="10" t="str">
        <x:v>LSTM</x:v>
      </x:c>
      <x:c r="B6" s="12" t="n">
        <x:v>521</x:v>
      </x:c>
      <x:c r="C6" s="10" t="n">
        <x:v>0.19035072459680902</x:v>
      </x:c>
      <x:c r="D6" s="10" t="n">
        <x:v>9.271674661726255</x:v>
      </x:c>
      <x:c r="E6" s="10" t="n">
        <x:v>0.6432552386876698</x:v>
      </x:c>
      <x:c r="F6" s="10" t="n">
        <x:v>0.48585728748693524</x:v>
      </x:c>
      <x:c r="G6" s="10" t="n">
        <x:v>3.7861342825458872</x:v>
      </x:c>
      <x:c r="H6" s="10" t="n">
        <x:v>0.7173377707582584</x:v>
      </x:c>
    </x:row>
    <x:row r="7" ht="22" customHeight="1">
      <x:c r="A7" s="10" t="str">
        <x:v>Persistence</x:v>
      </x:c>
      <x:c r="B7" s="12" t="n">
        <x:v>521</x:v>
      </x:c>
      <x:c r="C7" s="10" t="n">
        <x:v>0.46835125779341874</x:v>
      </x:c>
      <x:c r="D7" s="10" t="n">
        <x:v>0.39880650116463434</x:v>
      </x:c>
      <x:c r="E7" s="10" t="n">
        <x:v>0.5277351374217382</x:v>
      </x:c>
      <x:c r="F7" s="10" t="n">
        <x:v>0.7341781016449874</x:v>
      </x:c>
      <x:c r="G7" s="10" t="n">
        <x:v>0.19940055879356477</x:v>
      </x:c>
      <x:c r="H7" s="10" t="n">
        <x:v>0.7638756484556193</x:v>
      </x:c>
    </x:row>
    <x:row r="8" ht="22" customHeight="1">
      <x:c r="A8" s="11" t="str">
        <x:v>AR ridge</x:v>
      </x:c>
      <x:c r="B8" s="13" t="n">
        <x:v>521</x:v>
      </x:c>
      <x:c r="C8" s="11" t="n">
        <x:v>0.500523343825612</x:v>
      </x:c>
      <x:c r="D8" s="11" t="n">
        <x:v>1.8559357631377693</x:v>
      </x:c>
      <x:c r="E8" s="11" t="n">
        <x:v>0.5951387613416469</x:v>
      </x:c>
      <x:c r="F8" s="11" t="n">
        <x:v>0.5137838398670851</x:v>
      </x:c>
      <x:c r="G8" s="11" t="n">
        <x:v>2.0101532821005668</x:v>
      </x:c>
      <x:c r="H8" s="11" t="n">
        <x:v>0.6688129790020381</x:v>
      </x:c>
    </x:row>
    <x:row r="9">
      <x:c r="A9" s="3" t="str">
        <x:v>All 521 NSE/KGE scores defined. Extreme station 08190500 retained; 13 LSTM NSE scores &lt; 0.</x:v>
      </x:c>
    </x:row>
    <x:row r="10">
      <x:c r="A10" s="1" t="str">
        <x:v>Selected shared hyperparameters | validation-only Bayesian optimization</x:v>
      </x:c>
    </x:row>
    <x:row r="12" ht="34" customHeight="1">
      <x:c r="A12" s="9" t="str">
        <x:v>Hidden size</x:v>
      </x:c>
      <x:c r="B12" s="9" t="str">
        <x:v>Layers</x:v>
      </x:c>
      <x:c r="C12" s="9" t="str">
        <x:v>Learning rate</x:v>
      </x:c>
      <x:c r="D12" s="9" t="str">
        <x:v>Dropout</x:v>
      </x:c>
      <x:c r="E12" s="9" t="str">
        <x:v>Weight decay</x:v>
      </x:c>
      <x:c r="F12" s="9" t="str">
        <x:v>Trial index</x:v>
      </x:c>
    </x:row>
    <x:row r="13" ht="22" customHeight="1">
      <x:c r="A13" s="13" t="n">
        <x:v>256</x:v>
      </x:c>
      <x:c r="B13" s="13" t="n">
        <x:v>2</x:v>
      </x:c>
      <x:c r="C13" s="14" t="n">
        <x:v>0.002713975339231919</x:v>
      </x:c>
      <x:c r="D13" s="14" t="n">
        <x:v>0</x:v>
      </x:c>
      <x:c r="E13" s="14" t="n">
        <x:v>0.0001</x:v>
      </x:c>
      <x:c r="F13" s="13" t="n">
        <x:v>17</x:v>
      </x:c>
    </x:row>
    <x:row r="15">
      <x:c r="A15" s="3" t="str">
        <x:v>30 epochs; 15-day history; next-day target; batch 128; seed 42; FP32.</x:v>
      </x:c>
    </x:row>
    <x:row r="17">
      <x:c r="A17" s="1" t="str">
        <x:v>Current STEH comparison subset | 12 prespecified stations</x:v>
      </x:c>
    </x:row>
    <x:row r="19" ht="34" customHeight="1">
      <x:c r="A19" s="9" t="str">
        <x:v>Basin ID</x:v>
      </x:c>
      <x:c r="B19" s="9" t="str">
        <x:v>Test days</x:v>
      </x:c>
      <x:c r="C19" s="9" t="str">
        <x:v>LSTM NSE</x:v>
      </x:c>
      <x:c r="D19" s="9" t="str">
        <x:v>LSTM KGE</x:v>
      </x:c>
      <x:c r="E19" s="9" t="str">
        <x:v>Persistence NSE</x:v>
      </x:c>
      <x:c r="F19" s="9" t="str">
        <x:v>AR NSE</x:v>
      </x:c>
      <x:c r="G19" s="9" t="str">
        <x:v>RMSE (cfs)</x:v>
      </x:c>
      <x:c r="H19" s="9" t="str">
        <x:v>MAE (cfs)</x:v>
      </x:c>
    </x:row>
    <x:row r="20" ht="22" customHeight="1">
      <x:c r="A20" s="15" t="str">
        <x:f>"01134500"</x:f>
        <x:v>01134500</x:v>
      </x:c>
      <x:c r="B20" s="12" t="n">
        <x:v>1918</x:v>
      </x:c>
      <x:c r="C20" s="10" t="n">
        <x:v>0.6915449014189479</x:v>
      </x:c>
      <x:c r="D20" s="10" t="n">
        <x:v>0.7636893021861132</x:v>
      </x:c>
      <x:c r="E20" s="10" t="n">
        <x:v>0.5308061533746395</x:v>
      </x:c>
      <x:c r="F20" s="10" t="n">
        <x:v>0.6144752028265442</x:v>
      </x:c>
      <x:c r="G20" s="17" t="n">
        <x:v>134.36811788715536</x:v>
      </x:c>
      <x:c r="H20" s="17" t="n">
        <x:v>57.12570644625131</x:v>
      </x:c>
    </x:row>
    <x:row r="21" ht="22" customHeight="1">
      <x:c r="A21" s="15" t="str">
        <x:f>"02011460"</x:f>
        <x:v>02011460</x:v>
      </x:c>
      <x:c r="B21" s="12" t="n">
        <x:v>1918</x:v>
      </x:c>
      <x:c r="C21" s="10" t="n">
        <x:v>0.4869356053195355</x:v>
      </x:c>
      <x:c r="D21" s="10" t="n">
        <x:v>0.5124792755326595</x:v>
      </x:c>
      <x:c r="E21" s="10" t="n">
        <x:v>0.14925640143347418</x:v>
      </x:c>
      <x:c r="F21" s="10" t="n">
        <x:v>0.3435924000016227</x:v>
      </x:c>
      <x:c r="G21" s="17" t="n">
        <x:v>126.75504960245931</x:v>
      </x:c>
      <x:c r="H21" s="17" t="n">
        <x:v>34.962741531996876</x:v>
      </x:c>
    </x:row>
    <x:row r="22" ht="22" customHeight="1">
      <x:c r="A22" s="15" t="str">
        <x:f>"03346000"</x:f>
        <x:v>03346000</x:v>
      </x:c>
      <x:c r="B22" s="12" t="n">
        <x:v>1918</x:v>
      </x:c>
      <x:c r="C22" s="10" t="n">
        <x:v>0.7068536682534694</x:v>
      </x:c>
      <x:c r="D22" s="10" t="n">
        <x:v>0.7627624031921764</x:v>
      </x:c>
      <x:c r="E22" s="10" t="n">
        <x:v>0.49448387737682187</x:v>
      </x:c>
      <x:c r="F22" s="10" t="n">
        <x:v>0.6586581223093713</x:v>
      </x:c>
      <x:c r="G22" s="17" t="n">
        <x:v>455.1499392564296</x:v>
      </x:c>
      <x:c r="H22" s="17" t="n">
        <x:v>201.94203064134513</x:v>
      </x:c>
    </x:row>
    <x:row r="23" ht="22" customHeight="1">
      <x:c r="A23" s="15" t="str">
        <x:f>"03460000"</x:f>
        <x:v>03460000</x:v>
      </x:c>
      <x:c r="B23" s="12" t="n">
        <x:v>1918</x:v>
      </x:c>
      <x:c r="C23" s="10" t="n">
        <x:v>0.6121320201553646</x:v>
      </x:c>
      <x:c r="D23" s="10" t="n">
        <x:v>0.6585182443914085</x:v>
      </x:c>
      <x:c r="E23" s="10" t="n">
        <x:v>0.614215172897019</x:v>
      </x:c>
      <x:c r="F23" s="10" t="n">
        <x:v>0.6521875811017724</x:v>
      </x:c>
      <x:c r="G23" s="17" t="n">
        <x:v>81.9010934054365</x:v>
      </x:c>
      <x:c r="H23" s="17" t="n">
        <x:v>28.601108645464024</x:v>
      </x:c>
    </x:row>
    <x:row r="24" ht="22" customHeight="1">
      <x:c r="A24" s="15" t="str">
        <x:f>"04196800"</x:f>
        <x:v>04196800</x:v>
      </x:c>
      <x:c r="B24" s="12" t="n">
        <x:v>1911</x:v>
      </x:c>
      <x:c r="C24" s="10" t="n">
        <x:v>0.894764053760079</x:v>
      </x:c>
      <x:c r="D24" s="10" t="n">
        <x:v>0.8180458860940683</x:v>
      </x:c>
      <x:c r="E24" s="10" t="n">
        <x:v>0.6770016754313664</x:v>
      </x:c>
      <x:c r="F24" s="10" t="n">
        <x:v>0.8214937273935146</x:v>
      </x:c>
      <x:c r="G24" s="17" t="n">
        <x:v>195.21357202587245</x:v>
      </x:c>
      <x:c r="H24" s="17" t="n">
        <x:v>77.7435955565777</x:v>
      </x:c>
    </x:row>
    <x:row r="25" ht="22" customHeight="1">
      <x:c r="A25" s="15" t="str">
        <x:f>"05399500"</x:f>
        <x:v>05399500</x:v>
      </x:c>
      <x:c r="B25" s="12" t="n">
        <x:v>1917</x:v>
      </x:c>
      <x:c r="C25" s="10" t="n">
        <x:v>0.62573722213235</x:v>
      </x:c>
      <x:c r="D25" s="10" t="n">
        <x:v>0.6690083713034782</x:v>
      </x:c>
      <x:c r="E25" s="10" t="n">
        <x:v>0.5255398989941025</x:v>
      </x:c>
      <x:c r="F25" s="10" t="n">
        <x:v>0.5763656055809365</x:v>
      </x:c>
      <x:c r="G25" s="17" t="n">
        <x:v>384.57165469349155</x:v>
      </x:c>
      <x:c r="H25" s="17" t="n">
        <x:v>104.89953993245695</x:v>
      </x:c>
    </x:row>
    <x:row r="26" ht="22" customHeight="1">
      <x:c r="A26" s="15" t="str">
        <x:f>"05495500"</x:f>
        <x:v>05495500</x:v>
      </x:c>
      <x:c r="B26" s="12" t="n">
        <x:v>1918</x:v>
      </x:c>
      <x:c r="C26" s="10" t="n">
        <x:v>0.4643580706182374</x:v>
      </x:c>
      <x:c r="D26" s="10" t="n">
        <x:v>0.43550197124014645</x:v>
      </x:c>
      <x:c r="E26" s="10" t="n">
        <x:v>0.21910541342743695</x:v>
      </x:c>
      <x:c r="F26" s="10" t="n">
        <x:v>0.41858912104765855</x:v>
      </x:c>
      <x:c r="G26" s="17" t="n">
        <x:v>1025.1116496227462</x:v>
      </x:c>
      <x:c r="H26" s="17" t="n">
        <x:v>274.8145735112805</x:v>
      </x:c>
    </x:row>
    <x:row r="27" ht="22" customHeight="1">
      <x:c r="A27" s="15" t="str">
        <x:f>"05507600"</x:f>
        <x:v>05507600</x:v>
      </x:c>
      <x:c r="B27" s="12" t="n">
        <x:v>1918</x:v>
      </x:c>
      <x:c r="C27" s="10" t="n">
        <x:v>0.2324545756219384</x:v>
      </x:c>
      <x:c r="D27" s="10" t="n">
        <x:v>0.23251901791119656</x:v>
      </x:c>
      <x:c r="E27" s="10" t="n">
        <x:v>-0.20180461863012056</x:v>
      </x:c>
      <x:c r="F27" s="10" t="n">
        <x:v>0.15412100122486794</x:v>
      </x:c>
      <x:c r="G27" s="17" t="n">
        <x:v>342.3180781521009</x:v>
      </x:c>
      <x:c r="H27" s="17" t="n">
        <x:v>98.19335652966423</x:v>
      </x:c>
    </x:row>
    <x:row r="28" ht="22" customHeight="1">
      <x:c r="A28" s="15" t="str">
        <x:f>"06339100"</x:f>
        <x:v>06339100</x:v>
      </x:c>
      <x:c r="B28" s="12" t="n">
        <x:v>1918</x:v>
      </x:c>
      <x:c r="C28" s="10" t="n">
        <x:v>0.7025759438359943</x:v>
      </x:c>
      <x:c r="D28" s="10" t="n">
        <x:v>0.6834688001918726</x:v>
      </x:c>
      <x:c r="E28" s="10" t="n">
        <x:v>0.5212297524035354</x:v>
      </x:c>
      <x:c r="F28" s="10" t="n">
        <x:v>0.584325179229165</x:v>
      </x:c>
      <x:c r="G28" s="17" t="n">
        <x:v>49.73088833344099</x:v>
      </x:c>
      <x:c r="H28" s="17" t="n">
        <x:v>11.921899768801774</x:v>
      </x:c>
    </x:row>
    <x:row r="29" ht="22" customHeight="1">
      <x:c r="A29" s="15" t="str">
        <x:f>"08082700"</x:f>
        <x:v>08082700</x:v>
      </x:c>
      <x:c r="B29" s="12" t="n">
        <x:v>1918</x:v>
      </x:c>
      <x:c r="C29" s="10" t="n">
        <x:v>-0.9533753048743809</x:v>
      </x:c>
      <x:c r="D29" s="10" t="n">
        <x:v>0.10668723417583226</x:v>
      </x:c>
      <x:c r="E29" s="10" t="n">
        <x:v>0.23394720958787174</x:v>
      </x:c>
      <x:c r="F29" s="10" t="n">
        <x:v>0.331511479376433</x:v>
      </x:c>
      <x:c r="G29" s="17" t="n">
        <x:v>19.632329572504904</x:v>
      </x:c>
      <x:c r="H29" s="17" t="n">
        <x:v>4.742680530228369</x:v>
      </x:c>
    </x:row>
    <x:row r="30" ht="22" customHeight="1">
      <x:c r="A30" s="15" t="str">
        <x:f>"08164600"</x:f>
        <x:v>08164600</x:v>
      </x:c>
      <x:c r="B30" s="12" t="n">
        <x:v>1918</x:v>
      </x:c>
      <x:c r="C30" s="10" t="n">
        <x:v>0.07808315494323459</x:v>
      </x:c>
      <x:c r="D30" s="10" t="n">
        <x:v>0.32204285475249506</x:v>
      </x:c>
      <x:c r="E30" s="10" t="n">
        <x:v>0.2342986407794183</x:v>
      </x:c>
      <x:c r="F30" s="10" t="n">
        <x:v>0.3817084262942314</x:v>
      </x:c>
      <x:c r="G30" s="17" t="n">
        <x:v>129.921231550376</x:v>
      </x:c>
      <x:c r="H30" s="17" t="n">
        <x:v>25.54424171755059</x:v>
      </x:c>
    </x:row>
    <x:row r="31" ht="22" customHeight="1">
      <x:c r="A31" s="16" t="str">
        <x:f>"08380500"</x:f>
        <x:v>08380500</x:v>
      </x:c>
      <x:c r="B31" s="13" t="n">
        <x:v>1918</x:v>
      </x:c>
      <x:c r="C31" s="11" t="n">
        <x:v>0.4312025905723409</x:v>
      </x:c>
      <x:c r="D31" s="11" t="n">
        <x:v>0.3851839931664457</x:v>
      </x:c>
      <x:c r="E31" s="11" t="n">
        <x:v>0.27298766547344966</x:v>
      </x:c>
      <x:c r="F31" s="11" t="n">
        <x:v>0.3667577251240429</x:v>
      </x:c>
      <x:c r="G31" s="18" t="n">
        <x:v>41.157286063201404</x:v>
      </x:c>
      <x:c r="H31" s="18" t="n">
        <x:v>4.250392903154067</x:v>
      </x:c>
    </x:row>
    <x:row r="33">
      <x:c r="A33" s="1" t="str">
        <x:v>Global candidates | mean validation NSE on the same six random stations</x:v>
      </x:c>
    </x:row>
    <x:row r="35" ht="34" customHeight="1">
      <x:c r="A35" s="9" t="str">
        <x:v>Trial index</x:v>
      </x:c>
      <x:c r="B35" s="9" t="str">
        <x:v>Mean val NSE</x:v>
      </x:c>
      <x:c r="C35" s="9" t="str">
        <x:v>Hidden size</x:v>
      </x:c>
      <x:c r="D35" s="9" t="str">
        <x:v>Layers</x:v>
      </x:c>
      <x:c r="E35" s="9" t="str">
        <x:v>Learning rate</x:v>
      </x:c>
      <x:c r="F35" s="9" t="str">
        <x:v>Dropout</x:v>
      </x:c>
      <x:c r="G35" s="9" t="str">
        <x:v>Weight decay</x:v>
      </x:c>
      <x:c r="H35" s="9" t="str">
        <x:v>Selected</x:v>
      </x:c>
    </x:row>
    <x:row r="36" ht="22" customHeight="1">
      <x:c r="A36" s="12" t="n">
        <x:v>0</x:v>
      </x:c>
      <x:c r="B36" s="10" t="n">
        <x:v>0.5912900630056205</x:v>
      </x:c>
      <x:c r="C36" s="12" t="n">
        <x:v>64</x:v>
      </x:c>
      <x:c r="D36" s="12" t="n">
        <x:v>1</x:v>
      </x:c>
      <x:c r="E36" s="19" t="n">
        <x:v>0.001</x:v>
      </x:c>
      <x:c r="F36" s="19" t="n">
        <x:v>0</x:v>
      </x:c>
      <x:c r="G36" s="19" t="n">
        <x:v>0.00001</x:v>
      </x:c>
      <x:c r="H36" s="20" t="str">
        <x:v>No</x:v>
      </x:c>
    </x:row>
    <x:row r="37" ht="22" customHeight="1">
      <x:c r="A37" s="12" t="n">
        <x:v>1</x:v>
      </x:c>
      <x:c r="B37" s="10" t="n">
        <x:v>0.5948658099435413</x:v>
      </x:c>
      <x:c r="C37" s="12" t="n">
        <x:v>128</x:v>
      </x:c>
      <x:c r="D37" s="12" t="n">
        <x:v>1</x:v>
      </x:c>
      <x:c r="E37" s="19" t="n">
        <x:v>0.001</x:v>
      </x:c>
      <x:c r="F37" s="19" t="n">
        <x:v>0</x:v>
      </x:c>
      <x:c r="G37" s="19" t="n">
        <x:v>0.00001</x:v>
      </x:c>
      <x:c r="H37" s="20" t="str">
        <x:v>No</x:v>
      </x:c>
    </x:row>
    <x:row r="38" ht="22" customHeight="1">
      <x:c r="A38" s="12" t="n">
        <x:v>2</x:v>
      </x:c>
      <x:c r="B38" s="10" t="n">
        <x:v>0.5957563505387106</x:v>
      </x:c>
      <x:c r="C38" s="12" t="n">
        <x:v>64</x:v>
      </x:c>
      <x:c r="D38" s="12" t="n">
        <x:v>2</x:v>
      </x:c>
      <x:c r="E38" s="19" t="n">
        <x:v>0.001</x:v>
      </x:c>
      <x:c r="F38" s="19" t="n">
        <x:v>0.1</x:v>
      </x:c>
      <x:c r="G38" s="19" t="n">
        <x:v>0.00001</x:v>
      </x:c>
      <x:c r="H38" s="20" t="str">
        <x:v>No</x:v>
      </x:c>
    </x:row>
    <x:row r="39" ht="22" customHeight="1">
      <x:c r="A39" s="12" t="n">
        <x:v>3</x:v>
      </x:c>
      <x:c r="B39" s="10" t="n">
        <x:v>0.5876629966271588</x:v>
      </x:c>
      <x:c r="C39" s="12" t="n">
        <x:v>128</x:v>
      </x:c>
      <x:c r="D39" s="12" t="n">
        <x:v>2</x:v>
      </x:c>
      <x:c r="E39" s="19" t="n">
        <x:v>0.0003</x:v>
      </x:c>
      <x:c r="F39" s="19" t="n">
        <x:v>0.1</x:v>
      </x:c>
      <x:c r="G39" s="19" t="n">
        <x:v>0.00001</x:v>
      </x:c>
      <x:c r="H39" s="20" t="str">
        <x:v>No</x:v>
      </x:c>
    </x:row>
    <x:row r="40" ht="22" customHeight="1">
      <x:c r="A40" s="12" t="n">
        <x:v>4</x:v>
      </x:c>
      <x:c r="B40" s="10" t="n">
        <x:v>0.5768596590986125</x:v>
      </x:c>
      <x:c r="C40" s="12" t="n">
        <x:v>256</x:v>
      </x:c>
      <x:c r="D40" s="12" t="n">
        <x:v>1</x:v>
      </x:c>
      <x:c r="E40" s="19" t="n">
        <x:v>0.0002675932844229047</x:v>
      </x:c>
      <x:c r="F40" s="19" t="n">
        <x:v>0</x:v>
      </x:c>
      <x:c r="G40" s="19" t="n">
        <x:v>0</x:v>
      </x:c>
      <x:c r="H40" s="20" t="str">
        <x:v>No</x:v>
      </x:c>
    </x:row>
    <x:row r="41" ht="22" customHeight="1">
      <x:c r="A41" s="12" t="n">
        <x:v>5</x:v>
      </x:c>
      <x:c r="B41" s="10" t="n">
        <x:v>0.5892756540873084</x:v>
      </x:c>
      <x:c r="C41" s="12" t="n">
        <x:v>128</x:v>
      </x:c>
      <x:c r="D41" s="12" t="n">
        <x:v>2</x:v>
      </x:c>
      <x:c r="E41" s="19" t="n">
        <x:v>0.0003594379848462419</x:v>
      </x:c>
      <x:c r="F41" s="19" t="n">
        <x:v>0.1</x:v>
      </x:c>
      <x:c r="G41" s="19" t="n">
        <x:v>0</x:v>
      </x:c>
      <x:c r="H41" s="20" t="str">
        <x:v>No</x:v>
      </x:c>
    </x:row>
    <x:row r="42" ht="22" customHeight="1">
      <x:c r="A42" s="12" t="n">
        <x:v>6</x:v>
      </x:c>
      <x:c r="B42" s="10" t="n">
        <x:v>0.5761321070458106</x:v>
      </x:c>
      <x:c r="C42" s="12" t="n">
        <x:v>32</x:v>
      </x:c>
      <x:c r="D42" s="12" t="n">
        <x:v>1</x:v>
      </x:c>
      <x:c r="E42" s="19" t="n">
        <x:v>0.00047781004458641107</x:v>
      </x:c>
      <x:c r="F42" s="19" t="n">
        <x:v>0</x:v>
      </x:c>
      <x:c r="G42" s="19" t="n">
        <x:v>0</x:v>
      </x:c>
      <x:c r="H42" s="20" t="str">
        <x:v>No</x:v>
      </x:c>
    </x:row>
    <x:row r="43" ht="22" customHeight="1">
      <x:c r="A43" s="12" t="n">
        <x:v>7</x:v>
      </x:c>
      <x:c r="B43" s="10" t="n">
        <x:v>0.5781131503240222</x:v>
      </x:c>
      <x:c r="C43" s="12" t="n">
        <x:v>128</x:v>
      </x:c>
      <x:c r="D43" s="12" t="n">
        <x:v>2</x:v>
      </x:c>
      <x:c r="E43" s="19" t="n">
        <x:v>0.00014435467457131842</x:v>
      </x:c>
      <x:c r="F43" s="19" t="n">
        <x:v>0</x:v>
      </x:c>
      <x:c r="G43" s="19" t="n">
        <x:v>0.00001</x:v>
      </x:c>
      <x:c r="H43" s="20" t="str">
        <x:v>No</x:v>
      </x:c>
    </x:row>
    <x:row r="44" ht="22" customHeight="1">
      <x:c r="A44" s="12" t="n">
        <x:v>8</x:v>
      </x:c>
      <x:c r="B44" s="10" t="n">
        <x:v>0.6051348019801873</x:v>
      </x:c>
      <x:c r="C44" s="12" t="n">
        <x:v>64</x:v>
      </x:c>
      <x:c r="D44" s="12" t="n">
        <x:v>2</x:v>
      </x:c>
      <x:c r="E44" s="19" t="n">
        <x:v>0.0021999881842521022</x:v>
      </x:c>
      <x:c r="F44" s="19" t="n">
        <x:v>0.3</x:v>
      </x:c>
      <x:c r="G44" s="19" t="n">
        <x:v>0.0001</x:v>
      </x:c>
      <x:c r="H44" s="20" t="str">
        <x:v>No</x:v>
      </x:c>
    </x:row>
    <x:row r="45" ht="22" customHeight="1">
      <x:c r="A45" s="12" t="n">
        <x:v>9</x:v>
      </x:c>
      <x:c r="B45" s="10" t="n">
        <x:v>0.6032474668486493</x:v>
      </x:c>
      <x:c r="C45" s="12" t="n">
        <x:v>64</x:v>
      </x:c>
      <x:c r="D45" s="12" t="n">
        <x:v>2</x:v>
      </x:c>
      <x:c r="E45" s="19" t="n">
        <x:v>0.0021616677836866337</x:v>
      </x:c>
      <x:c r="F45" s="19" t="n">
        <x:v>0.3</x:v>
      </x:c>
      <x:c r="G45" s="19" t="n">
        <x:v>0.0001</x:v>
      </x:c>
      <x:c r="H45" s="20" t="str">
        <x:v>No</x:v>
      </x:c>
    </x:row>
    <x:row r="46" ht="22" customHeight="1">
      <x:c r="A46" s="12" t="n">
        <x:v>10</x:v>
      </x:c>
      <x:c r="B46" s="10" t="n">
        <x:v>0.4983732211191911</x:v>
      </x:c>
      <x:c r="C46" s="12" t="n">
        <x:v>32</x:v>
      </x:c>
      <x:c r="D46" s="12" t="n">
        <x:v>2</x:v>
      </x:c>
      <x:c r="E46" s="19" t="n">
        <x:v>0.00010389749657193549</x:v>
      </x:c>
      <x:c r="F46" s="19" t="n">
        <x:v>0.3</x:v>
      </x:c>
      <x:c r="G46" s="19" t="n">
        <x:v>0.0001</x:v>
      </x:c>
      <x:c r="H46" s="20" t="str">
        <x:v>No</x:v>
      </x:c>
    </x:row>
    <x:row r="47" ht="22" customHeight="1">
      <x:c r="A47" s="12" t="n">
        <x:v>11</x:v>
      </x:c>
      <x:c r="B47" s="10" t="n">
        <x:v>0.6074581593712742</x:v>
      </x:c>
      <x:c r="C47" s="12" t="n">
        <x:v>256</x:v>
      </x:c>
      <x:c r="D47" s="12" t="n">
        <x:v>2</x:v>
      </x:c>
      <x:c r="E47" s="19" t="n">
        <x:v>0.0029124972933035746</x:v>
      </x:c>
      <x:c r="F47" s="19" t="n">
        <x:v>0.3</x:v>
      </x:c>
      <x:c r="G47" s="19" t="n">
        <x:v>0.0001</x:v>
      </x:c>
      <x:c r="H47" s="20" t="str">
        <x:v>No</x:v>
      </x:c>
    </x:row>
    <x:row r="48" ht="22" customHeight="1">
      <x:c r="A48" s="12" t="n">
        <x:v>12</x:v>
      </x:c>
      <x:c r="B48" s="10" t="n">
        <x:v>0.607782338670058</x:v>
      </x:c>
      <x:c r="C48" s="12" t="n">
        <x:v>256</x:v>
      </x:c>
      <x:c r="D48" s="12" t="n">
        <x:v>2</x:v>
      </x:c>
      <x:c r="E48" s="19" t="n">
        <x:v>0.0028925964755507046</x:v>
      </x:c>
      <x:c r="F48" s="19" t="n">
        <x:v>0.3</x:v>
      </x:c>
      <x:c r="G48" s="19" t="n">
        <x:v>0.0001</x:v>
      </x:c>
      <x:c r="H48" s="20" t="str">
        <x:v>No</x:v>
      </x:c>
    </x:row>
    <x:row r="49" ht="22" customHeight="1">
      <x:c r="A49" s="12" t="n">
        <x:v>13</x:v>
      </x:c>
      <x:c r="B49" s="10" t="n">
        <x:v>0.6072681201407695</x:v>
      </x:c>
      <x:c r="C49" s="12" t="n">
        <x:v>256</x:v>
      </x:c>
      <x:c r="D49" s="12" t="n">
        <x:v>2</x:v>
      </x:c>
      <x:c r="E49" s="19" t="n">
        <x:v>0.0029228372964957188</x:v>
      </x:c>
      <x:c r="F49" s="19" t="n">
        <x:v>0.3</x:v>
      </x:c>
      <x:c r="G49" s="19" t="n">
        <x:v>0.0001</x:v>
      </x:c>
      <x:c r="H49" s="20" t="str">
        <x:v>No</x:v>
      </x:c>
    </x:row>
    <x:row r="50" ht="22" customHeight="1">
      <x:c r="A50" s="12" t="n">
        <x:v>14</x:v>
      </x:c>
      <x:c r="B50" s="10" t="n">
        <x:v>0.605221514403604</x:v>
      </x:c>
      <x:c r="C50" s="12" t="n">
        <x:v>256</x:v>
      </x:c>
      <x:c r="D50" s="12" t="n">
        <x:v>2</x:v>
      </x:c>
      <x:c r="E50" s="19" t="n">
        <x:v>0.001577455389026347</x:v>
      </x:c>
      <x:c r="F50" s="19" t="n">
        <x:v>0.3</x:v>
      </x:c>
      <x:c r="G50" s="19" t="n">
        <x:v>0.0001</x:v>
      </x:c>
      <x:c r="H50" s="20" t="str">
        <x:v>No</x:v>
      </x:c>
    </x:row>
    <x:row r="51" ht="22" customHeight="1">
      <x:c r="A51" s="12" t="n">
        <x:v>15</x:v>
      </x:c>
      <x:c r="B51" s="10" t="n">
        <x:v>0.6062118368698433</x:v>
      </x:c>
      <x:c r="C51" s="12" t="n">
        <x:v>256</x:v>
      </x:c>
      <x:c r="D51" s="12" t="n">
        <x:v>2</x:v>
      </x:c>
      <x:c r="E51" s="19" t="n">
        <x:v>0.0016486457391280173</x:v>
      </x:c>
      <x:c r="F51" s="19" t="n">
        <x:v>0.3</x:v>
      </x:c>
      <x:c r="G51" s="19" t="n">
        <x:v>0.0001</x:v>
      </x:c>
      <x:c r="H51" s="20" t="str">
        <x:v>No</x:v>
      </x:c>
    </x:row>
    <x:row r="52" ht="22" customHeight="1">
      <x:c r="A52" s="12" t="n">
        <x:v>16</x:v>
      </x:c>
      <x:c r="B52" s="10" t="n">
        <x:v>0.6131896967944187</x:v>
      </x:c>
      <x:c r="C52" s="12" t="n">
        <x:v>256</x:v>
      </x:c>
      <x:c r="D52" s="12" t="n">
        <x:v>2</x:v>
      </x:c>
      <x:c r="E52" s="19" t="n">
        <x:v>0.002988187087234459</x:v>
      </x:c>
      <x:c r="F52" s="19" t="n">
        <x:v>0</x:v>
      </x:c>
      <x:c r="G52" s="19" t="n">
        <x:v>0.0001</x:v>
      </x:c>
      <x:c r="H52" s="20" t="str">
        <x:v>No</x:v>
      </x:c>
    </x:row>
    <x:row r="53" ht="22" customHeight="1">
      <x:c r="A53" s="12" t="n">
        <x:v>17</x:v>
      </x:c>
      <x:c r="B53" s="10" t="n">
        <x:v>0.6156201090315632</x:v>
      </x:c>
      <x:c r="C53" s="12" t="n">
        <x:v>256</x:v>
      </x:c>
      <x:c r="D53" s="12" t="n">
        <x:v>2</x:v>
      </x:c>
      <x:c r="E53" s="19" t="n">
        <x:v>0.002713975339231919</x:v>
      </x:c>
      <x:c r="F53" s="19" t="n">
        <x:v>0</x:v>
      </x:c>
      <x:c r="G53" s="19" t="n">
        <x:v>0.0001</x:v>
      </x:c>
      <x:c r="H53" s="20" t="str">
        <x:v>Yes</x:v>
      </x:c>
    </x:row>
    <x:row r="54" ht="22" customHeight="1">
      <x:c r="A54" s="12" t="n">
        <x:v>18</x:v>
      </x:c>
      <x:c r="B54" s="10" t="n">
        <x:v>0.5960317958430243</x:v>
      </x:c>
      <x:c r="C54" s="12" t="n">
        <x:v>256</x:v>
      </x:c>
      <x:c r="D54" s="12" t="n">
        <x:v>1</x:v>
      </x:c>
      <x:c r="E54" s="19" t="n">
        <x:v>0.0014245126119002381</x:v>
      </x:c>
      <x:c r="F54" s="19" t="n">
        <x:v>0</x:v>
      </x:c>
      <x:c r="G54" s="19" t="n">
        <x:v>0.0001</x:v>
      </x:c>
      <x:c r="H54" s="20" t="str">
        <x:v>No</x:v>
      </x:c>
    </x:row>
    <x:row r="55" ht="22" customHeight="1">
      <x:c r="A55" s="12" t="n">
        <x:v>19</x:v>
      </x:c>
      <x:c r="B55" s="10" t="n">
        <x:v>0.598570157053673</x:v>
      </x:c>
      <x:c r="C55" s="12" t="n">
        <x:v>256</x:v>
      </x:c>
      <x:c r="D55" s="12" t="n">
        <x:v>1</x:v>
      </x:c>
      <x:c r="E55" s="19" t="n">
        <x:v>0.001434658135946995</x:v>
      </x:c>
      <x:c r="F55" s="19" t="n">
        <x:v>0</x:v>
      </x:c>
      <x:c r="G55" s="19" t="n">
        <x:v>0.0001</x:v>
      </x:c>
      <x:c r="H55" s="20" t="str">
        <x:v>No</x:v>
      </x:c>
    </x:row>
    <x:row r="56" ht="22" customHeight="1">
      <x:c r="A56" s="12" t="n">
        <x:v>20</x:v>
      </x:c>
      <x:c r="B56" s="10" t="n">
        <x:v>0.5847808414105685</x:v>
      </x:c>
      <x:c r="C56" s="12" t="n">
        <x:v>32</x:v>
      </x:c>
      <x:c r="D56" s="12" t="n">
        <x:v>2</x:v>
      </x:c>
      <x:c r="E56" s="19" t="n">
        <x:v>0.0006339007815048592</x:v>
      </x:c>
      <x:c r="F56" s="19" t="n">
        <x:v>0</x:v>
      </x:c>
      <x:c r="G56" s="19" t="n">
        <x:v>0</x:v>
      </x:c>
      <x:c r="H56" s="20" t="str">
        <x:v>No</x:v>
      </x:c>
    </x:row>
    <x:row r="57" ht="22" customHeight="1">
      <x:c r="A57" s="12" t="n">
        <x:v>21</x:v>
      </x:c>
      <x:c r="B57" s="10" t="n">
        <x:v>0.5876158343777869</x:v>
      </x:c>
      <x:c r="C57" s="12" t="n">
        <x:v>32</x:v>
      </x:c>
      <x:c r="D57" s="12" t="n">
        <x:v>2</x:v>
      </x:c>
      <x:c r="E57" s="19" t="n">
        <x:v>0.0007020379977499601</x:v>
      </x:c>
      <x:c r="F57" s="19" t="n">
        <x:v>0</x:v>
      </x:c>
      <x:c r="G57" s="19" t="n">
        <x:v>0</x:v>
      </x:c>
      <x:c r="H57" s="20" t="str">
        <x:v>No</x:v>
      </x:c>
    </x:row>
    <x:row r="58" ht="22" customHeight="1">
      <x:c r="A58" s="12" t="n">
        <x:v>22</x:v>
      </x:c>
      <x:c r="B58" s="10" t="n">
        <x:v>0.6126203372808877</x:v>
      </x:c>
      <x:c r="C58" s="12" t="n">
        <x:v>256</x:v>
      </x:c>
      <x:c r="D58" s="12" t="n">
        <x:v>2</x:v>
      </x:c>
      <x:c r="E58" s="19" t="n">
        <x:v>0.0022367832561693344</x:v>
      </x:c>
      <x:c r="F58" s="19" t="n">
        <x:v>0</x:v>
      </x:c>
      <x:c r="G58" s="19" t="n">
        <x:v>0.0001</x:v>
      </x:c>
      <x:c r="H58" s="20" t="str">
        <x:v>No</x:v>
      </x:c>
    </x:row>
    <x:row r="59" ht="22" customHeight="1">
      <x:c r="A59" s="13" t="n">
        <x:v>23</x:v>
      </x:c>
      <x:c r="B59" s="11" t="n">
        <x:v>0.6133672766491641</x:v>
      </x:c>
      <x:c r="C59" s="13" t="n">
        <x:v>256</x:v>
      </x:c>
      <x:c r="D59" s="13" t="n">
        <x:v>2</x:v>
      </x:c>
      <x:c r="E59" s="14" t="n">
        <x:v>0.0022211024168907493</x:v>
      </x:c>
      <x:c r="F59" s="14" t="n">
        <x:v>0</x:v>
      </x:c>
      <x:c r="G59" s="14" t="n">
        <x:v>0.0001</x:v>
      </x:c>
      <x:c r="H59" s="21" t="str">
        <x:v>No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>
      <x:c r="A1" s="3" t="str">
        <x:v>Source: seed_metrics.csv; all final station records, independently checked against daily predictions.</x:v>
      </x:c>
    </x:row>
    <x:row r="3" ht="34" customHeight="1">
      <x:c r="A3" s="9" t="str">
        <x:v>Basin ID</x:v>
      </x:c>
      <x:c r="B3" s="9" t="str">
        <x:v>Seed</x:v>
      </x:c>
      <x:c r="C3" s="9" t="str">
        <x:v>Test days</x:v>
      </x:c>
      <x:c r="D3" s="9" t="str">
        <x:v>NSE</x:v>
      </x:c>
      <x:c r="E3" s="9" t="str">
        <x:v>KGE</x:v>
      </x:c>
      <x:c r="F3" s="9" t="str">
        <x:v>RMSE (cfs)</x:v>
      </x:c>
      <x:c r="G3" s="9" t="str">
        <x:v>MAE (cfs)</x:v>
      </x:c>
      <x:c r="H3" s="9" t="str">
        <x:v>Bias (cfs)</x:v>
      </x:c>
      <x:c r="I3" s="9" t="str">
        <x:v>Hidden size</x:v>
      </x:c>
      <x:c r="J3" s="9" t="str">
        <x:v>Layers</x:v>
      </x:c>
      <x:c r="K3" s="9" t="str">
        <x:v>Learning rate</x:v>
      </x:c>
      <x:c r="L3" s="9" t="str">
        <x:v>Dropout</x:v>
      </x:c>
      <x:c r="M3" s="9" t="str">
        <x:v>Weight decay</x:v>
      </x:c>
      <x:c r="N3" s="9" t="str">
        <x:v>Best epoch</x:v>
      </x:c>
      <x:c r="O3" s="9" t="str">
        <x:v>Best val MSE</x:v>
      </x:c>
      <x:c r="P3" s="9" t="str">
        <x:v>Elapsed (s)</x:v>
      </x:c>
      <x:c r="Q3" s="9" t="str">
        <x:v>Test start</x:v>
      </x:c>
      <x:c r="R3" s="9" t="str">
        <x:v>Test end</x:v>
      </x:c>
    </x:row>
    <x:row r="4" ht="22" customHeight="1">
      <x:c r="A4" s="15" t="str">
        <x:f>"01013500"</x:f>
        <x:v>01013500</x:v>
      </x:c>
      <x:c r="B4" s="12" t="n">
        <x:v>42</x:v>
      </x:c>
      <x:c r="C4" s="12" t="n">
        <x:v>1918</x:v>
      </x:c>
      <x:c r="D4" s="10" t="n">
        <x:v>0.9946683414896532</x:v>
      </x:c>
      <x:c r="E4" s="10" t="n">
        <x:v>0.9821511437167463</x:v>
      </x:c>
      <x:c r="F4" s="17" t="n">
        <x:v>119.61948554077966</x:v>
      </x:c>
      <x:c r="G4" s="17" t="n">
        <x:v>56.184698070907196</x:v>
      </x:c>
      <x:c r="H4" s="17" t="n">
        <x:v>8.173889238790403</x:v>
      </x:c>
      <x:c r="I4" s="12" t="n">
        <x:v>256</x:v>
      </x:c>
      <x:c r="J4" s="12" t="n">
        <x:v>2</x:v>
      </x:c>
      <x:c r="K4" s="19" t="n">
        <x:v>0.002713975339231919</x:v>
      </x:c>
      <x:c r="L4" s="19" t="n">
        <x:v>0</x:v>
      </x:c>
      <x:c r="M4" s="19" t="n">
        <x:v>0.0001</x:v>
      </x:c>
      <x:c r="N4" s="12" t="n">
        <x:v>23</x:v>
      </x:c>
      <x:c r="O4" s="10" t="n">
        <x:v>0.009788417257368565</x:v>
      </x:c>
      <x:c r="P4" s="22" t="n">
        <x:v>47.47914463188499</x:v>
      </x:c>
      <x:c r="Q4" s="26" t="str">
        <x:v>2009-10-01</x:v>
      </x:c>
      <x:c r="R4" s="26" t="str">
        <x:v>2014-12-31</x:v>
      </x:c>
    </x:row>
    <x:row r="5" ht="22" customHeight="1">
      <x:c r="A5" s="15" t="str">
        <x:f>"01022500"</x:f>
        <x:v>01022500</x:v>
      </x:c>
      <x:c r="B5" s="12" t="n">
        <x:v>42</x:v>
      </x:c>
      <x:c r="C5" s="12" t="n">
        <x:v>1918</x:v>
      </x:c>
      <x:c r="D5" s="10" t="n">
        <x:v>0.8748921778611825</x:v>
      </x:c>
      <x:c r="E5" s="10" t="n">
        <x:v>0.921172052311729</x:v>
      </x:c>
      <x:c r="F5" s="17" t="n">
        <x:v>209.13184682673202</x:v>
      </x:c>
      <x:c r="G5" s="17" t="n">
        <x:v>104.52914433159542</x:v>
      </x:c>
      <x:c r="H5" s="17" t="n">
        <x:v>22.105740380604797</x:v>
      </x:c>
      <x:c r="I5" s="12" t="n">
        <x:v>256</x:v>
      </x:c>
      <x:c r="J5" s="12" t="n">
        <x:v>2</x:v>
      </x:c>
      <x:c r="K5" s="19" t="n">
        <x:v>0.002713975339231919</x:v>
      </x:c>
      <x:c r="L5" s="19" t="n">
        <x:v>0</x:v>
      </x:c>
      <x:c r="M5" s="19" t="n">
        <x:v>0.0001</x:v>
      </x:c>
      <x:c r="N5" s="12" t="n">
        <x:v>16</x:v>
      </x:c>
      <x:c r="O5" s="10" t="n">
        <x:v>0.25426802039146423</x:v>
      </x:c>
      <x:c r="P5" s="22" t="n">
        <x:v>47.48433335404843</x:v>
      </x:c>
      <x:c r="Q5" s="26" t="str">
        <x:v>2009-10-01</x:v>
      </x:c>
      <x:c r="R5" s="26" t="str">
        <x:v>2014-12-31</x:v>
      </x:c>
    </x:row>
    <x:row r="6" ht="22" customHeight="1">
      <x:c r="A6" s="15" t="str">
        <x:f>"01030500"</x:f>
        <x:v>01030500</x:v>
      </x:c>
      <x:c r="B6" s="12" t="n">
        <x:v>42</x:v>
      </x:c>
      <x:c r="C6" s="12" t="n">
        <x:v>1918</x:v>
      </x:c>
      <x:c r="D6" s="10" t="n">
        <x:v>0.9927737291144765</x:v>
      </x:c>
      <x:c r="E6" s="10" t="n">
        <x:v>0.9884857701259236</x:v>
      </x:c>
      <x:c r="F6" s="17" t="n">
        <x:v>307.5737929847082</x:v>
      </x:c>
      <x:c r="G6" s="17" t="n">
        <x:v>140.93876475745415</x:v>
      </x:c>
      <x:c r="H6" s="17" t="n">
        <x:v>-30.405221368507302</x:v>
      </x:c>
      <x:c r="I6" s="12" t="n">
        <x:v>256</x:v>
      </x:c>
      <x:c r="J6" s="12" t="n">
        <x:v>2</x:v>
      </x:c>
      <x:c r="K6" s="19" t="n">
        <x:v>0.002713975339231919</x:v>
      </x:c>
      <x:c r="L6" s="19" t="n">
        <x:v>0</x:v>
      </x:c>
      <x:c r="M6" s="19" t="n">
        <x:v>0.0001</x:v>
      </x:c>
      <x:c r="N6" s="12" t="n">
        <x:v>18</x:v>
      </x:c>
      <x:c r="O6" s="10" t="n">
        <x:v>0.00621542613953352</x:v>
      </x:c>
      <x:c r="P6" s="22" t="n">
        <x:v>47.47285781707615</x:v>
      </x:c>
      <x:c r="Q6" s="26" t="str">
        <x:v>2009-10-01</x:v>
      </x:c>
      <x:c r="R6" s="26" t="str">
        <x:v>2014-12-31</x:v>
      </x:c>
    </x:row>
    <x:row r="7" ht="22" customHeight="1">
      <x:c r="A7" s="15" t="str">
        <x:f>"01031500"</x:f>
        <x:v>01031500</x:v>
      </x:c>
      <x:c r="B7" s="12" t="n">
        <x:v>42</x:v>
      </x:c>
      <x:c r="C7" s="12" t="n">
        <x:v>1918</x:v>
      </x:c>
      <x:c r="D7" s="10" t="n">
        <x:v>0.7415315076841655</x:v>
      </x:c>
      <x:c r="E7" s="10" t="n">
        <x:v>0.8158010051231752</x:v>
      </x:c>
      <x:c r="F7" s="17" t="n">
        <x:v>504.6025041168707</x:v>
      </x:c>
      <x:c r="G7" s="17" t="n">
        <x:v>202.60459810251982</x:v>
      </x:c>
      <x:c r="H7" s="17" t="n">
        <x:v>-13.762193331925442</x:v>
      </x:c>
      <x:c r="I7" s="12" t="n">
        <x:v>256</x:v>
      </x:c>
      <x:c r="J7" s="12" t="n">
        <x:v>2</x:v>
      </x:c>
      <x:c r="K7" s="19" t="n">
        <x:v>0.002713975339231919</x:v>
      </x:c>
      <x:c r="L7" s="19" t="n">
        <x:v>0</x:v>
      </x:c>
      <x:c r="M7" s="19" t="n">
        <x:v>0.0001</x:v>
      </x:c>
      <x:c r="N7" s="12" t="n">
        <x:v>27</x:v>
      </x:c>
      <x:c r="O7" s="10" t="n">
        <x:v>0.42269307374954224</x:v>
      </x:c>
      <x:c r="P7" s="22" t="n">
        <x:v>47.31705042440444</x:v>
      </x:c>
      <x:c r="Q7" s="26" t="str">
        <x:v>2009-10-01</x:v>
      </x:c>
      <x:c r="R7" s="26" t="str">
        <x:v>2014-12-31</x:v>
      </x:c>
    </x:row>
    <x:row r="8" ht="22" customHeight="1">
      <x:c r="A8" s="15" t="str">
        <x:f>"01047000"</x:f>
        <x:v>01047000</x:v>
      </x:c>
      <x:c r="B8" s="12" t="n">
        <x:v>42</x:v>
      </x:c>
      <x:c r="C8" s="12" t="n">
        <x:v>1918</x:v>
      </x:c>
      <x:c r="D8" s="10" t="n">
        <x:v>0.6508461416563941</x:v>
      </x:c>
      <x:c r="E8" s="10" t="n">
        <x:v>0.7253835664791972</x:v>
      </x:c>
      <x:c r="F8" s="17" t="n">
        <x:v>763.671195944535</x:v>
      </x:c>
      <x:c r="G8" s="17" t="n">
        <x:v>289.3464432643379</x:v>
      </x:c>
      <x:c r="H8" s="17" t="n">
        <x:v>-51.61064089624609</x:v>
      </x:c>
      <x:c r="I8" s="12" t="n">
        <x:v>256</x:v>
      </x:c>
      <x:c r="J8" s="12" t="n">
        <x:v>2</x:v>
      </x:c>
      <x:c r="K8" s="19" t="n">
        <x:v>0.002713975339231919</x:v>
      </x:c>
      <x:c r="L8" s="19" t="n">
        <x:v>0</x:v>
      </x:c>
      <x:c r="M8" s="19" t="n">
        <x:v>0.0001</x:v>
      </x:c>
      <x:c r="N8" s="12" t="n">
        <x:v>14</x:v>
      </x:c>
      <x:c r="O8" s="10" t="n">
        <x:v>0.43900394439697266</x:v>
      </x:c>
      <x:c r="P8" s="22" t="n">
        <x:v>47.284398624673486</x:v>
      </x:c>
      <x:c r="Q8" s="26" t="str">
        <x:v>2009-10-01</x:v>
      </x:c>
      <x:c r="R8" s="26" t="str">
        <x:v>2014-12-31</x:v>
      </x:c>
    </x:row>
    <x:row r="9" ht="22" customHeight="1">
      <x:c r="A9" s="15" t="str">
        <x:f>"01052500"</x:f>
        <x:v>01052500</x:v>
      </x:c>
      <x:c r="B9" s="12" t="n">
        <x:v>42</x:v>
      </x:c>
      <x:c r="C9" s="12" t="n">
        <x:v>1918</x:v>
      </x:c>
      <x:c r="D9" s="10" t="n">
        <x:v>0.7193137721145586</x:v>
      </x:c>
      <x:c r="E9" s="10" t="n">
        <x:v>0.8264864369614339</x:v>
      </x:c>
      <x:c r="F9" s="17" t="n">
        <x:v>299.05965108533456</x:v>
      </x:c>
      <x:c r="G9" s="17" t="n">
        <x:v>128.20612612622526</x:v>
      </x:c>
      <x:c r="H9" s="17" t="n">
        <x:v>-0.8999585203858189</x:v>
      </x:c>
      <x:c r="I9" s="12" t="n">
        <x:v>256</x:v>
      </x:c>
      <x:c r="J9" s="12" t="n">
        <x:v>2</x:v>
      </x:c>
      <x:c r="K9" s="19" t="n">
        <x:v>0.002713975339231919</x:v>
      </x:c>
      <x:c r="L9" s="19" t="n">
        <x:v>0</x:v>
      </x:c>
      <x:c r="M9" s="19" t="n">
        <x:v>0.0001</x:v>
      </x:c>
      <x:c r="N9" s="12" t="n">
        <x:v>11</x:v>
      </x:c>
      <x:c r="O9" s="10" t="n">
        <x:v>0.32930079102516174</x:v>
      </x:c>
      <x:c r="P9" s="22" t="n">
        <x:v>47.47499136440456</x:v>
      </x:c>
      <x:c r="Q9" s="26" t="str">
        <x:v>2009-10-01</x:v>
      </x:c>
      <x:c r="R9" s="26" t="str">
        <x:v>2014-12-31</x:v>
      </x:c>
    </x:row>
    <x:row r="10" ht="22" customHeight="1">
      <x:c r="A10" s="15" t="str">
        <x:f>"01054200"</x:f>
        <x:v>01054200</x:v>
      </x:c>
      <x:c r="B10" s="12" t="n">
        <x:v>42</x:v>
      </x:c>
      <x:c r="C10" s="12" t="n">
        <x:v>1918</x:v>
      </x:c>
      <x:c r="D10" s="10" t="n">
        <x:v>0.2971768071791028</x:v>
      </x:c>
      <x:c r="E10" s="10" t="n">
        <x:v>0.40519819260497825</x:v>
      </x:c>
      <x:c r="F10" s="17" t="n">
        <x:v>355.749123845985</x:v>
      </x:c>
      <x:c r="G10" s="17" t="n">
        <x:v>122.19106713084463</x:v>
      </x:c>
      <x:c r="H10" s="17" t="n">
        <x:v>5.0159351913660055</x:v>
      </x:c>
      <x:c r="I10" s="12" t="n">
        <x:v>256</x:v>
      </x:c>
      <x:c r="J10" s="12" t="n">
        <x:v>2</x:v>
      </x:c>
      <x:c r="K10" s="19" t="n">
        <x:v>0.002713975339231919</x:v>
      </x:c>
      <x:c r="L10" s="19" t="n">
        <x:v>0</x:v>
      </x:c>
      <x:c r="M10" s="19" t="n">
        <x:v>0.0001</x:v>
      </x:c>
      <x:c r="N10" s="12" t="n">
        <x:v>12</x:v>
      </x:c>
      <x:c r="O10" s="10" t="n">
        <x:v>0.5473080277442932</x:v>
      </x:c>
      <x:c r="P10" s="22" t="n">
        <x:v>47.2788108298555</x:v>
      </x:c>
      <x:c r="Q10" s="26" t="str">
        <x:v>2009-10-01</x:v>
      </x:c>
      <x:c r="R10" s="26" t="str">
        <x:v>2014-12-31</x:v>
      </x:c>
    </x:row>
    <x:row r="11" ht="22" customHeight="1">
      <x:c r="A11" s="15" t="str">
        <x:f>"01055000"</x:f>
        <x:v>01055000</x:v>
      </x:c>
      <x:c r="B11" s="12" t="n">
        <x:v>42</x:v>
      </x:c>
      <x:c r="C11" s="12" t="n">
        <x:v>1918</x:v>
      </x:c>
      <x:c r="D11" s="10" t="n">
        <x:v>0.45297324196452526</x:v>
      </x:c>
      <x:c r="E11" s="10" t="n">
        <x:v>0.5876314923840118</x:v>
      </x:c>
      <x:c r="F11" s="17" t="n">
        <x:v>297.09215847219923</x:v>
      </x:c>
      <x:c r="G11" s="17" t="n">
        <x:v>112.40686404519812</x:v>
      </x:c>
      <x:c r="H11" s="17" t="n">
        <x:v>-8.477444746970805</x:v>
      </x:c>
      <x:c r="I11" s="12" t="n">
        <x:v>256</x:v>
      </x:c>
      <x:c r="J11" s="12" t="n">
        <x:v>2</x:v>
      </x:c>
      <x:c r="K11" s="19" t="n">
        <x:v>0.002713975339231919</x:v>
      </x:c>
      <x:c r="L11" s="19" t="n">
        <x:v>0</x:v>
      </x:c>
      <x:c r="M11" s="19" t="n">
        <x:v>0.0001</x:v>
      </x:c>
      <x:c r="N11" s="12" t="n">
        <x:v>3</x:v>
      </x:c>
      <x:c r="O11" s="10" t="n">
        <x:v>0.5164803862571716</x:v>
      </x:c>
      <x:c r="P11" s="22" t="n">
        <x:v>47.30722654052079</x:v>
      </x:c>
      <x:c r="Q11" s="26" t="str">
        <x:v>2009-10-01</x:v>
      </x:c>
      <x:c r="R11" s="26" t="str">
        <x:v>2014-12-31</x:v>
      </x:c>
    </x:row>
    <x:row r="12" ht="22" customHeight="1">
      <x:c r="A12" s="15" t="str">
        <x:f>"01057000"</x:f>
        <x:v>01057000</x:v>
      </x:c>
      <x:c r="B12" s="12" t="n">
        <x:v>42</x:v>
      </x:c>
      <x:c r="C12" s="12" t="n">
        <x:v>1918</x:v>
      </x:c>
      <x:c r="D12" s="10" t="n">
        <x:v>0.6047377159891523</x:v>
      </x:c>
      <x:c r="E12" s="10" t="n">
        <x:v>0.7338871800394137</x:v>
      </x:c>
      <x:c r="F12" s="17" t="n">
        <x:v>145.80395999101904</x:v>
      </x:c>
      <x:c r="G12" s="17" t="n">
        <x:v>60.376460727737225</x:v>
      </x:c>
      <x:c r="H12" s="17" t="n">
        <x:v>10.292023246506778</x:v>
      </x:c>
      <x:c r="I12" s="12" t="n">
        <x:v>256</x:v>
      </x:c>
      <x:c r="J12" s="12" t="n">
        <x:v>2</x:v>
      </x:c>
      <x:c r="K12" s="19" t="n">
        <x:v>0.002713975339231919</x:v>
      </x:c>
      <x:c r="L12" s="19" t="n">
        <x:v>0</x:v>
      </x:c>
      <x:c r="M12" s="19" t="n">
        <x:v>0.0001</x:v>
      </x:c>
      <x:c r="N12" s="12" t="n">
        <x:v>13</x:v>
      </x:c>
      <x:c r="O12" s="10" t="n">
        <x:v>0.4436163008213043</x:v>
      </x:c>
      <x:c r="P12" s="22" t="n">
        <x:v>47.48049990646541</x:v>
      </x:c>
      <x:c r="Q12" s="26" t="str">
        <x:v>2009-10-01</x:v>
      </x:c>
      <x:c r="R12" s="26" t="str">
        <x:v>2014-12-31</x:v>
      </x:c>
    </x:row>
    <x:row r="13" ht="22" customHeight="1">
      <x:c r="A13" s="15" t="str">
        <x:f>"01073000"</x:f>
        <x:v>01073000</x:v>
      </x:c>
      <x:c r="B13" s="12" t="n">
        <x:v>42</x:v>
      </x:c>
      <x:c r="C13" s="12" t="n">
        <x:v>1918</x:v>
      </x:c>
      <x:c r="D13" s="10" t="n">
        <x:v>0.6468044721788409</x:v>
      </x:c>
      <x:c r="E13" s="10" t="n">
        <x:v>0.7509087273234769</x:v>
      </x:c>
      <x:c r="F13" s="17" t="n">
        <x:v>23.041159955323167</x:v>
      </x:c>
      <x:c r="G13" s="17" t="n">
        <x:v>7.065335750328467</x:v>
      </x:c>
      <x:c r="H13" s="17" t="n">
        <x:v>-0.05820491546923897</x:v>
      </x:c>
      <x:c r="I13" s="12" t="n">
        <x:v>256</x:v>
      </x:c>
      <x:c r="J13" s="12" t="n">
        <x:v>2</x:v>
      </x:c>
      <x:c r="K13" s="19" t="n">
        <x:v>0.002713975339231919</x:v>
      </x:c>
      <x:c r="L13" s="19" t="n">
        <x:v>0</x:v>
      </x:c>
      <x:c r="M13" s="19" t="n">
        <x:v>0.0001</x:v>
      </x:c>
      <x:c r="N13" s="12" t="n">
        <x:v>16</x:v>
      </x:c>
      <x:c r="O13" s="10" t="n">
        <x:v>0.9518961310386658</x:v>
      </x:c>
      <x:c r="P13" s="22" t="n">
        <x:v>47.48639187216759</x:v>
      </x:c>
      <x:c r="Q13" s="26" t="str">
        <x:v>2009-10-01</x:v>
      </x:c>
      <x:c r="R13" s="26" t="str">
        <x:v>2014-12-31</x:v>
      </x:c>
    </x:row>
    <x:row r="14" ht="22" customHeight="1">
      <x:c r="A14" s="15" t="str">
        <x:f>"01078000"</x:f>
        <x:v>01078000</x:v>
      </x:c>
      <x:c r="B14" s="12" t="n">
        <x:v>42</x:v>
      </x:c>
      <x:c r="C14" s="12" t="n">
        <x:v>1918</x:v>
      </x:c>
      <x:c r="D14" s="10" t="n">
        <x:v>0.8478166072616881</x:v>
      </x:c>
      <x:c r="E14" s="10" t="n">
        <x:v>0.866492418462667</x:v>
      </x:c>
      <x:c r="F14" s="17" t="n">
        <x:v>77.16964927033003</x:v>
      </x:c>
      <x:c r="G14" s="17" t="n">
        <x:v>35.492401442700725</x:v>
      </x:c>
      <x:c r="H14" s="17" t="n">
        <x:v>-3.0495977550052134</x:v>
      </x:c>
      <x:c r="I14" s="12" t="n">
        <x:v>256</x:v>
      </x:c>
      <x:c r="J14" s="12" t="n">
        <x:v>2</x:v>
      </x:c>
      <x:c r="K14" s="19" t="n">
        <x:v>0.002713975339231919</x:v>
      </x:c>
      <x:c r="L14" s="19" t="n">
        <x:v>0</x:v>
      </x:c>
      <x:c r="M14" s="19" t="n">
        <x:v>0.0001</x:v>
      </x:c>
      <x:c r="N14" s="12" t="n">
        <x:v>5</x:v>
      </x:c>
      <x:c r="O14" s="10" t="n">
        <x:v>0.3524155914783478</x:v>
      </x:c>
      <x:c r="P14" s="22" t="n">
        <x:v>47.34910029172897</x:v>
      </x:c>
      <x:c r="Q14" s="26" t="str">
        <x:v>2009-10-01</x:v>
      </x:c>
      <x:c r="R14" s="26" t="str">
        <x:v>2014-12-31</x:v>
      </x:c>
    </x:row>
    <x:row r="15" ht="22" customHeight="1">
      <x:c r="A15" s="15" t="str">
        <x:f>"01134500"</x:f>
        <x:v>01134500</x:v>
      </x:c>
      <x:c r="B15" s="12" t="n">
        <x:v>42</x:v>
      </x:c>
      <x:c r="C15" s="12" t="n">
        <x:v>1918</x:v>
      </x:c>
      <x:c r="D15" s="10" t="n">
        <x:v>0.6915449014189479</x:v>
      </x:c>
      <x:c r="E15" s="10" t="n">
        <x:v>0.7636893021861132</x:v>
      </x:c>
      <x:c r="F15" s="17" t="n">
        <x:v>134.36811788715536</x:v>
      </x:c>
      <x:c r="G15" s="17" t="n">
        <x:v>57.12570644625131</x:v>
      </x:c>
      <x:c r="H15" s="17" t="n">
        <x:v>0.09375719608446174</x:v>
      </x:c>
      <x:c r="I15" s="12" t="n">
        <x:v>256</x:v>
      </x:c>
      <x:c r="J15" s="12" t="n">
        <x:v>2</x:v>
      </x:c>
      <x:c r="K15" s="19" t="n">
        <x:v>0.002713975339231919</x:v>
      </x:c>
      <x:c r="L15" s="19" t="n">
        <x:v>0</x:v>
      </x:c>
      <x:c r="M15" s="19" t="n">
        <x:v>0.0001</x:v>
      </x:c>
      <x:c r="N15" s="12" t="n">
        <x:v>7</x:v>
      </x:c>
      <x:c r="O15" s="10" t="n">
        <x:v>0.32111573219299316</x:v>
      </x:c>
      <x:c r="P15" s="22" t="n">
        <x:v>47.50125910062343</x:v>
      </x:c>
      <x:c r="Q15" s="26" t="str">
        <x:v>2009-10-01</x:v>
      </x:c>
      <x:c r="R15" s="26" t="str">
        <x:v>2014-12-31</x:v>
      </x:c>
    </x:row>
    <x:row r="16" ht="22" customHeight="1">
      <x:c r="A16" s="15" t="str">
        <x:f>"01137500"</x:f>
        <x:v>01137500</x:v>
      </x:c>
      <x:c r="B16" s="12" t="n">
        <x:v>42</x:v>
      </x:c>
      <x:c r="C16" s="12" t="n">
        <x:v>1918</x:v>
      </x:c>
      <x:c r="D16" s="10" t="n">
        <x:v>0.5177879106172529</x:v>
      </x:c>
      <x:c r="E16" s="10" t="n">
        <x:v>0.6490459974655689</x:v>
      </x:c>
      <x:c r="F16" s="17" t="n">
        <x:v>219.7481390705413</x:v>
      </x:c>
      <x:c r="G16" s="17" t="n">
        <x:v>92.53282960740354</x:v>
      </x:c>
      <x:c r="H16" s="17" t="n">
        <x:v>0.8846038399374346</x:v>
      </x:c>
      <x:c r="I16" s="12" t="n">
        <x:v>256</x:v>
      </x:c>
      <x:c r="J16" s="12" t="n">
        <x:v>2</x:v>
      </x:c>
      <x:c r="K16" s="19" t="n">
        <x:v>0.002713975339231919</x:v>
      </x:c>
      <x:c r="L16" s="19" t="n">
        <x:v>0</x:v>
      </x:c>
      <x:c r="M16" s="19" t="n">
        <x:v>0.0001</x:v>
      </x:c>
      <x:c r="N16" s="12" t="n">
        <x:v>13</x:v>
      </x:c>
      <x:c r="O16" s="10" t="n">
        <x:v>0.4263104498386383</x:v>
      </x:c>
      <x:c r="P16" s="22" t="n">
        <x:v>47.36433642543852</x:v>
      </x:c>
      <x:c r="Q16" s="26" t="str">
        <x:v>2009-10-01</x:v>
      </x:c>
      <x:c r="R16" s="26" t="str">
        <x:v>2014-12-31</x:v>
      </x:c>
    </x:row>
    <x:row r="17" ht="22" customHeight="1">
      <x:c r="A17" s="15" t="str">
        <x:f>"01139000"</x:f>
        <x:v>01139000</x:v>
      </x:c>
      <x:c r="B17" s="12" t="n">
        <x:v>42</x:v>
      </x:c>
      <x:c r="C17" s="12" t="n">
        <x:v>1918</x:v>
      </x:c>
      <x:c r="D17" s="10" t="n">
        <x:v>0.6740210736046601</x:v>
      </x:c>
      <x:c r="E17" s="10" t="n">
        <x:v>0.7173277764760431</x:v>
      </x:c>
      <x:c r="F17" s="17" t="n">
        <x:v>116.93923045973106</x:v>
      </x:c>
      <x:c r="G17" s="17" t="n">
        <x:v>49.0741170198123</x:v>
      </x:c>
      <x:c r="H17" s="17" t="n">
        <x:v>0.8201787017726789</x:v>
      </x:c>
      <x:c r="I17" s="12" t="n">
        <x:v>256</x:v>
      </x:c>
      <x:c r="J17" s="12" t="n">
        <x:v>2</x:v>
      </x:c>
      <x:c r="K17" s="19" t="n">
        <x:v>0.002713975339231919</x:v>
      </x:c>
      <x:c r="L17" s="19" t="n">
        <x:v>0</x:v>
      </x:c>
      <x:c r="M17" s="19" t="n">
        <x:v>0.0001</x:v>
      </x:c>
      <x:c r="N17" s="12" t="n">
        <x:v>7</x:v>
      </x:c>
      <x:c r="O17" s="10" t="n">
        <x:v>0.30194172263145447</x:v>
      </x:c>
      <x:c r="P17" s="22" t="n">
        <x:v>47.376362725161016</x:v>
      </x:c>
      <x:c r="Q17" s="26" t="str">
        <x:v>2009-10-01</x:v>
      </x:c>
      <x:c r="R17" s="26" t="str">
        <x:v>2014-12-31</x:v>
      </x:c>
    </x:row>
    <x:row r="18" ht="22" customHeight="1">
      <x:c r="A18" s="15" t="str">
        <x:f>"01139800"</x:f>
        <x:v>01139800</x:v>
      </x:c>
      <x:c r="B18" s="12" t="n">
        <x:v>42</x:v>
      </x:c>
      <x:c r="C18" s="12" t="n">
        <x:v>1918</x:v>
      </x:c>
      <x:c r="D18" s="10" t="n">
        <x:v>0.6414540170584682</x:v>
      </x:c>
      <x:c r="E18" s="10" t="n">
        <x:v>0.7250439012362532</x:v>
      </x:c>
      <x:c r="F18" s="17" t="n">
        <x:v>10.589919572644543</x:v>
      </x:c>
      <x:c r="G18" s="17" t="n">
        <x:v>4.525346968665275</x:v>
      </x:c>
      <x:c r="H18" s="17" t="n">
        <x:v>-0.025060587226277346</x:v>
      </x:c>
      <x:c r="I18" s="12" t="n">
        <x:v>256</x:v>
      </x:c>
      <x:c r="J18" s="12" t="n">
        <x:v>2</x:v>
      </x:c>
      <x:c r="K18" s="19" t="n">
        <x:v>0.002713975339231919</x:v>
      </x:c>
      <x:c r="L18" s="19" t="n">
        <x:v>0</x:v>
      </x:c>
      <x:c r="M18" s="19" t="n">
        <x:v>0.0001</x:v>
      </x:c>
      <x:c r="N18" s="12" t="n">
        <x:v>12</x:v>
      </x:c>
      <x:c r="O18" s="10" t="n">
        <x:v>0.22118359804153442</x:v>
      </x:c>
      <x:c r="P18" s="22" t="n">
        <x:v>46.996994086541235</x:v>
      </x:c>
      <x:c r="Q18" s="26" t="str">
        <x:v>2009-10-01</x:v>
      </x:c>
      <x:c r="R18" s="26" t="str">
        <x:v>2014-12-31</x:v>
      </x:c>
    </x:row>
    <x:row r="19" ht="22" customHeight="1">
      <x:c r="A19" s="15" t="str">
        <x:f>"01142500"</x:f>
        <x:v>01142500</x:v>
      </x:c>
      <x:c r="B19" s="12" t="n">
        <x:v>42</x:v>
      </x:c>
      <x:c r="C19" s="12" t="n">
        <x:v>1918</x:v>
      </x:c>
      <x:c r="D19" s="10" t="n">
        <x:v>0.6867024799578356</x:v>
      </x:c>
      <x:c r="E19" s="10" t="n">
        <x:v>0.7346041086357096</x:v>
      </x:c>
      <x:c r="F19" s="17" t="n">
        <x:v>43.93573438634681</x:v>
      </x:c>
      <x:c r="G19" s="17" t="n">
        <x:v>16.070728228415017</x:v>
      </x:c>
      <x:c r="H19" s="17" t="n">
        <x:v>-0.747140437904067</x:v>
      </x:c>
      <x:c r="I19" s="12" t="n">
        <x:v>256</x:v>
      </x:c>
      <x:c r="J19" s="12" t="n">
        <x:v>2</x:v>
      </x:c>
      <x:c r="K19" s="19" t="n">
        <x:v>0.002713975339231919</x:v>
      </x:c>
      <x:c r="L19" s="19" t="n">
        <x:v>0</x:v>
      </x:c>
      <x:c r="M19" s="19" t="n">
        <x:v>0.0001</x:v>
      </x:c>
      <x:c r="N19" s="12" t="n">
        <x:v>5</x:v>
      </x:c>
      <x:c r="O19" s="10" t="n">
        <x:v>0.2621114253997803</x:v>
      </x:c>
      <x:c r="P19" s="22" t="n">
        <x:v>47.04714785236865</x:v>
      </x:c>
      <x:c r="Q19" s="26" t="str">
        <x:v>2009-10-01</x:v>
      </x:c>
      <x:c r="R19" s="26" t="str">
        <x:v>2014-12-31</x:v>
      </x:c>
    </x:row>
    <x:row r="20" ht="22" customHeight="1">
      <x:c r="A20" s="15" t="str">
        <x:f>"01144000"</x:f>
        <x:v>01144000</x:v>
      </x:c>
      <x:c r="B20" s="12" t="n">
        <x:v>42</x:v>
      </x:c>
      <x:c r="C20" s="12" t="n">
        <x:v>1918</x:v>
      </x:c>
      <x:c r="D20" s="10" t="n">
        <x:v>0.6515634878780994</x:v>
      </x:c>
      <x:c r="E20" s="10" t="n">
        <x:v>0.7225405507891303</x:v>
      </x:c>
      <x:c r="F20" s="17" t="n">
        <x:v>1073.3058651376186</x:v>
      </x:c>
      <x:c r="G20" s="17" t="n">
        <x:v>379.41985138686135</x:v>
      </x:c>
      <x:c r="H20" s="17" t="n">
        <x:v>-36.66748638164755</x:v>
      </x:c>
      <x:c r="I20" s="12" t="n">
        <x:v>256</x:v>
      </x:c>
      <x:c r="J20" s="12" t="n">
        <x:v>2</x:v>
      </x:c>
      <x:c r="K20" s="19" t="n">
        <x:v>0.002713975339231919</x:v>
      </x:c>
      <x:c r="L20" s="19" t="n">
        <x:v>0</x:v>
      </x:c>
      <x:c r="M20" s="19" t="n">
        <x:v>0.0001</x:v>
      </x:c>
      <x:c r="N20" s="12" t="n">
        <x:v>8</x:v>
      </x:c>
      <x:c r="O20" s="10" t="n">
        <x:v>0.2862279713153839</x:v>
      </x:c>
      <x:c r="P20" s="22" t="n">
        <x:v>47.02283577620983</x:v>
      </x:c>
      <x:c r="Q20" s="26" t="str">
        <x:v>2009-10-01</x:v>
      </x:c>
      <x:c r="R20" s="26" t="str">
        <x:v>2014-12-31</x:v>
      </x:c>
    </x:row>
    <x:row r="21" ht="22" customHeight="1">
      <x:c r="A21" s="15" t="str">
        <x:f>"01162500"</x:f>
        <x:v>01162500</x:v>
      </x:c>
      <x:c r="B21" s="12" t="n">
        <x:v>42</x:v>
      </x:c>
      <x:c r="C21" s="12" t="n">
        <x:v>1918</x:v>
      </x:c>
      <x:c r="D21" s="10" t="n">
        <x:v>0.8786194809052695</x:v>
      </x:c>
      <x:c r="E21" s="10" t="n">
        <x:v>0.9069044911334784</x:v>
      </x:c>
      <x:c r="F21" s="17" t="n">
        <x:v>16.696349507618542</x:v>
      </x:c>
      <x:c r="G21" s="17" t="n">
        <x:v>7.385153683023983</x:v>
      </x:c>
      <x:c r="H21" s="17" t="n">
        <x:v>-1.1073763207924923</x:v>
      </x:c>
      <x:c r="I21" s="12" t="n">
        <x:v>256</x:v>
      </x:c>
      <x:c r="J21" s="12" t="n">
        <x:v>2</x:v>
      </x:c>
      <x:c r="K21" s="19" t="n">
        <x:v>0.002713975339231919</x:v>
      </x:c>
      <x:c r="L21" s="19" t="n">
        <x:v>0</x:v>
      </x:c>
      <x:c r="M21" s="19" t="n">
        <x:v>0.0001</x:v>
      </x:c>
      <x:c r="N21" s="12" t="n">
        <x:v>8</x:v>
      </x:c>
      <x:c r="O21" s="10" t="n">
        <x:v>0.18874487280845642</x:v>
      </x:c>
      <x:c r="P21" s="22" t="n">
        <x:v>47.05170193966478</x:v>
      </x:c>
      <x:c r="Q21" s="26" t="str">
        <x:v>2009-10-01</x:v>
      </x:c>
      <x:c r="R21" s="26" t="str">
        <x:v>2014-12-31</x:v>
      </x:c>
    </x:row>
    <x:row r="22" ht="22" customHeight="1">
      <x:c r="A22" s="15" t="str">
        <x:f>"01169000"</x:f>
        <x:v>01169000</x:v>
      </x:c>
      <x:c r="B22" s="12" t="n">
        <x:v>42</x:v>
      </x:c>
      <x:c r="C22" s="12" t="n">
        <x:v>1918</x:v>
      </x:c>
      <x:c r="D22" s="10" t="n">
        <x:v>0.3561040927816179</x:v>
      </x:c>
      <x:c r="E22" s="10" t="n">
        <x:v>0.4599574077037638</x:v>
      </x:c>
      <x:c r="F22" s="17" t="n">
        <x:v>299.57697998619454</x:v>
      </x:c>
      <x:c r="G22" s="17" t="n">
        <x:v>89.51773572940563</x:v>
      </x:c>
      <x:c r="H22" s="17" t="n">
        <x:v>-8.136319593847759</x:v>
      </x:c>
      <x:c r="I22" s="12" t="n">
        <x:v>256</x:v>
      </x:c>
      <x:c r="J22" s="12" t="n">
        <x:v>2</x:v>
      </x:c>
      <x:c r="K22" s="19" t="n">
        <x:v>0.002713975339231919</x:v>
      </x:c>
      <x:c r="L22" s="19" t="n">
        <x:v>0</x:v>
      </x:c>
      <x:c r="M22" s="19" t="n">
        <x:v>0.0001</x:v>
      </x:c>
      <x:c r="N22" s="12" t="n">
        <x:v>7</x:v>
      </x:c>
      <x:c r="O22" s="10" t="n">
        <x:v>0.7624520659446716</x:v>
      </x:c>
      <x:c r="P22" s="22" t="n">
        <x:v>47.04599454533309</x:v>
      </x:c>
      <x:c r="Q22" s="26" t="str">
        <x:v>2009-10-01</x:v>
      </x:c>
      <x:c r="R22" s="26" t="str">
        <x:v>2014-12-31</x:v>
      </x:c>
    </x:row>
    <x:row r="23" ht="22" customHeight="1">
      <x:c r="A23" s="15" t="str">
        <x:f>"01170100"</x:f>
        <x:v>01170100</x:v>
      </x:c>
      <x:c r="B23" s="12" t="n">
        <x:v>42</x:v>
      </x:c>
      <x:c r="C23" s="12" t="n">
        <x:v>1918</x:v>
      </x:c>
      <x:c r="D23" s="10" t="n">
        <x:v>0.41864937546736425</x:v>
      </x:c>
      <x:c r="E23" s="10" t="n">
        <x:v>0.523211922960847</x:v>
      </x:c>
      <x:c r="F23" s="17" t="n">
        <x:v>108.17492950868679</x:v>
      </x:c>
      <x:c r="G23" s="17" t="n">
        <x:v>37.10113521845673</x:v>
      </x:c>
      <x:c r="H23" s="17" t="n">
        <x:v>0.8393590558915537</x:v>
      </x:c>
      <x:c r="I23" s="12" t="n">
        <x:v>256</x:v>
      </x:c>
      <x:c r="J23" s="12" t="n">
        <x:v>2</x:v>
      </x:c>
      <x:c r="K23" s="19" t="n">
        <x:v>0.002713975339231919</x:v>
      </x:c>
      <x:c r="L23" s="19" t="n">
        <x:v>0</x:v>
      </x:c>
      <x:c r="M23" s="19" t="n">
        <x:v>0.0001</x:v>
      </x:c>
      <x:c r="N23" s="12" t="n">
        <x:v>5</x:v>
      </x:c>
      <x:c r="O23" s="10" t="n">
        <x:v>0.4868814945220947</x:v>
      </x:c>
      <x:c r="P23" s="22" t="n">
        <x:v>47.07650153711438</x:v>
      </x:c>
      <x:c r="Q23" s="26" t="str">
        <x:v>2009-10-01</x:v>
      </x:c>
      <x:c r="R23" s="26" t="str">
        <x:v>2014-12-31</x:v>
      </x:c>
    </x:row>
    <x:row r="24" ht="22" customHeight="1">
      <x:c r="A24" s="15" t="str">
        <x:f>"01181000"</x:f>
        <x:v>01181000</x:v>
      </x:c>
      <x:c r="B24" s="12" t="n">
        <x:v>42</x:v>
      </x:c>
      <x:c r="C24" s="12" t="n">
        <x:v>1918</x:v>
      </x:c>
      <x:c r="D24" s="10" t="n">
        <x:v>0.2509696945479155</x:v>
      </x:c>
      <x:c r="E24" s="10" t="n">
        <x:v>0.3058333678789633</x:v>
      </x:c>
      <x:c r="F24" s="17" t="n">
        <x:v>390.92807235744897</x:v>
      </x:c>
      <x:c r="G24" s="17" t="n">
        <x:v>84.05151043453075</x:v>
      </x:c>
      <x:c r="H24" s="17" t="n">
        <x:v>-10.60614624641814</x:v>
      </x:c>
      <x:c r="I24" s="12" t="n">
        <x:v>256</x:v>
      </x:c>
      <x:c r="J24" s="12" t="n">
        <x:v>2</x:v>
      </x:c>
      <x:c r="K24" s="19" t="n">
        <x:v>0.002713975339231919</x:v>
      </x:c>
      <x:c r="L24" s="19" t="n">
        <x:v>0</x:v>
      </x:c>
      <x:c r="M24" s="19" t="n">
        <x:v>0.0001</x:v>
      </x:c>
      <x:c r="N24" s="12" t="n">
        <x:v>5</x:v>
      </x:c>
      <x:c r="O24" s="10" t="n">
        <x:v>1.0973823070526123</x:v>
      </x:c>
      <x:c r="P24" s="22" t="n">
        <x:v>47.14775970578194</x:v>
      </x:c>
      <x:c r="Q24" s="26" t="str">
        <x:v>2009-10-01</x:v>
      </x:c>
      <x:c r="R24" s="26" t="str">
        <x:v>2014-12-31</x:v>
      </x:c>
    </x:row>
    <x:row r="25" ht="22" customHeight="1">
      <x:c r="A25" s="15" t="str">
        <x:f>"01333000"</x:f>
        <x:v>01333000</x:v>
      </x:c>
      <x:c r="B25" s="12" t="n">
        <x:v>42</x:v>
      </x:c>
      <x:c r="C25" s="12" t="n">
        <x:v>1918</x:v>
      </x:c>
      <x:c r="D25" s="10" t="n">
        <x:v>0.6109834432644217</x:v>
      </x:c>
      <x:c r="E25" s="10" t="n">
        <x:v>0.7367103367558284</x:v>
      </x:c>
      <x:c r="F25" s="17" t="n">
        <x:v>57.575883633806626</x:v>
      </x:c>
      <x:c r="G25" s="17" t="n">
        <x:v>20.4602406409854</x:v>
      </x:c>
      <x:c r="H25" s="17" t="n">
        <x:v>-2.8424445693482787</x:v>
      </x:c>
      <x:c r="I25" s="12" t="n">
        <x:v>256</x:v>
      </x:c>
      <x:c r="J25" s="12" t="n">
        <x:v>2</x:v>
      </x:c>
      <x:c r="K25" s="19" t="n">
        <x:v>0.002713975339231919</x:v>
      </x:c>
      <x:c r="L25" s="19" t="n">
        <x:v>0</x:v>
      </x:c>
      <x:c r="M25" s="19" t="n">
        <x:v>0.0001</x:v>
      </x:c>
      <x:c r="N25" s="12" t="n">
        <x:v>8</x:v>
      </x:c>
      <x:c r="O25" s="10" t="n">
        <x:v>0.6672493815422058</x:v>
      </x:c>
      <x:c r="P25" s="22" t="n">
        <x:v>47.14596420619637</x:v>
      </x:c>
      <x:c r="Q25" s="26" t="str">
        <x:v>2009-10-01</x:v>
      </x:c>
      <x:c r="R25" s="26" t="str">
        <x:v>2014-12-31</x:v>
      </x:c>
    </x:row>
    <x:row r="26" ht="22" customHeight="1">
      <x:c r="A26" s="15" t="str">
        <x:f>"01439500"</x:f>
        <x:v>01439500</x:v>
      </x:c>
      <x:c r="B26" s="12" t="n">
        <x:v>42</x:v>
      </x:c>
      <x:c r="C26" s="12" t="n">
        <x:v>1918</x:v>
      </x:c>
      <x:c r="D26" s="10" t="n">
        <x:v>0.7445361530796802</x:v>
      </x:c>
      <x:c r="E26" s="10" t="n">
        <x:v>0.8176750843639309</x:v>
      </x:c>
      <x:c r="F26" s="17" t="n">
        <x:v>166.51077937228388</x:v>
      </x:c>
      <x:c r="G26" s="17" t="n">
        <x:v>59.04443188018769</x:v>
      </x:c>
      <x:c r="H26" s="17" t="n">
        <x:v>6.17254189270073</x:v>
      </x:c>
      <x:c r="I26" s="12" t="n">
        <x:v>256</x:v>
      </x:c>
      <x:c r="J26" s="12" t="n">
        <x:v>2</x:v>
      </x:c>
      <x:c r="K26" s="19" t="n">
        <x:v>0.002713975339231919</x:v>
      </x:c>
      <x:c r="L26" s="19" t="n">
        <x:v>0</x:v>
      </x:c>
      <x:c r="M26" s="19" t="n">
        <x:v>0.0001</x:v>
      </x:c>
      <x:c r="N26" s="12" t="n">
        <x:v>9</x:v>
      </x:c>
      <x:c r="O26" s="10" t="n">
        <x:v>0.48141202330589294</x:v>
      </x:c>
      <x:c r="P26" s="22" t="n">
        <x:v>47.160120349377394</x:v>
      </x:c>
      <x:c r="Q26" s="26" t="str">
        <x:v>2009-10-01</x:v>
      </x:c>
      <x:c r="R26" s="26" t="str">
        <x:v>2014-12-31</x:v>
      </x:c>
    </x:row>
    <x:row r="27" ht="22" customHeight="1">
      <x:c r="A27" s="15" t="str">
        <x:f>"01440000"</x:f>
        <x:v>01440000</x:v>
      </x:c>
      <x:c r="B27" s="12" t="n">
        <x:v>42</x:v>
      </x:c>
      <x:c r="C27" s="12" t="n">
        <x:v>1918</x:v>
      </x:c>
      <x:c r="D27" s="10" t="n">
        <x:v>0.4949217944129546</x:v>
      </x:c>
      <x:c r="E27" s="10" t="n">
        <x:v>0.5480281051708353</x:v>
      </x:c>
      <x:c r="F27" s="17" t="n">
        <x:v>161.6363114652254</x:v>
      </x:c>
      <x:c r="G27" s="17" t="n">
        <x:v>44.3312498246611</x:v>
      </x:c>
      <x:c r="H27" s="17" t="n">
        <x:v>-1.170512435192909</x:v>
      </x:c>
      <x:c r="I27" s="12" t="n">
        <x:v>256</x:v>
      </x:c>
      <x:c r="J27" s="12" t="n">
        <x:v>2</x:v>
      </x:c>
      <x:c r="K27" s="19" t="n">
        <x:v>0.002713975339231919</x:v>
      </x:c>
      <x:c r="L27" s="19" t="n">
        <x:v>0</x:v>
      </x:c>
      <x:c r="M27" s="19" t="n">
        <x:v>0.0001</x:v>
      </x:c>
      <x:c r="N27" s="12" t="n">
        <x:v>20</x:v>
      </x:c>
      <x:c r="O27" s="10" t="n">
        <x:v>0.7797062397003174</x:v>
      </x:c>
      <x:c r="P27" s="22" t="n">
        <x:v>47.15752093680203</x:v>
      </x:c>
      <x:c r="Q27" s="26" t="str">
        <x:v>2009-10-01</x:v>
      </x:c>
      <x:c r="R27" s="26" t="str">
        <x:v>2014-12-31</x:v>
      </x:c>
    </x:row>
    <x:row r="28" ht="22" customHeight="1">
      <x:c r="A28" s="15" t="str">
        <x:f>"01440400"</x:f>
        <x:v>01440400</x:v>
      </x:c>
      <x:c r="B28" s="12" t="n">
        <x:v>42</x:v>
      </x:c>
      <x:c r="C28" s="12" t="n">
        <x:v>1918</x:v>
      </x:c>
      <x:c r="D28" s="10" t="n">
        <x:v>0.41636717095917586</x:v>
      </x:c>
      <x:c r="E28" s="10" t="n">
        <x:v>0.6565031197079347</x:v>
      </x:c>
      <x:c r="F28" s="17" t="n">
        <x:v>164.80535606689926</x:v>
      </x:c>
      <x:c r="G28" s="17" t="n">
        <x:v>53.72790744619395</x:v>
      </x:c>
      <x:c r="H28" s="17" t="n">
        <x:v>-3.6256710979144944</x:v>
      </x:c>
      <x:c r="I28" s="12" t="n">
        <x:v>256</x:v>
      </x:c>
      <x:c r="J28" s="12" t="n">
        <x:v>2</x:v>
      </x:c>
      <x:c r="K28" s="19" t="n">
        <x:v>0.002713975339231919</x:v>
      </x:c>
      <x:c r="L28" s="19" t="n">
        <x:v>0</x:v>
      </x:c>
      <x:c r="M28" s="19" t="n">
        <x:v>0.0001</x:v>
      </x:c>
      <x:c r="N28" s="12" t="n">
        <x:v>22</x:v>
      </x:c>
      <x:c r="O28" s="10" t="n">
        <x:v>1.0227712392807007</x:v>
      </x:c>
      <x:c r="P28" s="22" t="n">
        <x:v>47.16716592106968</x:v>
      </x:c>
      <x:c r="Q28" s="26" t="str">
        <x:v>2009-10-01</x:v>
      </x:c>
      <x:c r="R28" s="26" t="str">
        <x:v>2014-12-31</x:v>
      </x:c>
    </x:row>
    <x:row r="29" ht="22" customHeight="1">
      <x:c r="A29" s="15" t="str">
        <x:f>"01451800"</x:f>
        <x:v>01451800</x:v>
      </x:c>
      <x:c r="B29" s="12" t="n">
        <x:v>42</x:v>
      </x:c>
      <x:c r="C29" s="12" t="n">
        <x:v>1918</x:v>
      </x:c>
      <x:c r="D29" s="10" t="n">
        <x:v>0.49424008355674043</x:v>
      </x:c>
      <x:c r="E29" s="10" t="n">
        <x:v>0.5992068812806772</x:v>
      </x:c>
      <x:c r="F29" s="17" t="n">
        <x:v>108.9970297431124</x:v>
      </x:c>
      <x:c r="G29" s="17" t="n">
        <x:v>40.19805934124087</x:v>
      </x:c>
      <x:c r="H29" s="17" t="n">
        <x:v>2.895021548852973</x:v>
      </x:c>
      <x:c r="I29" s="12" t="n">
        <x:v>256</x:v>
      </x:c>
      <x:c r="J29" s="12" t="n">
        <x:v>2</x:v>
      </x:c>
      <x:c r="K29" s="19" t="n">
        <x:v>0.002713975339231919</x:v>
      </x:c>
      <x:c r="L29" s="19" t="n">
        <x:v>0</x:v>
      </x:c>
      <x:c r="M29" s="19" t="n">
        <x:v>0.0001</x:v>
      </x:c>
      <x:c r="N29" s="12" t="n">
        <x:v>11</x:v>
      </x:c>
      <x:c r="O29" s="10" t="n">
        <x:v>0.7438679933547974</x:v>
      </x:c>
      <x:c r="P29" s="22" t="n">
        <x:v>47.09542103018612</x:v>
      </x:c>
      <x:c r="Q29" s="26" t="str">
        <x:v>2009-10-01</x:v>
      </x:c>
      <x:c r="R29" s="26" t="str">
        <x:v>2014-12-31</x:v>
      </x:c>
    </x:row>
    <x:row r="30" ht="22" customHeight="1">
      <x:c r="A30" s="15" t="str">
        <x:f>"01484100"</x:f>
        <x:v>01484100</x:v>
      </x:c>
      <x:c r="B30" s="12" t="n">
        <x:v>42</x:v>
      </x:c>
      <x:c r="C30" s="12" t="n">
        <x:v>1918</x:v>
      </x:c>
      <x:c r="D30" s="10" t="n">
        <x:v>0.37974909310698823</x:v>
      </x:c>
      <x:c r="E30" s="10" t="n">
        <x:v>0.45706802669855906</x:v>
      </x:c>
      <x:c r="F30" s="17" t="n">
        <x:v>5.550632190051592</x:v>
      </x:c>
      <x:c r="G30" s="17" t="n">
        <x:v>1.1908448296400416</x:v>
      </x:c>
      <x:c r="H30" s="17" t="n">
        <x:v>-0.2919231304888425</x:v>
      </x:c>
      <x:c r="I30" s="12" t="n">
        <x:v>256</x:v>
      </x:c>
      <x:c r="J30" s="12" t="n">
        <x:v>2</x:v>
      </x:c>
      <x:c r="K30" s="19" t="n">
        <x:v>0.002713975339231919</x:v>
      </x:c>
      <x:c r="L30" s="19" t="n">
        <x:v>0</x:v>
      </x:c>
      <x:c r="M30" s="19" t="n">
        <x:v>0.0001</x:v>
      </x:c>
      <x:c r="N30" s="12" t="n">
        <x:v>11</x:v>
      </x:c>
      <x:c r="O30" s="10" t="n">
        <x:v>0.33379802107810974</x:v>
      </x:c>
      <x:c r="P30" s="22" t="n">
        <x:v>47.090152497403324</x:v>
      </x:c>
      <x:c r="Q30" s="26" t="str">
        <x:v>2009-10-01</x:v>
      </x:c>
      <x:c r="R30" s="26" t="str">
        <x:v>2014-12-31</x:v>
      </x:c>
    </x:row>
    <x:row r="31" ht="22" customHeight="1">
      <x:c r="A31" s="15" t="str">
        <x:f>"01485500"</x:f>
        <x:v>01485500</x:v>
      </x:c>
      <x:c r="B31" s="12" t="n">
        <x:v>42</x:v>
      </x:c>
      <x:c r="C31" s="12" t="n">
        <x:v>1918</x:v>
      </x:c>
      <x:c r="D31" s="10" t="n">
        <x:v>0.8966356928701597</x:v>
      </x:c>
      <x:c r="E31" s="10" t="n">
        <x:v>0.8563405682609934</x:v>
      </x:c>
      <x:c r="F31" s="17" t="n">
        <x:v>34.966296676576285</x:v>
      </x:c>
      <x:c r="G31" s="17" t="n">
        <x:v>9.341945624809698</x:v>
      </x:c>
      <x:c r="H31" s="17" t="n">
        <x:v>-4.38933065349583</x:v>
      </x:c>
      <x:c r="I31" s="12" t="n">
        <x:v>256</x:v>
      </x:c>
      <x:c r="J31" s="12" t="n">
        <x:v>2</x:v>
      </x:c>
      <x:c r="K31" s="19" t="n">
        <x:v>0.002713975339231919</x:v>
      </x:c>
      <x:c r="L31" s="19" t="n">
        <x:v>0</x:v>
      </x:c>
      <x:c r="M31" s="19" t="n">
        <x:v>0.0001</x:v>
      </x:c>
      <x:c r="N31" s="12" t="n">
        <x:v>20</x:v>
      </x:c>
      <x:c r="O31" s="10" t="n">
        <x:v>0.047346796840429306</x:v>
      </x:c>
      <x:c r="P31" s="22" t="n">
        <x:v>47.116444090381265</x:v>
      </x:c>
      <x:c r="Q31" s="26" t="str">
        <x:v>2009-10-01</x:v>
      </x:c>
      <x:c r="R31" s="26" t="str">
        <x:v>2014-12-31</x:v>
      </x:c>
    </x:row>
    <x:row r="32" ht="22" customHeight="1">
      <x:c r="A32" s="15" t="str">
        <x:f>"01486000"</x:f>
        <x:v>01486000</x:v>
      </x:c>
      <x:c r="B32" s="12" t="n">
        <x:v>42</x:v>
      </x:c>
      <x:c r="C32" s="12" t="n">
        <x:v>1918</x:v>
      </x:c>
      <x:c r="D32" s="10" t="n">
        <x:v>0.5701600741920742</x:v>
      </x:c>
      <x:c r="E32" s="10" t="n">
        <x:v>0.5845508452632387</x:v>
      </x:c>
      <x:c r="F32" s="17" t="n">
        <x:v>6.459911494798357</x:v>
      </x:c>
      <x:c r="G32" s="17" t="n">
        <x:v>1.955565730354536</x:v>
      </x:c>
      <x:c r="H32" s="17" t="n">
        <x:v>0.27126174913451506</x:v>
      </x:c>
      <x:c r="I32" s="12" t="n">
        <x:v>256</x:v>
      </x:c>
      <x:c r="J32" s="12" t="n">
        <x:v>2</x:v>
      </x:c>
      <x:c r="K32" s="19" t="n">
        <x:v>0.002713975339231919</x:v>
      </x:c>
      <x:c r="L32" s="19" t="n">
        <x:v>0</x:v>
      </x:c>
      <x:c r="M32" s="19" t="n">
        <x:v>0.0001</x:v>
      </x:c>
      <x:c r="N32" s="12" t="n">
        <x:v>4</x:v>
      </x:c>
      <x:c r="O32" s="10" t="n">
        <x:v>0.6902456283569336</x:v>
      </x:c>
      <x:c r="P32" s="22" t="n">
        <x:v>46.95571266300976</x:v>
      </x:c>
      <x:c r="Q32" s="26" t="str">
        <x:v>2009-10-01</x:v>
      </x:c>
      <x:c r="R32" s="26" t="str">
        <x:v>2014-12-31</x:v>
      </x:c>
    </x:row>
    <x:row r="33" ht="22" customHeight="1">
      <x:c r="A33" s="15" t="str">
        <x:f>"01487000"</x:f>
        <x:v>01487000</x:v>
      </x:c>
      <x:c r="B33" s="12" t="n">
        <x:v>42</x:v>
      </x:c>
      <x:c r="C33" s="12" t="n">
        <x:v>1918</x:v>
      </x:c>
      <x:c r="D33" s="10" t="n">
        <x:v>0.8028989974919134</x:v>
      </x:c>
      <x:c r="E33" s="10" t="n">
        <x:v>0.8100237158151173</x:v>
      </x:c>
      <x:c r="F33" s="17" t="n">
        <x:v>47.30972665382442</x:v>
      </x:c>
      <x:c r="G33" s="17" t="n">
        <x:v>13.81630501220021</x:v>
      </x:c>
      <x:c r="H33" s="17" t="n">
        <x:v>-4.350149961105319</x:v>
      </x:c>
      <x:c r="I33" s="12" t="n">
        <x:v>256</x:v>
      </x:c>
      <x:c r="J33" s="12" t="n">
        <x:v>2</x:v>
      </x:c>
      <x:c r="K33" s="19" t="n">
        <x:v>0.002713975339231919</x:v>
      </x:c>
      <x:c r="L33" s="19" t="n">
        <x:v>0</x:v>
      </x:c>
      <x:c r="M33" s="19" t="n">
        <x:v>0.0001</x:v>
      </x:c>
      <x:c r="N33" s="12" t="n">
        <x:v>8</x:v>
      </x:c>
      <x:c r="O33" s="10" t="n">
        <x:v>0.12339679151773453</x:v>
      </x:c>
      <x:c r="P33" s="22" t="n">
        <x:v>46.83784878719598</x:v>
      </x:c>
      <x:c r="Q33" s="26" t="str">
        <x:v>2009-10-01</x:v>
      </x:c>
      <x:c r="R33" s="26" t="str">
        <x:v>2014-12-31</x:v>
      </x:c>
    </x:row>
    <x:row r="34" ht="22" customHeight="1">
      <x:c r="A34" s="15" t="str">
        <x:f>"01491000"</x:f>
        <x:v>01491000</x:v>
      </x:c>
      <x:c r="B34" s="12" t="n">
        <x:v>42</x:v>
      </x:c>
      <x:c r="C34" s="12" t="n">
        <x:v>1918</x:v>
      </x:c>
      <x:c r="D34" s="10" t="n">
        <x:v>0.61269700317923</x:v>
      </x:c>
      <x:c r="E34" s="10" t="n">
        <x:v>0.6096884526860566</x:v>
      </x:c>
      <x:c r="F34" s="17" t="n">
        <x:v>242.17900035681836</x:v>
      </x:c>
      <x:c r="G34" s="17" t="n">
        <x:v>45.79592841929406</x:v>
      </x:c>
      <x:c r="H34" s="17" t="n">
        <x:v>-19.612180490409802</x:v>
      </x:c>
      <x:c r="I34" s="12" t="n">
        <x:v>256</x:v>
      </x:c>
      <x:c r="J34" s="12" t="n">
        <x:v>2</x:v>
      </x:c>
      <x:c r="K34" s="19" t="n">
        <x:v>0.002713975339231919</x:v>
      </x:c>
      <x:c r="L34" s="19" t="n">
        <x:v>0</x:v>
      </x:c>
      <x:c r="M34" s="19" t="n">
        <x:v>0.0001</x:v>
      </x:c>
      <x:c r="N34" s="12" t="n">
        <x:v>19</x:v>
      </x:c>
      <x:c r="O34" s="10" t="n">
        <x:v>0.12506607174873352</x:v>
      </x:c>
      <x:c r="P34" s="22" t="n">
        <x:v>46.880603985860944</x:v>
      </x:c>
      <x:c r="Q34" s="26" t="str">
        <x:v>2009-10-01</x:v>
      </x:c>
      <x:c r="R34" s="26" t="str">
        <x:v>2014-12-31</x:v>
      </x:c>
    </x:row>
    <x:row r="35" ht="22" customHeight="1">
      <x:c r="A35" s="15" t="str">
        <x:f>"01510000"</x:f>
        <x:v>01510000</x:v>
      </x:c>
      <x:c r="B35" s="12" t="n">
        <x:v>42</x:v>
      </x:c>
      <x:c r="C35" s="12" t="n">
        <x:v>1918</x:v>
      </x:c>
      <x:c r="D35" s="10" t="n">
        <x:v>0.5830331252409411</x:v>
      </x:c>
      <x:c r="E35" s="10" t="n">
        <x:v>0.7246315388993942</x:v>
      </x:c>
      <x:c r="F35" s="17" t="n">
        <x:v>251.2481152642349</x:v>
      </x:c>
      <x:c r="G35" s="17" t="n">
        <x:v>94.41449006475496</x:v>
      </x:c>
      <x:c r="H35" s="17" t="n">
        <x:v>-4.133223684150153</x:v>
      </x:c>
      <x:c r="I35" s="12" t="n">
        <x:v>256</x:v>
      </x:c>
      <x:c r="J35" s="12" t="n">
        <x:v>2</x:v>
      </x:c>
      <x:c r="K35" s="19" t="n">
        <x:v>0.002713975339231919</x:v>
      </x:c>
      <x:c r="L35" s="19" t="n">
        <x:v>0</x:v>
      </x:c>
      <x:c r="M35" s="19" t="n">
        <x:v>0.0001</x:v>
      </x:c>
      <x:c r="N35" s="12" t="n">
        <x:v>21</x:v>
      </x:c>
      <x:c r="O35" s="10" t="n">
        <x:v>0.4929927587509155</x:v>
      </x:c>
      <x:c r="P35" s="22" t="n">
        <x:v>46.99459004215896</x:v>
      </x:c>
      <x:c r="Q35" s="26" t="str">
        <x:v>2009-10-01</x:v>
      </x:c>
      <x:c r="R35" s="26" t="str">
        <x:v>2014-12-31</x:v>
      </x:c>
    </x:row>
    <x:row r="36" ht="22" customHeight="1">
      <x:c r="A36" s="15" t="str">
        <x:f>"01516500"</x:f>
        <x:v>01516500</x:v>
      </x:c>
      <x:c r="B36" s="12" t="n">
        <x:v>42</x:v>
      </x:c>
      <x:c r="C36" s="12" t="n">
        <x:v>1918</x:v>
      </x:c>
      <x:c r="D36" s="10" t="n">
        <x:v>0.35935943437246454</x:v>
      </x:c>
      <x:c r="E36" s="10" t="n">
        <x:v>0.4010004557562419</x:v>
      </x:c>
      <x:c r="F36" s="17" t="n">
        <x:v>30.78964456185939</x:v>
      </x:c>
      <x:c r="G36" s="17" t="n">
        <x:v>8.28821654258045</x:v>
      </x:c>
      <x:c r="H36" s="17" t="n">
        <x:v>-1.7633514660079774</x:v>
      </x:c>
      <x:c r="I36" s="12" t="n">
        <x:v>256</x:v>
      </x:c>
      <x:c r="J36" s="12" t="n">
        <x:v>2</x:v>
      </x:c>
      <x:c r="K36" s="19" t="n">
        <x:v>0.002713975339231919</x:v>
      </x:c>
      <x:c r="L36" s="19" t="n">
        <x:v>0</x:v>
      </x:c>
      <x:c r="M36" s="19" t="n">
        <x:v>0.0001</x:v>
      </x:c>
      <x:c r="N36" s="12" t="n">
        <x:v>12</x:v>
      </x:c>
      <x:c r="O36" s="10" t="n">
        <x:v>0.6492560505867004</x:v>
      </x:c>
      <x:c r="P36" s="22" t="n">
        <x:v>46.91675222851336</x:v>
      </x:c>
      <x:c r="Q36" s="26" t="str">
        <x:v>2009-10-01</x:v>
      </x:c>
      <x:c r="R36" s="26" t="str">
        <x:v>2014-12-31</x:v>
      </x:c>
    </x:row>
    <x:row r="37" ht="22" customHeight="1">
      <x:c r="A37" s="15" t="str">
        <x:f>"01532000"</x:f>
        <x:v>01532000</x:v>
      </x:c>
      <x:c r="B37" s="12" t="n">
        <x:v>42</x:v>
      </x:c>
      <x:c r="C37" s="12" t="n">
        <x:v>1918</x:v>
      </x:c>
      <x:c r="D37" s="10" t="n">
        <x:v>0.30726331032924814</x:v>
      </x:c>
      <x:c r="E37" s="10" t="n">
        <x:v>0.38661922863441256</x:v>
      </x:c>
      <x:c r="F37" s="17" t="n">
        <x:v>690.3053670952933</x:v>
      </x:c>
      <x:c r="G37" s="17" t="n">
        <x:v>149.6674297185245</x:v>
      </x:c>
      <x:c r="H37" s="17" t="n">
        <x:v>-36.80776074031804</x:v>
      </x:c>
      <x:c r="I37" s="12" t="n">
        <x:v>256</x:v>
      </x:c>
      <x:c r="J37" s="12" t="n">
        <x:v>2</x:v>
      </x:c>
      <x:c r="K37" s="19" t="n">
        <x:v>0.002713975339231919</x:v>
      </x:c>
      <x:c r="L37" s="19" t="n">
        <x:v>0</x:v>
      </x:c>
      <x:c r="M37" s="19" t="n">
        <x:v>0.0001</x:v>
      </x:c>
      <x:c r="N37" s="12" t="n">
        <x:v>26</x:v>
      </x:c>
      <x:c r="O37" s="10" t="n">
        <x:v>0.3604092299938202</x:v>
      </x:c>
      <x:c r="P37" s="22" t="n">
        <x:v>46.89839058928192</x:v>
      </x:c>
      <x:c r="Q37" s="26" t="str">
        <x:v>2009-10-01</x:v>
      </x:c>
      <x:c r="R37" s="26" t="str">
        <x:v>2014-12-31</x:v>
      </x:c>
    </x:row>
    <x:row r="38" ht="22" customHeight="1">
      <x:c r="A38" s="15" t="str">
        <x:f>"01539000"</x:f>
        <x:v>01539000</x:v>
      </x:c>
      <x:c r="B38" s="12" t="n">
        <x:v>42</x:v>
      </x:c>
      <x:c r="C38" s="12" t="n">
        <x:v>1918</x:v>
      </x:c>
      <x:c r="D38" s="10" t="n">
        <x:v>0.4734500192278621</x:v>
      </x:c>
      <x:c r="E38" s="10" t="n">
        <x:v>0.44232505634626196</x:v>
      </x:c>
      <x:c r="F38" s="17" t="n">
        <x:v>777.6437356192027</x:v>
      </x:c>
      <x:c r="G38" s="17" t="n">
        <x:v>158.23380166094893</x:v>
      </x:c>
      <x:c r="H38" s="17" t="n">
        <x:v>-39.13987294666319</x:v>
      </x:c>
      <x:c r="I38" s="12" t="n">
        <x:v>256</x:v>
      </x:c>
      <x:c r="J38" s="12" t="n">
        <x:v>2</x:v>
      </x:c>
      <x:c r="K38" s="19" t="n">
        <x:v>0.002713975339231919</x:v>
      </x:c>
      <x:c r="L38" s="19" t="n">
        <x:v>0</x:v>
      </x:c>
      <x:c r="M38" s="19" t="n">
        <x:v>0.0001</x:v>
      </x:c>
      <x:c r="N38" s="12" t="n">
        <x:v>3</x:v>
      </x:c>
      <x:c r="O38" s="10" t="n">
        <x:v>1.3592300415039062</x:v>
      </x:c>
      <x:c r="P38" s="22" t="n">
        <x:v>46.95744400750846</x:v>
      </x:c>
      <x:c r="Q38" s="26" t="str">
        <x:v>2009-10-01</x:v>
      </x:c>
      <x:c r="R38" s="26" t="str">
        <x:v>2014-12-31</x:v>
      </x:c>
    </x:row>
    <x:row r="39" ht="22" customHeight="1">
      <x:c r="A39" s="15" t="str">
        <x:f>"01542810"</x:f>
        <x:v>01542810</x:v>
      </x:c>
      <x:c r="B39" s="12" t="n">
        <x:v>42</x:v>
      </x:c>
      <x:c r="C39" s="12" t="n">
        <x:v>1918</x:v>
      </x:c>
      <x:c r="D39" s="10" t="n">
        <x:v>0.5498497760836234</x:v>
      </x:c>
      <x:c r="E39" s="10" t="n">
        <x:v>0.6355237187623741</x:v>
      </x:c>
      <x:c r="F39" s="17" t="n">
        <x:v>10.999677530690693</x:v>
      </x:c>
      <x:c r="G39" s="17" t="n">
        <x:v>3.0706288014236187</x:v>
      </x:c>
      <x:c r="H39" s="17" t="n">
        <x:v>-0.550194550526851</x:v>
      </x:c>
      <x:c r="I39" s="12" t="n">
        <x:v>256</x:v>
      </x:c>
      <x:c r="J39" s="12" t="n">
        <x:v>2</x:v>
      </x:c>
      <x:c r="K39" s="19" t="n">
        <x:v>0.002713975339231919</x:v>
      </x:c>
      <x:c r="L39" s="19" t="n">
        <x:v>0</x:v>
      </x:c>
      <x:c r="M39" s="19" t="n">
        <x:v>0.0001</x:v>
      </x:c>
      <x:c r="N39" s="12" t="n">
        <x:v>4</x:v>
      </x:c>
      <x:c r="O39" s="10" t="n">
        <x:v>0.45268380641937256</x:v>
      </x:c>
      <x:c r="P39" s="22" t="n">
        <x:v>47.07364421337843</x:v>
      </x:c>
      <x:c r="Q39" s="26" t="str">
        <x:v>2009-10-01</x:v>
      </x:c>
      <x:c r="R39" s="26" t="str">
        <x:v>2014-12-31</x:v>
      </x:c>
    </x:row>
    <x:row r="40" ht="22" customHeight="1">
      <x:c r="A40" s="15" t="str">
        <x:f>"01543000"</x:f>
        <x:v>01543000</x:v>
      </x:c>
      <x:c r="B40" s="12" t="n">
        <x:v>42</x:v>
      </x:c>
      <x:c r="C40" s="12" t="n">
        <x:v>1918</x:v>
      </x:c>
      <x:c r="D40" s="10" t="n">
        <x:v>0.5496081481955226</x:v>
      </x:c>
      <x:c r="E40" s="10" t="n">
        <x:v>0.6370447427960834</x:v>
      </x:c>
      <x:c r="F40" s="17" t="n">
        <x:v>506.8579422583715</x:v>
      </x:c>
      <x:c r="G40" s="17" t="n">
        <x:v>145.93100101504066</x:v>
      </x:c>
      <x:c r="H40" s="17" t="n">
        <x:v>5.3777870762002085</x:v>
      </x:c>
      <x:c r="I40" s="12" t="n">
        <x:v>256</x:v>
      </x:c>
      <x:c r="J40" s="12" t="n">
        <x:v>2</x:v>
      </x:c>
      <x:c r="K40" s="19" t="n">
        <x:v>0.002713975339231919</x:v>
      </x:c>
      <x:c r="L40" s="19" t="n">
        <x:v>0</x:v>
      </x:c>
      <x:c r="M40" s="19" t="n">
        <x:v>0.0001</x:v>
      </x:c>
      <x:c r="N40" s="12" t="n">
        <x:v>25</x:v>
      </x:c>
      <x:c r="O40" s="10" t="n">
        <x:v>0.36370736360549927</x:v>
      </x:c>
      <x:c r="P40" s="22" t="n">
        <x:v>46.9687500493601</x:v>
      </x:c>
      <x:c r="Q40" s="26" t="str">
        <x:v>2009-10-01</x:v>
      </x:c>
      <x:c r="R40" s="26" t="str">
        <x:v>2014-12-31</x:v>
      </x:c>
    </x:row>
    <x:row r="41" ht="22" customHeight="1">
      <x:c r="A41" s="15" t="str">
        <x:f>"01543500"</x:f>
        <x:v>01543500</x:v>
      </x:c>
      <x:c r="B41" s="12" t="n">
        <x:v>42</x:v>
      </x:c>
      <x:c r="C41" s="12" t="n">
        <x:v>1918</x:v>
      </x:c>
      <x:c r="D41" s="10" t="n">
        <x:v>0.6470960151664444</x:v>
      </x:c>
      <x:c r="E41" s="10" t="n">
        <x:v>0.7282821218910248</x:v>
      </x:c>
      <x:c r="F41" s="17" t="n">
        <x:v>1010.9982959506615</x:v>
      </x:c>
      <x:c r="G41" s="17" t="n">
        <x:v>327.74815984767463</x:v>
      </x:c>
      <x:c r="H41" s="17" t="n">
        <x:v>-4.333247746527636</x:v>
      </x:c>
      <x:c r="I41" s="12" t="n">
        <x:v>256</x:v>
      </x:c>
      <x:c r="J41" s="12" t="n">
        <x:v>2</x:v>
      </x:c>
      <x:c r="K41" s="19" t="n">
        <x:v>0.002713975339231919</x:v>
      </x:c>
      <x:c r="L41" s="19" t="n">
        <x:v>0</x:v>
      </x:c>
      <x:c r="M41" s="19" t="n">
        <x:v>0.0001</x:v>
      </x:c>
      <x:c r="N41" s="12" t="n">
        <x:v>12</x:v>
      </x:c>
      <x:c r="O41" s="10" t="n">
        <x:v>0.39315247535705566</x:v>
      </x:c>
      <x:c r="P41" s="22" t="n">
        <x:v>47.03806132543832</x:v>
      </x:c>
      <x:c r="Q41" s="26" t="str">
        <x:v>2009-10-01</x:v>
      </x:c>
      <x:c r="R41" s="26" t="str">
        <x:v>2014-12-31</x:v>
      </x:c>
    </x:row>
    <x:row r="42" ht="22" customHeight="1">
      <x:c r="A42" s="15" t="str">
        <x:f>"01544500"</x:f>
        <x:v>01544500</x:v>
      </x:c>
      <x:c r="B42" s="12" t="n">
        <x:v>42</x:v>
      </x:c>
      <x:c r="C42" s="12" t="n">
        <x:v>1918</x:v>
      </x:c>
      <x:c r="D42" s="10" t="n">
        <x:v>0.7177803977768887</x:v>
      </x:c>
      <x:c r="E42" s="10" t="n">
        <x:v>0.7822562342046754</x:v>
      </x:c>
      <x:c r="F42" s="17" t="n">
        <x:v>194.90636675685042</x:v>
      </x:c>
      <x:c r="G42" s="17" t="n">
        <x:v>61.3547333715267</x:v>
      </x:c>
      <x:c r="H42" s="17" t="n">
        <x:v>-23.349423720848907</x:v>
      </x:c>
      <x:c r="I42" s="12" t="n">
        <x:v>256</x:v>
      </x:c>
      <x:c r="J42" s="12" t="n">
        <x:v>2</x:v>
      </x:c>
      <x:c r="K42" s="19" t="n">
        <x:v>0.002713975339231919</x:v>
      </x:c>
      <x:c r="L42" s="19" t="n">
        <x:v>0</x:v>
      </x:c>
      <x:c r="M42" s="19" t="n">
        <x:v>0.0001</x:v>
      </x:c>
      <x:c r="N42" s="12" t="n">
        <x:v>17</x:v>
      </x:c>
      <x:c r="O42" s="10" t="n">
        <x:v>0.2456774115562439</x:v>
      </x:c>
      <x:c r="P42" s="22" t="n">
        <x:v>47.10239257942885</x:v>
      </x:c>
      <x:c r="Q42" s="26" t="str">
        <x:v>2009-10-01</x:v>
      </x:c>
      <x:c r="R42" s="26" t="str">
        <x:v>2014-12-31</x:v>
      </x:c>
    </x:row>
    <x:row r="43" ht="22" customHeight="1">
      <x:c r="A43" s="15" t="str">
        <x:f>"01545600"</x:f>
        <x:v>01545600</x:v>
      </x:c>
      <x:c r="B43" s="12" t="n">
        <x:v>42</x:v>
      </x:c>
      <x:c r="C43" s="12" t="n">
        <x:v>1918</x:v>
      </x:c>
      <x:c r="D43" s="10" t="n">
        <x:v>0.7746562685167794</x:v>
      </x:c>
      <x:c r="E43" s="10" t="n">
        <x:v>0.8284556060370357</x:v>
      </x:c>
      <x:c r="F43" s="17" t="n">
        <x:v>57.2228712812231</x:v>
      </x:c>
      <x:c r="G43" s="17" t="n">
        <x:v>18.18749104939103</x:v>
      </x:c>
      <x:c r="H43" s="17" t="n">
        <x:v>-0.7355424608613139</x:v>
      </x:c>
      <x:c r="I43" s="12" t="n">
        <x:v>256</x:v>
      </x:c>
      <x:c r="J43" s="12" t="n">
        <x:v>2</x:v>
      </x:c>
      <x:c r="K43" s="19" t="n">
        <x:v>0.002713975339231919</x:v>
      </x:c>
      <x:c r="L43" s="19" t="n">
        <x:v>0</x:v>
      </x:c>
      <x:c r="M43" s="19" t="n">
        <x:v>0.0001</x:v>
      </x:c>
      <x:c r="N43" s="12" t="n">
        <x:v>12</x:v>
      </x:c>
      <x:c r="O43" s="10" t="n">
        <x:v>0.2692927122116089</x:v>
      </x:c>
      <x:c r="P43" s="22" t="n">
        <x:v>47.0069739324972</x:v>
      </x:c>
      <x:c r="Q43" s="26" t="str">
        <x:v>2009-10-01</x:v>
      </x:c>
      <x:c r="R43" s="26" t="str">
        <x:v>2014-12-31</x:v>
      </x:c>
    </x:row>
    <x:row r="44" ht="22" customHeight="1">
      <x:c r="A44" s="15" t="str">
        <x:f>"01547700"</x:f>
        <x:v>01547700</x:v>
      </x:c>
      <x:c r="B44" s="12" t="n">
        <x:v>42</x:v>
      </x:c>
      <x:c r="C44" s="12" t="n">
        <x:v>1918</x:v>
      </x:c>
      <x:c r="D44" s="10" t="n">
        <x:v>0.5721889055423119</x:v>
      </x:c>
      <x:c r="E44" s="10" t="n">
        <x:v>0.6862232922754714</x:v>
      </x:c>
      <x:c r="F44" s="17" t="n">
        <x:v>67.3660559264962</x:v>
      </x:c>
      <x:c r="G44" s="17" t="n">
        <x:v>23.91373325239833</x:v>
      </x:c>
      <x:c r="H44" s="17" t="n">
        <x:v>6.156416400990616</x:v>
      </x:c>
      <x:c r="I44" s="12" t="n">
        <x:v>256</x:v>
      </x:c>
      <x:c r="J44" s="12" t="n">
        <x:v>2</x:v>
      </x:c>
      <x:c r="K44" s="19" t="n">
        <x:v>0.002713975339231919</x:v>
      </x:c>
      <x:c r="L44" s="19" t="n">
        <x:v>0</x:v>
      </x:c>
      <x:c r="M44" s="19" t="n">
        <x:v>0.0001</x:v>
      </x:c>
      <x:c r="N44" s="12" t="n">
        <x:v>9</x:v>
      </x:c>
      <x:c r="O44" s="10" t="n">
        <x:v>1.0569316148757935</x:v>
      </x:c>
      <x:c r="P44" s="22" t="n">
        <x:v>46.88378960266709</x:v>
      </x:c>
      <x:c r="Q44" s="26" t="str">
        <x:v>2009-10-01</x:v>
      </x:c>
      <x:c r="R44" s="26" t="str">
        <x:v>2014-12-31</x:v>
      </x:c>
    </x:row>
    <x:row r="45" ht="22" customHeight="1">
      <x:c r="A45" s="15" t="str">
        <x:f>"01548500"</x:f>
        <x:v>01548500</x:v>
      </x:c>
      <x:c r="B45" s="12" t="n">
        <x:v>42</x:v>
      </x:c>
      <x:c r="C45" s="12" t="n">
        <x:v>1918</x:v>
      </x:c>
      <x:c r="D45" s="10" t="n">
        <x:v>0.6849181779934502</x:v>
      </x:c>
      <x:c r="E45" s="10" t="n">
        <x:v>0.823505464850302</x:v>
      </x:c>
      <x:c r="F45" s="17" t="n">
        <x:v>754.3546600221322</x:v>
      </x:c>
      <x:c r="G45" s="17" t="n">
        <x:v>232.21228306824818</x:v>
      </x:c>
      <x:c r="H45" s="17" t="n">
        <x:v>-10.863298036965586</x:v>
      </x:c>
      <x:c r="I45" s="12" t="n">
        <x:v>256</x:v>
      </x:c>
      <x:c r="J45" s="12" t="n">
        <x:v>2</x:v>
      </x:c>
      <x:c r="K45" s="19" t="n">
        <x:v>0.002713975339231919</x:v>
      </x:c>
      <x:c r="L45" s="19" t="n">
        <x:v>0</x:v>
      </x:c>
      <x:c r="M45" s="19" t="n">
        <x:v>0.0001</x:v>
      </x:c>
      <x:c r="N45" s="12" t="n">
        <x:v>26</x:v>
      </x:c>
      <x:c r="O45" s="10" t="n">
        <x:v>0.32850661873817444</x:v>
      </x:c>
      <x:c r="P45" s="22" t="n">
        <x:v>46.970452012494206</x:v>
      </x:c>
      <x:c r="Q45" s="26" t="str">
        <x:v>2009-10-01</x:v>
      </x:c>
      <x:c r="R45" s="26" t="str">
        <x:v>2014-12-31</x:v>
      </x:c>
    </x:row>
    <x:row r="46" ht="22" customHeight="1">
      <x:c r="A46" s="15" t="str">
        <x:f>"01549500"</x:f>
        <x:v>01549500</x:v>
      </x:c>
      <x:c r="B46" s="12" t="n">
        <x:v>42</x:v>
      </x:c>
      <x:c r="C46" s="12" t="n">
        <x:v>1918</x:v>
      </x:c>
      <x:c r="D46" s="10" t="n">
        <x:v>0.5100181701172106</x:v>
      </x:c>
      <x:c r="E46" s="10" t="n">
        <x:v>0.5895336254372752</x:v>
      </x:c>
      <x:c r="F46" s="17" t="n">
        <x:v>81.89701742141725</x:v>
      </x:c>
      <x:c r="G46" s="17" t="n">
        <x:v>25.31904258317883</x:v>
      </x:c>
      <x:c r="H46" s="17" t="n">
        <x:v>1.1040725935677789</x:v>
      </x:c>
      <x:c r="I46" s="12" t="n">
        <x:v>256</x:v>
      </x:c>
      <x:c r="J46" s="12" t="n">
        <x:v>2</x:v>
      </x:c>
      <x:c r="K46" s="19" t="n">
        <x:v>0.002713975339231919</x:v>
      </x:c>
      <x:c r="L46" s="19" t="n">
        <x:v>0</x:v>
      </x:c>
      <x:c r="M46" s="19" t="n">
        <x:v>0.0001</x:v>
      </x:c>
      <x:c r="N46" s="12" t="n">
        <x:v>10</x:v>
      </x:c>
      <x:c r="O46" s="10" t="n">
        <x:v>0.452516108751297</x:v>
      </x:c>
      <x:c r="P46" s="22" t="n">
        <x:v>47.18325469549745</x:v>
      </x:c>
      <x:c r="Q46" s="26" t="str">
        <x:v>2009-10-01</x:v>
      </x:c>
      <x:c r="R46" s="26" t="str">
        <x:v>2014-12-31</x:v>
      </x:c>
    </x:row>
    <x:row r="47" ht="22" customHeight="1">
      <x:c r="A47" s="15" t="str">
        <x:f>"01550000"</x:f>
        <x:v>01550000</x:v>
      </x:c>
      <x:c r="B47" s="12" t="n">
        <x:v>42</x:v>
      </x:c>
      <x:c r="C47" s="12" t="n">
        <x:v>1918</x:v>
      </x:c>
      <x:c r="D47" s="10" t="n">
        <x:v>0.44193651118008737</x:v>
      </x:c>
      <x:c r="E47" s="10" t="n">
        <x:v>0.5296167910146669</x:v>
      </x:c>
      <x:c r="F47" s="17" t="n">
        <x:v>440.5878022493649</x:v>
      </x:c>
      <x:c r="G47" s="17" t="n">
        <x:v>126.71691342481752</x:v>
      </x:c>
      <x:c r="H47" s="17" t="n">
        <x:v>-7.238305421689258</x:v>
      </x:c>
      <x:c r="I47" s="12" t="n">
        <x:v>256</x:v>
      </x:c>
      <x:c r="J47" s="12" t="n">
        <x:v>2</x:v>
      </x:c>
      <x:c r="K47" s="19" t="n">
        <x:v>0.002713975339231919</x:v>
      </x:c>
      <x:c r="L47" s="19" t="n">
        <x:v>0</x:v>
      </x:c>
      <x:c r="M47" s="19" t="n">
        <x:v>0.0001</x:v>
      </x:c>
      <x:c r="N47" s="12" t="n">
        <x:v>16</x:v>
      </x:c>
      <x:c r="O47" s="10" t="n">
        <x:v>0.43211284279823303</x:v>
      </x:c>
      <x:c r="P47" s="22" t="n">
        <x:v>47.196280476637185</x:v>
      </x:c>
      <x:c r="Q47" s="26" t="str">
        <x:v>2009-10-01</x:v>
      </x:c>
      <x:c r="R47" s="26" t="str">
        <x:v>2014-12-31</x:v>
      </x:c>
    </x:row>
    <x:row r="48" ht="22" customHeight="1">
      <x:c r="A48" s="15" t="str">
        <x:f>"01552000"</x:f>
        <x:v>01552000</x:v>
      </x:c>
      <x:c r="B48" s="12" t="n">
        <x:v>42</x:v>
      </x:c>
      <x:c r="C48" s="12" t="n">
        <x:v>1918</x:v>
      </x:c>
      <x:c r="D48" s="10" t="n">
        <x:v>0.4581079348280027</x:v>
      </x:c>
      <x:c r="E48" s="10" t="n">
        <x:v>0.4500585635939578</x:v>
      </x:c>
      <x:c r="F48" s="17" t="n">
        <x:v>1369.0921447842595</x:v>
      </x:c>
      <x:c r="G48" s="17" t="n">
        <x:v>308.58416323618354</x:v>
      </x:c>
      <x:c r="H48" s="17" t="n">
        <x:v>-65.52478624661104</x:v>
      </x:c>
      <x:c r="I48" s="12" t="n">
        <x:v>256</x:v>
      </x:c>
      <x:c r="J48" s="12" t="n">
        <x:v>2</x:v>
      </x:c>
      <x:c r="K48" s="19" t="n">
        <x:v>0.002713975339231919</x:v>
      </x:c>
      <x:c r="L48" s="19" t="n">
        <x:v>0</x:v>
      </x:c>
      <x:c r="M48" s="19" t="n">
        <x:v>0.0001</x:v>
      </x:c>
      <x:c r="N48" s="12" t="n">
        <x:v>26</x:v>
      </x:c>
      <x:c r="O48" s="10" t="n">
        <x:v>0.47230467200279236</x:v>
      </x:c>
      <x:c r="P48" s="22" t="n">
        <x:v>47.23049340117723</x:v>
      </x:c>
      <x:c r="Q48" s="26" t="str">
        <x:v>2009-10-01</x:v>
      </x:c>
      <x:c r="R48" s="26" t="str">
        <x:v>2014-12-31</x:v>
      </x:c>
    </x:row>
    <x:row r="49" ht="22" customHeight="1">
      <x:c r="A49" s="15" t="str">
        <x:f>"01552500"</x:f>
        <x:v>01552500</x:v>
      </x:c>
      <x:c r="B49" s="12" t="n">
        <x:v>42</x:v>
      </x:c>
      <x:c r="C49" s="12" t="n">
        <x:v>1918</x:v>
      </x:c>
      <x:c r="D49" s="10" t="n">
        <x:v>0.33479654881028253</x:v>
      </x:c>
      <x:c r="E49" s="10" t="n">
        <x:v>0.43811981432656877</x:v>
      </x:c>
      <x:c r="F49" s="17" t="n">
        <x:v>77.79660877330454</x:v>
      </x:c>
      <x:c r="G49" s="17" t="n">
        <x:v>21.84131597874609</x:v>
      </x:c>
      <x:c r="H49" s="17" t="n">
        <x:v>0.04221123355839393</x:v>
      </x:c>
      <x:c r="I49" s="12" t="n">
        <x:v>256</x:v>
      </x:c>
      <x:c r="J49" s="12" t="n">
        <x:v>2</x:v>
      </x:c>
      <x:c r="K49" s="19" t="n">
        <x:v>0.002713975339231919</x:v>
      </x:c>
      <x:c r="L49" s="19" t="n">
        <x:v>0</x:v>
      </x:c>
      <x:c r="M49" s="19" t="n">
        <x:v>0.0001</x:v>
      </x:c>
      <x:c r="N49" s="12" t="n">
        <x:v>10</x:v>
      </x:c>
      <x:c r="O49" s="10" t="n">
        <x:v>0.7226176261901855</x:v>
      </x:c>
      <x:c r="P49" s="22" t="n">
        <x:v>47.24051751475781</x:v>
      </x:c>
      <x:c r="Q49" s="26" t="str">
        <x:v>2009-10-01</x:v>
      </x:c>
      <x:c r="R49" s="26" t="str">
        <x:v>2014-12-31</x:v>
      </x:c>
    </x:row>
    <x:row r="50" ht="22" customHeight="1">
      <x:c r="A50" s="15" t="str">
        <x:f>"01557500"</x:f>
        <x:v>01557500</x:v>
      </x:c>
      <x:c r="B50" s="12" t="n">
        <x:v>42</x:v>
      </x:c>
      <x:c r="C50" s="12" t="n">
        <x:v>1918</x:v>
      </x:c>
      <x:c r="D50" s="10" t="n">
        <x:v>0.6245616374397902</x:v>
      </x:c>
      <x:c r="E50" s="10" t="n">
        <x:v>0.7254740653501801</x:v>
      </x:c>
      <x:c r="F50" s="17" t="n">
        <x:v>67.40602155044147</x:v>
      </x:c>
      <x:c r="G50" s="17" t="n">
        <x:v>25.245565189236185</x:v>
      </x:c>
      <x:c r="H50" s="17" t="n">
        <x:v>-6.3241006749504685</x:v>
      </x:c>
      <x:c r="I50" s="12" t="n">
        <x:v>256</x:v>
      </x:c>
      <x:c r="J50" s="12" t="n">
        <x:v>2</x:v>
      </x:c>
      <x:c r="K50" s="19" t="n">
        <x:v>0.002713975339231919</x:v>
      </x:c>
      <x:c r="L50" s="19" t="n">
        <x:v>0</x:v>
      </x:c>
      <x:c r="M50" s="19" t="n">
        <x:v>0.0001</x:v>
      </x:c>
      <x:c r="N50" s="12" t="n">
        <x:v>26</x:v>
      </x:c>
      <x:c r="O50" s="10" t="n">
        <x:v>0.45012062788009644</x:v>
      </x:c>
      <x:c r="P50" s="22" t="n">
        <x:v>47.26991149690002</x:v>
      </x:c>
      <x:c r="Q50" s="26" t="str">
        <x:v>2009-10-01</x:v>
      </x:c>
      <x:c r="R50" s="26" t="str">
        <x:v>2014-12-31</x:v>
      </x:c>
    </x:row>
    <x:row r="51" ht="22" customHeight="1">
      <x:c r="A51" s="15" t="str">
        <x:f>"01567500"</x:f>
        <x:v>01567500</x:v>
      </x:c>
      <x:c r="B51" s="12" t="n">
        <x:v>42</x:v>
      </x:c>
      <x:c r="C51" s="12" t="n">
        <x:v>1918</x:v>
      </x:c>
      <x:c r="D51" s="10" t="n">
        <x:v>0.2940928796408717</x:v>
      </x:c>
      <x:c r="E51" s="10" t="n">
        <x:v>0.2895419029890096</x:v>
      </x:c>
      <x:c r="F51" s="17" t="n">
        <x:v>41.44860670162851</x:v>
      </x:c>
      <x:c r="G51" s="17" t="n">
        <x:v>9.067142760573514</x:v>
      </x:c>
      <x:c r="H51" s="17" t="n">
        <x:v>-2.9431880245985402</x:v>
      </x:c>
      <x:c r="I51" s="12" t="n">
        <x:v>256</x:v>
      </x:c>
      <x:c r="J51" s="12" t="n">
        <x:v>2</x:v>
      </x:c>
      <x:c r="K51" s="19" t="n">
        <x:v>0.002713975339231919</x:v>
      </x:c>
      <x:c r="L51" s="19" t="n">
        <x:v>0</x:v>
      </x:c>
      <x:c r="M51" s="19" t="n">
        <x:v>0.0001</x:v>
      </x:c>
      <x:c r="N51" s="12" t="n">
        <x:v>3</x:v>
      </x:c>
      <x:c r="O51" s="10" t="n">
        <x:v>0.6169831156730652</x:v>
      </x:c>
      <x:c r="P51" s="22" t="n">
        <x:v>47.29554857779294</x:v>
      </x:c>
      <x:c r="Q51" s="26" t="str">
        <x:v>2009-10-01</x:v>
      </x:c>
      <x:c r="R51" s="26" t="str">
        <x:v>2014-12-31</x:v>
      </x:c>
    </x:row>
    <x:row r="52" ht="22" customHeight="1">
      <x:c r="A52" s="15" t="str">
        <x:f>"01568000"</x:f>
        <x:v>01568000</x:v>
      </x:c>
      <x:c r="B52" s="12" t="n">
        <x:v>42</x:v>
      </x:c>
      <x:c r="C52" s="12" t="n">
        <x:v>1918</x:v>
      </x:c>
      <x:c r="D52" s="10" t="n">
        <x:v>0.4118024678578427</x:v>
      </x:c>
      <x:c r="E52" s="10" t="n">
        <x:v>0.41915360970234183</x:v>
      </x:c>
      <x:c r="F52" s="17" t="n">
        <x:v>515.4520932790304</x:v>
      </x:c>
      <x:c r="G52" s="17" t="n">
        <x:v>161.51123088602714</x:v>
      </x:c>
      <x:c r="H52" s="17" t="n">
        <x:v>-1.7883991811261783</x:v>
      </x:c>
      <x:c r="I52" s="12" t="n">
        <x:v>256</x:v>
      </x:c>
      <x:c r="J52" s="12" t="n">
        <x:v>2</x:v>
      </x:c>
      <x:c r="K52" s="19" t="n">
        <x:v>0.002713975339231919</x:v>
      </x:c>
      <x:c r="L52" s="19" t="n">
        <x:v>0</x:v>
      </x:c>
      <x:c r="M52" s="19" t="n">
        <x:v>0.0001</x:v>
      </x:c>
      <x:c r="N52" s="12" t="n">
        <x:v>8</x:v>
      </x:c>
      <x:c r="O52" s="10" t="n">
        <x:v>0.7836742401123047</x:v>
      </x:c>
      <x:c r="P52" s="22" t="n">
        <x:v>47.33042044751346</x:v>
      </x:c>
      <x:c r="Q52" s="26" t="str">
        <x:v>2009-10-01</x:v>
      </x:c>
      <x:c r="R52" s="26" t="str">
        <x:v>2014-12-31</x:v>
      </x:c>
    </x:row>
    <x:row r="53" ht="22" customHeight="1">
      <x:c r="A53" s="15" t="str">
        <x:f>"01580000"</x:f>
        <x:v>01580000</x:v>
      </x:c>
      <x:c r="B53" s="12" t="n">
        <x:v>42</x:v>
      </x:c>
      <x:c r="C53" s="12" t="n">
        <x:v>1918</x:v>
      </x:c>
      <x:c r="D53" s="10" t="n">
        <x:v>0.2510004822658538</x:v>
      </x:c>
      <x:c r="E53" s="10" t="n">
        <x:v>0.25247434131619506</x:v>
      </x:c>
      <x:c r="F53" s="17" t="n">
        <x:v>160.33150158603937</x:v>
      </x:c>
      <x:c r="G53" s="17" t="n">
        <x:v>42.31597519551616</x:v>
      </x:c>
      <x:c r="H53" s="17" t="n">
        <x:v>-12.999082418665278</x:v>
      </x:c>
      <x:c r="I53" s="12" t="n">
        <x:v>256</x:v>
      </x:c>
      <x:c r="J53" s="12" t="n">
        <x:v>2</x:v>
      </x:c>
      <x:c r="K53" s="19" t="n">
        <x:v>0.002713975339231919</x:v>
      </x:c>
      <x:c r="L53" s="19" t="n">
        <x:v>0</x:v>
      </x:c>
      <x:c r="M53" s="19" t="n">
        <x:v>0.0001</x:v>
      </x:c>
      <x:c r="N53" s="12" t="n">
        <x:v>4</x:v>
      </x:c>
      <x:c r="O53" s="10" t="n">
        <x:v>0.7629342079162598</x:v>
      </x:c>
      <x:c r="P53" s="22" t="n">
        <x:v>47.427619501017034</x:v>
      </x:c>
      <x:c r="Q53" s="26" t="str">
        <x:v>2009-10-01</x:v>
      </x:c>
      <x:c r="R53" s="26" t="str">
        <x:v>2014-12-31</x:v>
      </x:c>
    </x:row>
    <x:row r="54" ht="22" customHeight="1">
      <x:c r="A54" s="15" t="str">
        <x:f>"01583500"</x:f>
        <x:v>01583500</x:v>
      </x:c>
      <x:c r="B54" s="12" t="n">
        <x:v>42</x:v>
      </x:c>
      <x:c r="C54" s="12" t="n">
        <x:v>1918</x:v>
      </x:c>
      <x:c r="D54" s="10" t="n">
        <x:v>0.13312144988950336</x:v>
      </x:c>
      <x:c r="E54" s="10" t="n">
        <x:v>0.04372301324622874</x:v>
      </x:c>
      <x:c r="F54" s="17" t="n">
        <x:v>124.95552307294967</x:v>
      </x:c>
      <x:c r="G54" s="17" t="n">
        <x:v>23.77636685818561</x:v>
      </x:c>
      <x:c r="H54" s="17" t="n">
        <x:v>-12.201831069864442</x:v>
      </x:c>
      <x:c r="I54" s="12" t="n">
        <x:v>256</x:v>
      </x:c>
      <x:c r="J54" s="12" t="n">
        <x:v>2</x:v>
      </x:c>
      <x:c r="K54" s="19" t="n">
        <x:v>0.002713975339231919</x:v>
      </x:c>
      <x:c r="L54" s="19" t="n">
        <x:v>0</x:v>
      </x:c>
      <x:c r="M54" s="19" t="n">
        <x:v>0.0001</x:v>
      </x:c>
      <x:c r="N54" s="12" t="n">
        <x:v>2</x:v>
      </x:c>
      <x:c r="O54" s="10" t="n">
        <x:v>0.699770450592041</x:v>
      </x:c>
      <x:c r="P54" s="22" t="n">
        <x:v>47.37650485429913</x:v>
      </x:c>
      <x:c r="Q54" s="26" t="str">
        <x:v>2009-10-01</x:v>
      </x:c>
      <x:c r="R54" s="26" t="str">
        <x:v>2014-12-31</x:v>
      </x:c>
    </x:row>
    <x:row r="55" ht="22" customHeight="1">
      <x:c r="A55" s="15" t="str">
        <x:f>"01591400"</x:f>
        <x:v>01591400</x:v>
      </x:c>
      <x:c r="B55" s="12" t="n">
        <x:v>42</x:v>
      </x:c>
      <x:c r="C55" s="12" t="n">
        <x:v>1918</x:v>
      </x:c>
      <x:c r="D55" s="10" t="n">
        <x:v>0.16300717824681055</x:v>
      </x:c>
      <x:c r="E55" s="10" t="n">
        <x:v>0.12291933396590538</x:v>
      </x:c>
      <x:c r="F55" s="17" t="n">
        <x:v>44.44290702576979</x:v>
      </x:c>
      <x:c r="G55" s="17" t="n">
        <x:v>12.449637659645465</x:v>
      </x:c>
      <x:c r="H55" s="17" t="n">
        <x:v>0.228492625755996</x:v>
      </x:c>
      <x:c r="I55" s="12" t="n">
        <x:v>256</x:v>
      </x:c>
      <x:c r="J55" s="12" t="n">
        <x:v>2</x:v>
      </x:c>
      <x:c r="K55" s="19" t="n">
        <x:v>0.002713975339231919</x:v>
      </x:c>
      <x:c r="L55" s="19" t="n">
        <x:v>0</x:v>
      </x:c>
      <x:c r="M55" s="19" t="n">
        <x:v>0.0001</x:v>
      </x:c>
      <x:c r="N55" s="12" t="n">
        <x:v>4</x:v>
      </x:c>
      <x:c r="O55" s="10" t="n">
        <x:v>0.5885918140411377</x:v>
      </x:c>
      <x:c r="P55" s="22" t="n">
        <x:v>47.41595824249089</x:v>
      </x:c>
      <x:c r="Q55" s="26" t="str">
        <x:v>2009-10-01</x:v>
      </x:c>
      <x:c r="R55" s="26" t="str">
        <x:v>2014-12-31</x:v>
      </x:c>
    </x:row>
    <x:row r="56" ht="22" customHeight="1">
      <x:c r="A56" s="15" t="str">
        <x:f>"01596500"</x:f>
        <x:v>01596500</x:v>
      </x:c>
      <x:c r="B56" s="12" t="n">
        <x:v>42</x:v>
      </x:c>
      <x:c r="C56" s="12" t="n">
        <x:v>1918</x:v>
      </x:c>
      <x:c r="D56" s="10" t="n">
        <x:v>0.6638352049533536</x:v>
      </x:c>
      <x:c r="E56" s="10" t="n">
        <x:v>0.6772047574518884</x:v>
      </x:c>
      <x:c r="F56" s="17" t="n">
        <x:v>89.14984034907125</x:v>
      </x:c>
      <x:c r="G56" s="17" t="n">
        <x:v>26.770505840881125</x:v>
      </x:c>
      <x:c r="H56" s="17" t="n">
        <x:v>-4.459120446616267</x:v>
      </x:c>
      <x:c r="I56" s="12" t="n">
        <x:v>256</x:v>
      </x:c>
      <x:c r="J56" s="12" t="n">
        <x:v>2</x:v>
      </x:c>
      <x:c r="K56" s="19" t="n">
        <x:v>0.002713975339231919</x:v>
      </x:c>
      <x:c r="L56" s="19" t="n">
        <x:v>0</x:v>
      </x:c>
      <x:c r="M56" s="19" t="n">
        <x:v>0.0001</x:v>
      </x:c>
      <x:c r="N56" s="12" t="n">
        <x:v>8</x:v>
      </x:c>
      <x:c r="O56" s="10" t="n">
        <x:v>0.26510804891586304</x:v>
      </x:c>
      <x:c r="P56" s="22" t="n">
        <x:v>47.44007424172014</x:v>
      </x:c>
      <x:c r="Q56" s="26" t="str">
        <x:v>2009-10-01</x:v>
      </x:c>
      <x:c r="R56" s="26" t="str">
        <x:v>2014-12-31</x:v>
      </x:c>
    </x:row>
    <x:row r="57" ht="22" customHeight="1">
      <x:c r="A57" s="15" t="str">
        <x:f>"01613050"</x:f>
        <x:v>01613050</x:v>
      </x:c>
      <x:c r="B57" s="12" t="n">
        <x:v>42</x:v>
      </x:c>
      <x:c r="C57" s="12" t="n">
        <x:v>1918</x:v>
      </x:c>
      <x:c r="D57" s="10" t="n">
        <x:v>0.5716512850463427</x:v>
      </x:c>
      <x:c r="E57" s="10" t="n">
        <x:v>0.7028905283499391</x:v>
      </x:c>
      <x:c r="F57" s="17" t="n">
        <x:v>16.75080837963229</x:v>
      </x:c>
      <x:c r="G57" s="17" t="n">
        <x:v>5.49312976679025</x:v>
      </x:c>
      <x:c r="H57" s="17" t="n">
        <x:v>-0.6319939665681441</x:v>
      </x:c>
      <x:c r="I57" s="12" t="n">
        <x:v>256</x:v>
      </x:c>
      <x:c r="J57" s="12" t="n">
        <x:v>2</x:v>
      </x:c>
      <x:c r="K57" s="19" t="n">
        <x:v>0.002713975339231919</x:v>
      </x:c>
      <x:c r="L57" s="19" t="n">
        <x:v>0</x:v>
      </x:c>
      <x:c r="M57" s="19" t="n">
        <x:v>0.0001</x:v>
      </x:c>
      <x:c r="N57" s="12" t="n">
        <x:v>18</x:v>
      </x:c>
      <x:c r="O57" s="10" t="n">
        <x:v>0.6039289236068726</x:v>
      </x:c>
      <x:c r="P57" s="22" t="n">
        <x:v>47.4263207744807</x:v>
      </x:c>
      <x:c r="Q57" s="26" t="str">
        <x:v>2009-10-01</x:v>
      </x:c>
      <x:c r="R57" s="26" t="str">
        <x:v>2014-12-31</x:v>
      </x:c>
    </x:row>
    <x:row r="58" ht="22" customHeight="1">
      <x:c r="A58" s="15" t="str">
        <x:f>"01620500"</x:f>
        <x:v>01620500</x:v>
      </x:c>
      <x:c r="B58" s="12" t="n">
        <x:v>42</x:v>
      </x:c>
      <x:c r="C58" s="12" t="n">
        <x:v>1918</x:v>
      </x:c>
      <x:c r="D58" s="10" t="n">
        <x:v>0.47199100175486075</x:v>
      </x:c>
      <x:c r="E58" s="10" t="n">
        <x:v>0.5825890833869762</x:v>
      </x:c>
      <x:c r="F58" s="17" t="n">
        <x:v>43.96261052355452</x:v>
      </x:c>
      <x:c r="G58" s="17" t="n">
        <x:v>12.87207591667831</x:v>
      </x:c>
      <x:c r="H58" s="17" t="n">
        <x:v>-1.3455150473561</x:v>
      </x:c>
      <x:c r="I58" s="12" t="n">
        <x:v>256</x:v>
      </x:c>
      <x:c r="J58" s="12" t="n">
        <x:v>2</x:v>
      </x:c>
      <x:c r="K58" s="19" t="n">
        <x:v>0.002713975339231919</x:v>
      </x:c>
      <x:c r="L58" s="19" t="n">
        <x:v>0</x:v>
      </x:c>
      <x:c r="M58" s="19" t="n">
        <x:v>0.0001</x:v>
      </x:c>
      <x:c r="N58" s="12" t="n">
        <x:v>4</x:v>
      </x:c>
      <x:c r="O58" s="10" t="n">
        <x:v>0.14034028351306915</x:v>
      </x:c>
      <x:c r="P58" s="22" t="n">
        <x:v>47.40877965372056</x:v>
      </x:c>
      <x:c r="Q58" s="26" t="str">
        <x:v>2009-10-01</x:v>
      </x:c>
      <x:c r="R58" s="26" t="str">
        <x:v>2014-12-31</x:v>
      </x:c>
    </x:row>
    <x:row r="59" ht="22" customHeight="1">
      <x:c r="A59" s="15" t="str">
        <x:f>"01634500"</x:f>
        <x:v>01634500</x:v>
      </x:c>
      <x:c r="B59" s="12" t="n">
        <x:v>42</x:v>
      </x:c>
      <x:c r="C59" s="12" t="n">
        <x:v>1918</x:v>
      </x:c>
      <x:c r="D59" s="10" t="n">
        <x:v>0.42684289032508027</x:v>
      </x:c>
      <x:c r="E59" s="10" t="n">
        <x:v>0.417533561742246</x:v>
      </x:c>
      <x:c r="F59" s="17" t="n">
        <x:v>191.23733502558287</x:v>
      </x:c>
      <x:c r="G59" s="17" t="n">
        <x:v>42.68243992832639</x:v>
      </x:c>
      <x:c r="H59" s="17" t="n">
        <x:v>-13.189992445948905</x:v>
      </x:c>
      <x:c r="I59" s="12" t="n">
        <x:v>256</x:v>
      </x:c>
      <x:c r="J59" s="12" t="n">
        <x:v>2</x:v>
      </x:c>
      <x:c r="K59" s="19" t="n">
        <x:v>0.002713975339231919</x:v>
      </x:c>
      <x:c r="L59" s="19" t="n">
        <x:v>0</x:v>
      </x:c>
      <x:c r="M59" s="19" t="n">
        <x:v>0.0001</x:v>
      </x:c>
      <x:c r="N59" s="12" t="n">
        <x:v>3</x:v>
      </x:c>
      <x:c r="O59" s="10" t="n">
        <x:v>0.18478839099407196</x:v>
      </x:c>
      <x:c r="P59" s="22" t="n">
        <x:v>47.288848388940096</x:v>
      </x:c>
      <x:c r="Q59" s="26" t="str">
        <x:v>2009-10-01</x:v>
      </x:c>
      <x:c r="R59" s="26" t="str">
        <x:v>2014-12-31</x:v>
      </x:c>
    </x:row>
    <x:row r="60" ht="22" customHeight="1">
      <x:c r="A60" s="15" t="str">
        <x:f>"01638480"</x:f>
        <x:v>01638480</x:v>
      </x:c>
      <x:c r="B60" s="12" t="n">
        <x:v>42</x:v>
      </x:c>
      <x:c r="C60" s="12" t="n">
        <x:v>1918</x:v>
      </x:c>
      <x:c r="D60" s="10" t="n">
        <x:v>0.3482701845016616</x:v>
      </x:c>
      <x:c r="E60" s="10" t="n">
        <x:v>0.3284748506332381</x:v>
      </x:c>
      <x:c r="F60" s="17" t="n">
        <x:v>224.22509460033447</x:v>
      </x:c>
      <x:c r="G60" s="17" t="n">
        <x:v>53.16169187245568</x:v>
      </x:c>
      <x:c r="H60" s="17" t="n">
        <x:v>-9.251169851892596</x:v>
      </x:c>
      <x:c r="I60" s="12" t="n">
        <x:v>256</x:v>
      </x:c>
      <x:c r="J60" s="12" t="n">
        <x:v>2</x:v>
      </x:c>
      <x:c r="K60" s="19" t="n">
        <x:v>0.002713975339231919</x:v>
      </x:c>
      <x:c r="L60" s="19" t="n">
        <x:v>0</x:v>
      </x:c>
      <x:c r="M60" s="19" t="n">
        <x:v>0.0001</x:v>
      </x:c>
      <x:c r="N60" s="12" t="n">
        <x:v>10</x:v>
      </x:c>
      <x:c r="O60" s="10" t="n">
        <x:v>0.8005942702293396</x:v>
      </x:c>
      <x:c r="P60" s="22" t="n">
        <x:v>46.71378864720464</x:v>
      </x:c>
      <x:c r="Q60" s="26" t="str">
        <x:v>2009-10-01</x:v>
      </x:c>
      <x:c r="R60" s="26" t="str">
        <x:v>2014-12-31</x:v>
      </x:c>
    </x:row>
    <x:row r="61" ht="22" customHeight="1">
      <x:c r="A61" s="15" t="str">
        <x:f>"01639500"</x:f>
        <x:v>01639500</x:v>
      </x:c>
      <x:c r="B61" s="12" t="n">
        <x:v>42</x:v>
      </x:c>
      <x:c r="C61" s="12" t="n">
        <x:v>1918</x:v>
      </x:c>
      <x:c r="D61" s="10" t="n">
        <x:v>0.25536603319234896</x:v>
      </x:c>
      <x:c r="E61" s="10" t="n">
        <x:v>0.24183759622804224</x:v>
      </x:c>
      <x:c r="F61" s="17" t="n">
        <x:v>197.63104761074018</x:v>
      </x:c>
      <x:c r="G61" s="17" t="n">
        <x:v>54.734550077685086</x:v>
      </x:c>
      <x:c r="H61" s="17" t="n">
        <x:v>-8.166545357142859</x:v>
      </x:c>
      <x:c r="I61" s="12" t="n">
        <x:v>256</x:v>
      </x:c>
      <x:c r="J61" s="12" t="n">
        <x:v>2</x:v>
      </x:c>
      <x:c r="K61" s="19" t="n">
        <x:v>0.002713975339231919</x:v>
      </x:c>
      <x:c r="L61" s="19" t="n">
        <x:v>0</x:v>
      </x:c>
      <x:c r="M61" s="19" t="n">
        <x:v>0.0001</x:v>
      </x:c>
      <x:c r="N61" s="12" t="n">
        <x:v>7</x:v>
      </x:c>
      <x:c r="O61" s="10" t="n">
        <x:v>0.5797982215881348</x:v>
      </x:c>
      <x:c r="P61" s="22" t="n">
        <x:v>46.787535295821726</x:v>
      </x:c>
      <x:c r="Q61" s="26" t="str">
        <x:v>2009-10-01</x:v>
      </x:c>
      <x:c r="R61" s="26" t="str">
        <x:v>2014-12-31</x:v>
      </x:c>
    </x:row>
    <x:row r="62" ht="22" customHeight="1">
      <x:c r="A62" s="15" t="str">
        <x:f>"01644000"</x:f>
        <x:v>01644000</x:v>
      </x:c>
      <x:c r="B62" s="12" t="n">
        <x:v>42</x:v>
      </x:c>
      <x:c r="C62" s="12" t="n">
        <x:v>1918</x:v>
      </x:c>
      <x:c r="D62" s="10" t="n">
        <x:v>0.37339436082191546</x:v>
      </x:c>
      <x:c r="E62" s="10" t="n">
        <x:v>0.430759043144448</x:v>
      </x:c>
      <x:c r="F62" s="17" t="n">
        <x:v>554.4453865172136</x:v>
      </x:c>
      <x:c r="G62" s="17" t="n">
        <x:v>146.64733345434828</x:v>
      </x:c>
      <x:c r="H62" s="17" t="n">
        <x:v>-7.332263985943694</x:v>
      </x:c>
      <x:c r="I62" s="12" t="n">
        <x:v>256</x:v>
      </x:c>
      <x:c r="J62" s="12" t="n">
        <x:v>2</x:v>
      </x:c>
      <x:c r="K62" s="19" t="n">
        <x:v>0.002713975339231919</x:v>
      </x:c>
      <x:c r="L62" s="19" t="n">
        <x:v>0</x:v>
      </x:c>
      <x:c r="M62" s="19" t="n">
        <x:v>0.0001</x:v>
      </x:c>
      <x:c r="N62" s="12" t="n">
        <x:v>5</x:v>
      </x:c>
      <x:c r="O62" s="10" t="n">
        <x:v>0.47487497329711914</x:v>
      </x:c>
      <x:c r="P62" s="22" t="n">
        <x:v>46.81088468898088</x:v>
      </x:c>
      <x:c r="Q62" s="26" t="str">
        <x:v>2009-10-01</x:v>
      </x:c>
      <x:c r="R62" s="26" t="str">
        <x:v>2014-12-31</x:v>
      </x:c>
    </x:row>
    <x:row r="63" ht="22" customHeight="1">
      <x:c r="A63" s="15" t="str">
        <x:f>"01658500"</x:f>
        <x:v>01658500</x:v>
      </x:c>
      <x:c r="B63" s="12" t="n">
        <x:v>42</x:v>
      </x:c>
      <x:c r="C63" s="12" t="n">
        <x:v>1918</x:v>
      </x:c>
      <x:c r="D63" s="10" t="n">
        <x:v>0.144530854243886</x:v>
      </x:c>
      <x:c r="E63" s="10" t="n">
        <x:v>0.2336430692914745</x:v>
      </x:c>
      <x:c r="F63" s="17" t="n">
        <x:v>18.411741674846947</x:v>
      </x:c>
      <x:c r="G63" s="17" t="n">
        <x:v>5.330763292483316</x:v>
      </x:c>
      <x:c r="H63" s="17" t="n">
        <x:v>0.22991267218613126</x:v>
      </x:c>
      <x:c r="I63" s="12" t="n">
        <x:v>256</x:v>
      </x:c>
      <x:c r="J63" s="12" t="n">
        <x:v>2</x:v>
      </x:c>
      <x:c r="K63" s="19" t="n">
        <x:v>0.002713975339231919</x:v>
      </x:c>
      <x:c r="L63" s="19" t="n">
        <x:v>0</x:v>
      </x:c>
      <x:c r="M63" s="19" t="n">
        <x:v>0.0001</x:v>
      </x:c>
      <x:c r="N63" s="12" t="n">
        <x:v>29</x:v>
      </x:c>
      <x:c r="O63" s="10" t="n">
        <x:v>1.2211636304855347</x:v>
      </x:c>
      <x:c r="P63" s="22" t="n">
        <x:v>46.894454191438854</x:v>
      </x:c>
      <x:c r="Q63" s="26" t="str">
        <x:v>2009-10-01</x:v>
      </x:c>
      <x:c r="R63" s="26" t="str">
        <x:v>2014-12-31</x:v>
      </x:c>
    </x:row>
    <x:row r="64" ht="22" customHeight="1">
      <x:c r="A64" s="15" t="str">
        <x:f>"01664000"</x:f>
        <x:v>01664000</x:v>
      </x:c>
      <x:c r="B64" s="12" t="n">
        <x:v>42</x:v>
      </x:c>
      <x:c r="C64" s="12" t="n">
        <x:v>1918</x:v>
      </x:c>
      <x:c r="D64" s="10" t="n">
        <x:v>0.5145941207309099</x:v>
      </x:c>
      <x:c r="E64" s="10" t="n">
        <x:v>0.5830963732313771</x:v>
      </x:c>
      <x:c r="F64" s="17" t="n">
        <x:v>835.4487654995423</x:v>
      </x:c>
      <x:c r="G64" s="17" t="n">
        <x:v>235.6592873383733</x:v>
      </x:c>
      <x:c r="H64" s="17" t="n">
        <x:v>-21.96523820072993</x:v>
      </x:c>
      <x:c r="I64" s="12" t="n">
        <x:v>256</x:v>
      </x:c>
      <x:c r="J64" s="12" t="n">
        <x:v>2</x:v>
      </x:c>
      <x:c r="K64" s="19" t="n">
        <x:v>0.002713975339231919</x:v>
      </x:c>
      <x:c r="L64" s="19" t="n">
        <x:v>0</x:v>
      </x:c>
      <x:c r="M64" s="19" t="n">
        <x:v>0.0001</x:v>
      </x:c>
      <x:c r="N64" s="12" t="n">
        <x:v>8</x:v>
      </x:c>
      <x:c r="O64" s="10" t="n">
        <x:v>0.2817482650279999</x:v>
      </x:c>
      <x:c r="P64" s="22" t="n">
        <x:v>46.87142144050449</x:v>
      </x:c>
      <x:c r="Q64" s="26" t="str">
        <x:v>2009-10-01</x:v>
      </x:c>
      <x:c r="R64" s="26" t="str">
        <x:v>2014-12-31</x:v>
      </x:c>
    </x:row>
    <x:row r="65" ht="22" customHeight="1">
      <x:c r="A65" s="15" t="str">
        <x:f>"01666500"</x:f>
        <x:v>01666500</x:v>
      </x:c>
      <x:c r="B65" s="12" t="n">
        <x:v>42</x:v>
      </x:c>
      <x:c r="C65" s="12" t="n">
        <x:v>1918</x:v>
      </x:c>
      <x:c r="D65" s="10" t="n">
        <x:v>0.29264542059837306</x:v>
      </x:c>
      <x:c r="E65" s="10" t="n">
        <x:v>0.36556938757712376</x:v>
      </x:c>
      <x:c r="F65" s="17" t="n">
        <x:v>323.81566324146763</x:v>
      </x:c>
      <x:c r="G65" s="17" t="n">
        <x:v>95.28644980294055</x:v>
      </x:c>
      <x:c r="H65" s="17" t="n">
        <x:v>-10.992027742773724</x:v>
      </x:c>
      <x:c r="I65" s="12" t="n">
        <x:v>256</x:v>
      </x:c>
      <x:c r="J65" s="12" t="n">
        <x:v>2</x:v>
      </x:c>
      <x:c r="K65" s="19" t="n">
        <x:v>0.002713975339231919</x:v>
      </x:c>
      <x:c r="L65" s="19" t="n">
        <x:v>0</x:v>
      </x:c>
      <x:c r="M65" s="19" t="n">
        <x:v>0.0001</x:v>
      </x:c>
      <x:c r="N65" s="12" t="n">
        <x:v>15</x:v>
      </x:c>
      <x:c r="O65" s="10" t="n">
        <x:v>0.15522760152816772</x:v>
      </x:c>
      <x:c r="P65" s="22" t="n">
        <x:v>46.9210603646934</x:v>
      </x:c>
      <x:c r="Q65" s="26" t="str">
        <x:v>2009-10-01</x:v>
      </x:c>
      <x:c r="R65" s="26" t="str">
        <x:v>2014-12-31</x:v>
      </x:c>
    </x:row>
    <x:row r="66" ht="22" customHeight="1">
      <x:c r="A66" s="15" t="str">
        <x:f>"01667500"</x:f>
        <x:v>01667500</x:v>
      </x:c>
      <x:c r="B66" s="12" t="n">
        <x:v>42</x:v>
      </x:c>
      <x:c r="C66" s="12" t="n">
        <x:v>1918</x:v>
      </x:c>
      <x:c r="D66" s="10" t="n">
        <x:v>0.3918210296779373</x:v>
      </x:c>
      <x:c r="E66" s="10" t="n">
        <x:v>0.4406339790756276</x:v>
      </x:c>
      <x:c r="F66" s="17" t="n">
        <x:v>788.8777444311728</x:v>
      </x:c>
      <x:c r="G66" s="17" t="n">
        <x:v>253.7149564822732</x:v>
      </x:c>
      <x:c r="H66" s="17" t="n">
        <x:v>20.304364401981232</x:v>
      </x:c>
      <x:c r="I66" s="12" t="n">
        <x:v>256</x:v>
      </x:c>
      <x:c r="J66" s="12" t="n">
        <x:v>2</x:v>
      </x:c>
      <x:c r="K66" s="19" t="n">
        <x:v>0.002713975339231919</x:v>
      </x:c>
      <x:c r="L66" s="19" t="n">
        <x:v>0</x:v>
      </x:c>
      <x:c r="M66" s="19" t="n">
        <x:v>0.0001</x:v>
      </x:c>
      <x:c r="N66" s="12" t="n">
        <x:v>13</x:v>
      </x:c>
      <x:c r="O66" s="10" t="n">
        <x:v>0.2022179365158081</x:v>
      </x:c>
      <x:c r="P66" s="22" t="n">
        <x:v>46.93144136853516</x:v>
      </x:c>
      <x:c r="Q66" s="26" t="str">
        <x:v>2009-10-01</x:v>
      </x:c>
      <x:c r="R66" s="26" t="str">
        <x:v>2014-12-31</x:v>
      </x:c>
    </x:row>
    <x:row r="67" ht="22" customHeight="1">
      <x:c r="A67" s="15" t="str">
        <x:f>"01669000"</x:f>
        <x:v>01669000</x:v>
      </x:c>
      <x:c r="B67" s="12" t="n">
        <x:v>42</x:v>
      </x:c>
      <x:c r="C67" s="12" t="n">
        <x:v>1918</x:v>
      </x:c>
      <x:c r="D67" s="10" t="n">
        <x:v>0.5801663634606302</x:v>
      </x:c>
      <x:c r="E67" s="10" t="n">
        <x:v>0.5994702010004189</x:v>
      </x:c>
      <x:c r="F67" s="17" t="n">
        <x:v>40.59545439746682</x:v>
      </x:c>
      <x:c r="G67" s="17" t="n">
        <x:v>9.17390267052659</x:v>
      </x:c>
      <x:c r="H67" s="17" t="n">
        <x:v>-1.498457556657977</x:v>
      </x:c>
      <x:c r="I67" s="12" t="n">
        <x:v>256</x:v>
      </x:c>
      <x:c r="J67" s="12" t="n">
        <x:v>2</x:v>
      </x:c>
      <x:c r="K67" s="19" t="n">
        <x:v>0.002713975339231919</x:v>
      </x:c>
      <x:c r="L67" s="19" t="n">
        <x:v>0</x:v>
      </x:c>
      <x:c r="M67" s="19" t="n">
        <x:v>0.0001</x:v>
      </x:c>
      <x:c r="N67" s="12" t="n">
        <x:v>6</x:v>
      </x:c>
      <x:c r="O67" s="10" t="n">
        <x:v>0.3057270050048828</x:v>
      </x:c>
      <x:c r="P67" s="22" t="n">
        <x:v>47.02170747704804</x:v>
      </x:c>
      <x:c r="Q67" s="26" t="str">
        <x:v>2009-10-01</x:v>
      </x:c>
      <x:c r="R67" s="26" t="str">
        <x:v>2014-12-31</x:v>
      </x:c>
    </x:row>
    <x:row r="68" ht="22" customHeight="1">
      <x:c r="A68" s="15" t="str">
        <x:f>"02011400"</x:f>
        <x:v>02011400</x:v>
      </x:c>
      <x:c r="B68" s="12" t="n">
        <x:v>42</x:v>
      </x:c>
      <x:c r="C68" s="12" t="n">
        <x:v>1918</x:v>
      </x:c>
      <x:c r="D68" s="10" t="n">
        <x:v>0.5920319577288657</x:v>
      </x:c>
      <x:c r="E68" s="10" t="n">
        <x:v>0.6205729668949087</x:v>
      </x:c>
      <x:c r="F68" s="17" t="n">
        <x:v>161.77708908894982</x:v>
      </x:c>
      <x:c r="G68" s="17" t="n">
        <x:v>54.57279323336809</x:v>
      </x:c>
      <x:c r="H68" s="17" t="n">
        <x:v>5.264862506986442</x:v>
      </x:c>
      <x:c r="I68" s="12" t="n">
        <x:v>256</x:v>
      </x:c>
      <x:c r="J68" s="12" t="n">
        <x:v>2</x:v>
      </x:c>
      <x:c r="K68" s="19" t="n">
        <x:v>0.002713975339231919</x:v>
      </x:c>
      <x:c r="L68" s="19" t="n">
        <x:v>0</x:v>
      </x:c>
      <x:c r="M68" s="19" t="n">
        <x:v>0.0001</x:v>
      </x:c>
      <x:c r="N68" s="12" t="n">
        <x:v>4</x:v>
      </x:c>
      <x:c r="O68" s="10" t="n">
        <x:v>0.27041172981262207</x:v>
      </x:c>
      <x:c r="P68" s="22" t="n">
        <x:v>47.01762550789863</x:v>
      </x:c>
      <x:c r="Q68" s="26" t="str">
        <x:v>2009-10-01</x:v>
      </x:c>
      <x:c r="R68" s="26" t="str">
        <x:v>2014-12-31</x:v>
      </x:c>
    </x:row>
    <x:row r="69" ht="22" customHeight="1">
      <x:c r="A69" s="15" t="str">
        <x:f>"02011460"</x:f>
        <x:v>02011460</x:v>
      </x:c>
      <x:c r="B69" s="12" t="n">
        <x:v>42</x:v>
      </x:c>
      <x:c r="C69" s="12" t="n">
        <x:v>1918</x:v>
      </x:c>
      <x:c r="D69" s="10" t="n">
        <x:v>0.4869356053195355</x:v>
      </x:c>
      <x:c r="E69" s="10" t="n">
        <x:v>0.5124792755326595</x:v>
      </x:c>
      <x:c r="F69" s="17" t="n">
        <x:v>126.75504960245931</x:v>
      </x:c>
      <x:c r="G69" s="17" t="n">
        <x:v>34.962741531996876</x:v>
      </x:c>
      <x:c r="H69" s="17" t="n">
        <x:v>-3.3073203982116786</x:v>
      </x:c>
      <x:c r="I69" s="12" t="n">
        <x:v>256</x:v>
      </x:c>
      <x:c r="J69" s="12" t="n">
        <x:v>2</x:v>
      </x:c>
      <x:c r="K69" s="19" t="n">
        <x:v>0.002713975339231919</x:v>
      </x:c>
      <x:c r="L69" s="19" t="n">
        <x:v>0</x:v>
      </x:c>
      <x:c r="M69" s="19" t="n">
        <x:v>0.0001</x:v>
      </x:c>
      <x:c r="N69" s="12" t="n">
        <x:v>6</x:v>
      </x:c>
      <x:c r="O69" s="10" t="n">
        <x:v>0.36049962043762207</x:v>
      </x:c>
      <x:c r="P69" s="22" t="n">
        <x:v>46.95315162744373</x:v>
      </x:c>
      <x:c r="Q69" s="26" t="str">
        <x:v>2009-10-01</x:v>
      </x:c>
      <x:c r="R69" s="26" t="str">
        <x:v>2014-12-31</x:v>
      </x:c>
    </x:row>
    <x:row r="70" ht="22" customHeight="1">
      <x:c r="A70" s="15" t="str">
        <x:f>"02013000"</x:f>
        <x:v>02013000</x:v>
      </x:c>
      <x:c r="B70" s="12" t="n">
        <x:v>42</x:v>
      </x:c>
      <x:c r="C70" s="12" t="n">
        <x:v>1918</x:v>
      </x:c>
      <x:c r="D70" s="10" t="n">
        <x:v>0.43178371036250907</x:v>
      </x:c>
      <x:c r="E70" s="10" t="n">
        <x:v>0.48113135360223513</x:v>
      </x:c>
      <x:c r="F70" s="17" t="n">
        <x:v>290.6995603544694</x:v>
      </x:c>
      <x:c r="G70" s="17" t="n">
        <x:v>78.7816121012096</x:v>
      </x:c>
      <x:c r="H70" s="17" t="n">
        <x:v>-22.199743186715327</x:v>
      </x:c>
      <x:c r="I70" s="12" t="n">
        <x:v>256</x:v>
      </x:c>
      <x:c r="J70" s="12" t="n">
        <x:v>2</x:v>
      </x:c>
      <x:c r="K70" s="19" t="n">
        <x:v>0.002713975339231919</x:v>
      </x:c>
      <x:c r="L70" s="19" t="n">
        <x:v>0</x:v>
      </x:c>
      <x:c r="M70" s="19" t="n">
        <x:v>0.0001</x:v>
      </x:c>
      <x:c r="N70" s="12" t="n">
        <x:v>6</x:v>
      </x:c>
      <x:c r="O70" s="10" t="n">
        <x:v>0.3097980320453644</x:v>
      </x:c>
      <x:c r="P70" s="22" t="n">
        <x:v>46.976583890616894</x:v>
      </x:c>
      <x:c r="Q70" s="26" t="str">
        <x:v>2009-10-01</x:v>
      </x:c>
      <x:c r="R70" s="26" t="str">
        <x:v>2014-12-31</x:v>
      </x:c>
    </x:row>
    <x:row r="71" ht="22" customHeight="1">
      <x:c r="A71" s="15" t="str">
        <x:f>"02014000"</x:f>
        <x:v>02014000</x:v>
      </x:c>
      <x:c r="B71" s="12" t="n">
        <x:v>42</x:v>
      </x:c>
      <x:c r="C71" s="12" t="n">
        <x:v>1918</x:v>
      </x:c>
      <x:c r="D71" s="10" t="n">
        <x:v>0.545847573909565</x:v>
      </x:c>
      <x:c r="E71" s="10" t="n">
        <x:v>0.6506691009281708</x:v>
      </x:c>
      <x:c r="F71" s="17" t="n">
        <x:v>200.39283802423046</x:v>
      </x:c>
      <x:c r="G71" s="17" t="n">
        <x:v>65.4161591829437</x:v>
      </x:c>
      <x:c r="H71" s="17" t="n">
        <x:v>-1.9811546646955163</x:v>
      </x:c>
      <x:c r="I71" s="12" t="n">
        <x:v>256</x:v>
      </x:c>
      <x:c r="J71" s="12" t="n">
        <x:v>2</x:v>
      </x:c>
      <x:c r="K71" s="19" t="n">
        <x:v>0.002713975339231919</x:v>
      </x:c>
      <x:c r="L71" s="19" t="n">
        <x:v>0</x:v>
      </x:c>
      <x:c r="M71" s="19" t="n">
        <x:v>0.0001</x:v>
      </x:c>
      <x:c r="N71" s="12" t="n">
        <x:v>2</x:v>
      </x:c>
      <x:c r="O71" s="10" t="n">
        <x:v>0.3804672956466675</x:v>
      </x:c>
      <x:c r="P71" s="22" t="n">
        <x:v>47.00059297028929</x:v>
      </x:c>
      <x:c r="Q71" s="26" t="str">
        <x:v>2009-10-01</x:v>
      </x:c>
      <x:c r="R71" s="26" t="str">
        <x:v>2014-12-31</x:v>
      </x:c>
    </x:row>
    <x:row r="72" ht="22" customHeight="1">
      <x:c r="A72" s="15" t="str">
        <x:f>"02015700"</x:f>
        <x:v>02015700</x:v>
      </x:c>
      <x:c r="B72" s="12" t="n">
        <x:v>42</x:v>
      </x:c>
      <x:c r="C72" s="12" t="n">
        <x:v>1918</x:v>
      </x:c>
      <x:c r="D72" s="10" t="n">
        <x:v>0.3934781994441715</x:v>
      </x:c>
      <x:c r="E72" s="10" t="n">
        <x:v>0.4430939627596866</x:v>
      </x:c>
      <x:c r="F72" s="17" t="n">
        <x:v>210.08854832153204</x:v>
      </x:c>
      <x:c r="G72" s="17" t="n">
        <x:v>60.978248062914496</x:v>
      </x:c>
      <x:c r="H72" s="17" t="n">
        <x:v>-8.688931195344109</x:v>
      </x:c>
      <x:c r="I72" s="12" t="n">
        <x:v>256</x:v>
      </x:c>
      <x:c r="J72" s="12" t="n">
        <x:v>2</x:v>
      </x:c>
      <x:c r="K72" s="19" t="n">
        <x:v>0.002713975339231919</x:v>
      </x:c>
      <x:c r="L72" s="19" t="n">
        <x:v>0</x:v>
      </x:c>
      <x:c r="M72" s="19" t="n">
        <x:v>0.0001</x:v>
      </x:c>
      <x:c r="N72" s="12" t="n">
        <x:v>4</x:v>
      </x:c>
      <x:c r="O72" s="10" t="n">
        <x:v>0.31930145621299744</x:v>
      </x:c>
      <x:c r="P72" s="22" t="n">
        <x:v>47.00193448364735</x:v>
      </x:c>
      <x:c r="Q72" s="26" t="str">
        <x:v>2009-10-01</x:v>
      </x:c>
      <x:c r="R72" s="26" t="str">
        <x:v>2014-12-31</x:v>
      </x:c>
    </x:row>
    <x:row r="73" ht="22" customHeight="1">
      <x:c r="A73" s="15" t="str">
        <x:f>"02016000"</x:f>
        <x:v>02016000</x:v>
      </x:c>
      <x:c r="B73" s="12" t="n">
        <x:v>42</x:v>
      </x:c>
      <x:c r="C73" s="12" t="n">
        <x:v>1918</x:v>
      </x:c>
      <x:c r="D73" s="10" t="n">
        <x:v>0.558879215244394</x:v>
      </x:c>
      <x:c r="E73" s="10" t="n">
        <x:v>0.6567994602200906</x:v>
      </x:c>
      <x:c r="F73" s="17" t="n">
        <x:v>657.5970137047102</x:v>
      </x:c>
      <x:c r="G73" s="17" t="n">
        <x:v>225.7971682455683</x:v>
      </x:c>
      <x:c r="H73" s="17" t="n">
        <x:v>16.964804606360794</x:v>
      </x:c>
      <x:c r="I73" s="12" t="n">
        <x:v>256</x:v>
      </x:c>
      <x:c r="J73" s="12" t="n">
        <x:v>2</x:v>
      </x:c>
      <x:c r="K73" s="19" t="n">
        <x:v>0.002713975339231919</x:v>
      </x:c>
      <x:c r="L73" s="19" t="n">
        <x:v>0</x:v>
      </x:c>
      <x:c r="M73" s="19" t="n">
        <x:v>0.0001</x:v>
      </x:c>
      <x:c r="N73" s="12" t="n">
        <x:v>6</x:v>
      </x:c>
      <x:c r="O73" s="10" t="n">
        <x:v>0.39788690209388733</x:v>
      </x:c>
      <x:c r="P73" s="22" t="n">
        <x:v>46.8821577122435</x:v>
      </x:c>
      <x:c r="Q73" s="26" t="str">
        <x:v>2009-10-01</x:v>
      </x:c>
      <x:c r="R73" s="26" t="str">
        <x:v>2014-12-31</x:v>
      </x:c>
    </x:row>
    <x:row r="74" ht="22" customHeight="1">
      <x:c r="A74" s="15" t="str">
        <x:f>"02017500"</x:f>
        <x:v>02017500</x:v>
      </x:c>
      <x:c r="B74" s="12" t="n">
        <x:v>42</x:v>
      </x:c>
      <x:c r="C74" s="12" t="n">
        <x:v>1918</x:v>
      </x:c>
      <x:c r="D74" s="10" t="n">
        <x:v>0.5883645262317395</x:v>
      </x:c>
      <x:c r="E74" s="10" t="n">
        <x:v>0.7057389999940764</x:v>
      </x:c>
      <x:c r="F74" s="17" t="n">
        <x:v>123.79456664128776</x:v>
      </x:c>
      <x:c r="G74" s="17" t="n">
        <x:v>45.744087985192905</x:v>
      </x:c>
      <x:c r="H74" s="17" t="n">
        <x:v>6.964203070490093</x:v>
      </x:c>
      <x:c r="I74" s="12" t="n">
        <x:v>256</x:v>
      </x:c>
      <x:c r="J74" s="12" t="n">
        <x:v>2</x:v>
      </x:c>
      <x:c r="K74" s="19" t="n">
        <x:v>0.002713975339231919</x:v>
      </x:c>
      <x:c r="L74" s="19" t="n">
        <x:v>0</x:v>
      </x:c>
      <x:c r="M74" s="19" t="n">
        <x:v>0.0001</x:v>
      </x:c>
      <x:c r="N74" s="12" t="n">
        <x:v>2</x:v>
      </x:c>
      <x:c r="O74" s="10" t="n">
        <x:v>0.34716498851776123</x:v>
      </x:c>
      <x:c r="P74" s="22" t="n">
        <x:v>47.09386057872325</x:v>
      </x:c>
      <x:c r="Q74" s="26" t="str">
        <x:v>2009-10-01</x:v>
      </x:c>
      <x:c r="R74" s="26" t="str">
        <x:v>2014-12-31</x:v>
      </x:c>
    </x:row>
    <x:row r="75" ht="22" customHeight="1">
      <x:c r="A75" s="15" t="str">
        <x:f>"02018000"</x:f>
        <x:v>02018000</x:v>
      </x:c>
      <x:c r="B75" s="12" t="n">
        <x:v>42</x:v>
      </x:c>
      <x:c r="C75" s="12" t="n">
        <x:v>1918</x:v>
      </x:c>
      <x:c r="D75" s="10" t="n">
        <x:v>0.5543149838899313</x:v>
      </x:c>
      <x:c r="E75" s="10" t="n">
        <x:v>0.7164931550959553</x:v>
      </x:c>
      <x:c r="F75" s="17" t="n">
        <x:v>421.7445747964253</x:v>
      </x:c>
      <x:c r="G75" s="17" t="n">
        <x:v>144.96712535876432</x:v>
      </x:c>
      <x:c r="H75" s="17" t="n">
        <x:v>-10.361573299327423</x:v>
      </x:c>
      <x:c r="I75" s="12" t="n">
        <x:v>256</x:v>
      </x:c>
      <x:c r="J75" s="12" t="n">
        <x:v>2</x:v>
      </x:c>
      <x:c r="K75" s="19" t="n">
        <x:v>0.002713975339231919</x:v>
      </x:c>
      <x:c r="L75" s="19" t="n">
        <x:v>0</x:v>
      </x:c>
      <x:c r="M75" s="19" t="n">
        <x:v>0.0001</x:v>
      </x:c>
      <x:c r="N75" s="12" t="n">
        <x:v>3</x:v>
      </x:c>
      <x:c r="O75" s="10" t="n">
        <x:v>0.1899130493402481</x:v>
      </x:c>
      <x:c r="P75" s="22" t="n">
        <x:v>47.07450943533331</x:v>
      </x:c>
      <x:c r="Q75" s="26" t="str">
        <x:v>2009-10-01</x:v>
      </x:c>
      <x:c r="R75" s="26" t="str">
        <x:v>2014-12-31</x:v>
      </x:c>
    </x:row>
    <x:row r="76" ht="22" customHeight="1">
      <x:c r="A76" s="15" t="str">
        <x:f>"02027000"</x:f>
        <x:v>02027000</x:v>
      </x:c>
      <x:c r="B76" s="12" t="n">
        <x:v>42</x:v>
      </x:c>
      <x:c r="C76" s="12" t="n">
        <x:v>1918</x:v>
      </x:c>
      <x:c r="D76" s="10" t="n">
        <x:v>0.4465550230027814</x:v>
      </x:c>
      <x:c r="E76" s="10" t="n">
        <x:v>0.5262435108613267</x:v>
      </x:c>
      <x:c r="F76" s="17" t="n">
        <x:v>199.1250035455175</x:v>
      </x:c>
      <x:c r="G76" s="17" t="n">
        <x:v>53.37746998322054</x:v>
      </x:c>
      <x:c r="H76" s="17" t="n">
        <x:v>-9.128875174565696</x:v>
      </x:c>
      <x:c r="I76" s="12" t="n">
        <x:v>256</x:v>
      </x:c>
      <x:c r="J76" s="12" t="n">
        <x:v>2</x:v>
      </x:c>
      <x:c r="K76" s="19" t="n">
        <x:v>0.002713975339231919</x:v>
      </x:c>
      <x:c r="L76" s="19" t="n">
        <x:v>0</x:v>
      </x:c>
      <x:c r="M76" s="19" t="n">
        <x:v>0.0001</x:v>
      </x:c>
      <x:c r="N76" s="12" t="n">
        <x:v>2</x:v>
      </x:c>
      <x:c r="O76" s="10" t="n">
        <x:v>0.3921159505844116</x:v>
      </x:c>
      <x:c r="P76" s="22" t="n">
        <x:v>47.098269366659224</x:v>
      </x:c>
      <x:c r="Q76" s="26" t="str">
        <x:v>2009-10-01</x:v>
      </x:c>
      <x:c r="R76" s="26" t="str">
        <x:v>2014-12-31</x:v>
      </x:c>
    </x:row>
    <x:row r="77" ht="22" customHeight="1">
      <x:c r="A77" s="15" t="str">
        <x:f>"02027500"</x:f>
        <x:v>02027500</x:v>
      </x:c>
      <x:c r="B77" s="12" t="n">
        <x:v>42</x:v>
      </x:c>
      <x:c r="C77" s="12" t="n">
        <x:v>1918</x:v>
      </x:c>
      <x:c r="D77" s="10" t="n">
        <x:v>0.6413806689199839</x:v>
      </x:c>
      <x:c r="E77" s="10" t="n">
        <x:v>0.6766658847380154</x:v>
      </x:c>
      <x:c r="F77" s="17" t="n">
        <x:v>80.57183281577483</x:v>
      </x:c>
      <x:c r="G77" s="17" t="n">
        <x:v>24.971114369671533</x:v>
      </x:c>
      <x:c r="H77" s="17" t="n">
        <x:v>-7.329783772486965</x:v>
      </x:c>
      <x:c r="I77" s="12" t="n">
        <x:v>256</x:v>
      </x:c>
      <x:c r="J77" s="12" t="n">
        <x:v>2</x:v>
      </x:c>
      <x:c r="K77" s="19" t="n">
        <x:v>0.002713975339231919</x:v>
      </x:c>
      <x:c r="L77" s="19" t="n">
        <x:v>0</x:v>
      </x:c>
      <x:c r="M77" s="19" t="n">
        <x:v>0.0001</x:v>
      </x:c>
      <x:c r="N77" s="12" t="n">
        <x:v>7</x:v>
      </x:c>
      <x:c r="O77" s="10" t="n">
        <x:v>0.1940847635269165</x:v>
      </x:c>
      <x:c r="P77" s="22" t="n">
        <x:v>47.25233291182667</x:v>
      </x:c>
      <x:c r="Q77" s="26" t="str">
        <x:v>2009-10-01</x:v>
      </x:c>
      <x:c r="R77" s="26" t="str">
        <x:v>2014-12-31</x:v>
      </x:c>
    </x:row>
    <x:row r="78" ht="22" customHeight="1">
      <x:c r="A78" s="15" t="str">
        <x:f>"02028500"</x:f>
        <x:v>02028500</x:v>
      </x:c>
      <x:c r="B78" s="12" t="n">
        <x:v>42</x:v>
      </x:c>
      <x:c r="C78" s="12" t="n">
        <x:v>1918</x:v>
      </x:c>
      <x:c r="D78" s="10" t="n">
        <x:v>0.40963022106506164</x:v>
      </x:c>
      <x:c r="E78" s="10" t="n">
        <x:v>0.5273288958906442</x:v>
      </x:c>
      <x:c r="F78" s="17" t="n">
        <x:v>182.06859871406124</x:v>
      </x:c>
      <x:c r="G78" s="17" t="n">
        <x:v>53.536457093680916</x:v>
      </x:c>
      <x:c r="H78" s="17" t="n">
        <x:v>-13.165079459687176</x:v>
      </x:c>
      <x:c r="I78" s="12" t="n">
        <x:v>256</x:v>
      </x:c>
      <x:c r="J78" s="12" t="n">
        <x:v>2</x:v>
      </x:c>
      <x:c r="K78" s="19" t="n">
        <x:v>0.002713975339231919</x:v>
      </x:c>
      <x:c r="L78" s="19" t="n">
        <x:v>0</x:v>
      </x:c>
      <x:c r="M78" s="19" t="n">
        <x:v>0.0001</x:v>
      </x:c>
      <x:c r="N78" s="12" t="n">
        <x:v>2</x:v>
      </x:c>
      <x:c r="O78" s="10" t="n">
        <x:v>0.2595575451850891</x:v>
      </x:c>
      <x:c r="P78" s="22" t="n">
        <x:v>47.16725418809801</x:v>
      </x:c>
      <x:c r="Q78" s="26" t="str">
        <x:v>2009-10-01</x:v>
      </x:c>
      <x:c r="R78" s="26" t="str">
        <x:v>2014-12-31</x:v>
      </x:c>
    </x:row>
    <x:row r="79" ht="22" customHeight="1">
      <x:c r="A79" s="15" t="str">
        <x:f>"02038850"</x:f>
        <x:v>02038850</x:v>
      </x:c>
      <x:c r="B79" s="12" t="n">
        <x:v>42</x:v>
      </x:c>
      <x:c r="C79" s="12" t="n">
        <x:v>1918</x:v>
      </x:c>
      <x:c r="D79" s="10" t="n">
        <x:v>0.2017504030142372</x:v>
      </x:c>
      <x:c r="E79" s="10" t="n">
        <x:v>0.2499474383678414</x:v>
      </x:c>
      <x:c r="F79" s="17" t="n">
        <x:v>14.313285511990015</x:v>
      </x:c>
      <x:c r="G79" s="17" t="n">
        <x:v>3.352890004614181</x:v>
      </x:c>
      <x:c r="H79" s="17" t="n">
        <x:v>-0.3464105578884254</x:v>
      </x:c>
      <x:c r="I79" s="12" t="n">
        <x:v>256</x:v>
      </x:c>
      <x:c r="J79" s="12" t="n">
        <x:v>2</x:v>
      </x:c>
      <x:c r="K79" s="19" t="n">
        <x:v>0.002713975339231919</x:v>
      </x:c>
      <x:c r="L79" s="19" t="n">
        <x:v>0</x:v>
      </x:c>
      <x:c r="M79" s="19" t="n">
        <x:v>0.0001</x:v>
      </x:c>
      <x:c r="N79" s="12" t="n">
        <x:v>8</x:v>
      </x:c>
      <x:c r="O79" s="10" t="n">
        <x:v>0.47237086296081543</x:v>
      </x:c>
      <x:c r="P79" s="22" t="n">
        <x:v>47.166567283682525</x:v>
      </x:c>
      <x:c r="Q79" s="26" t="str">
        <x:v>2009-10-01</x:v>
      </x:c>
      <x:c r="R79" s="26" t="str">
        <x:v>2014-12-31</x:v>
      </x:c>
    </x:row>
    <x:row r="80" ht="22" customHeight="1">
      <x:c r="A80" s="15" t="str">
        <x:f>"02046000"</x:f>
        <x:v>02046000</x:v>
      </x:c>
      <x:c r="B80" s="12" t="n">
        <x:v>42</x:v>
      </x:c>
      <x:c r="C80" s="12" t="n">
        <x:v>1918</x:v>
      </x:c>
      <x:c r="D80" s="10" t="n">
        <x:v>0.6075878358050126</x:v>
      </x:c>
      <x:c r="E80" s="10" t="n">
        <x:v>0.7156744249416617</x:v>
      </x:c>
      <x:c r="F80" s="17" t="n">
        <x:v>101.86505820854337</x:v>
      </x:c>
      <x:c r="G80" s="17" t="n">
        <x:v>39.57537699058238</x:v>
      </x:c>
      <x:c r="H80" s="17" t="n">
        <x:v>13.637610373567778</x:v>
      </x:c>
      <x:c r="I80" s="12" t="n">
        <x:v>256</x:v>
      </x:c>
      <x:c r="J80" s="12" t="n">
        <x:v>2</x:v>
      </x:c>
      <x:c r="K80" s="19" t="n">
        <x:v>0.002713975339231919</x:v>
      </x:c>
      <x:c r="L80" s="19" t="n">
        <x:v>0</x:v>
      </x:c>
      <x:c r="M80" s="19" t="n">
        <x:v>0.0001</x:v>
      </x:c>
      <x:c r="N80" s="12" t="n">
        <x:v>9</x:v>
      </x:c>
      <x:c r="O80" s="10" t="n">
        <x:v>0.33578774333000183</x:v>
      </x:c>
      <x:c r="P80" s="22" t="n">
        <x:v>47.362045056186616</x:v>
      </x:c>
      <x:c r="Q80" s="26" t="str">
        <x:v>2009-10-01</x:v>
      </x:c>
      <x:c r="R80" s="26" t="str">
        <x:v>2014-12-31</x:v>
      </x:c>
    </x:row>
    <x:row r="81" ht="22" customHeight="1">
      <x:c r="A81" s="15" t="str">
        <x:f>"02051500"</x:f>
        <x:v>02051500</x:v>
      </x:c>
      <x:c r="B81" s="12" t="n">
        <x:v>42</x:v>
      </x:c>
      <x:c r="C81" s="12" t="n">
        <x:v>1918</x:v>
      </x:c>
      <x:c r="D81" s="10" t="n">
        <x:v>0.7130928905588585</x:v>
      </x:c>
      <x:c r="E81" s="10" t="n">
        <x:v>0.7918049910465462</x:v>
      </x:c>
      <x:c r="F81" s="17" t="n">
        <x:v>391.0866790783937</x:v>
      </x:c>
      <x:c r="G81" s="17" t="n">
        <x:v>150.2801954733754</x:v>
      </x:c>
      <x:c r="H81" s="17" t="n">
        <x:v>-24.019729272124092</x:v>
      </x:c>
      <x:c r="I81" s="12" t="n">
        <x:v>256</x:v>
      </x:c>
      <x:c r="J81" s="12" t="n">
        <x:v>2</x:v>
      </x:c>
      <x:c r="K81" s="19" t="n">
        <x:v>0.002713975339231919</x:v>
      </x:c>
      <x:c r="L81" s="19" t="n">
        <x:v>0</x:v>
      </x:c>
      <x:c r="M81" s="19" t="n">
        <x:v>0.0001</x:v>
      </x:c>
      <x:c r="N81" s="12" t="n">
        <x:v>9</x:v>
      </x:c>
      <x:c r="O81" s="10" t="n">
        <x:v>0.1522742658853531</x:v>
      </x:c>
      <x:c r="P81" s="22" t="n">
        <x:v>47.24069132003933</x:v>
      </x:c>
      <x:c r="Q81" s="26" t="str">
        <x:v>2009-10-01</x:v>
      </x:c>
      <x:c r="R81" s="26" t="str">
        <x:v>2014-12-31</x:v>
      </x:c>
    </x:row>
    <x:row r="82" ht="22" customHeight="1">
      <x:c r="A82" s="15" t="str">
        <x:f>"02053200"</x:f>
        <x:v>02053200</x:v>
      </x:c>
      <x:c r="B82" s="12" t="n">
        <x:v>42</x:v>
      </x:c>
      <x:c r="C82" s="12" t="n">
        <x:v>1918</x:v>
      </x:c>
      <x:c r="D82" s="10" t="n">
        <x:v>0.9419357190519565</x:v>
      </x:c>
      <x:c r="E82" s="10" t="n">
        <x:v>0.9437190616013326</x:v>
      </x:c>
      <x:c r="F82" s="17" t="n">
        <x:v>111.61027157768893</x:v>
      </x:c>
      <x:c r="G82" s="17" t="n">
        <x:v>37.96615708040824</x:v>
      </x:c>
      <x:c r="H82" s="17" t="n">
        <x:v>-8.73397640474609</x:v>
      </x:c>
      <x:c r="I82" s="12" t="n">
        <x:v>256</x:v>
      </x:c>
      <x:c r="J82" s="12" t="n">
        <x:v>2</x:v>
      </x:c>
      <x:c r="K82" s="19" t="n">
        <x:v>0.002713975339231919</x:v>
      </x:c>
      <x:c r="L82" s="19" t="n">
        <x:v>0</x:v>
      </x:c>
      <x:c r="M82" s="19" t="n">
        <x:v>0.0001</x:v>
      </x:c>
      <x:c r="N82" s="12" t="n">
        <x:v>21</x:v>
      </x:c>
      <x:c r="O82" s="10" t="n">
        <x:v>0.022773096337914467</x:v>
      </x:c>
      <x:c r="P82" s="22" t="n">
        <x:v>47.34980099182576</x:v>
      </x:c>
      <x:c r="Q82" s="26" t="str">
        <x:v>2009-10-01</x:v>
      </x:c>
      <x:c r="R82" s="26" t="str">
        <x:v>2014-12-31</x:v>
      </x:c>
    </x:row>
    <x:row r="83" ht="22" customHeight="1">
      <x:c r="A83" s="15" t="str">
        <x:f>"02053800"</x:f>
        <x:v>02053800</x:v>
      </x:c>
      <x:c r="B83" s="12" t="n">
        <x:v>42</x:v>
      </x:c>
      <x:c r="C83" s="12" t="n">
        <x:v>1918</x:v>
      </x:c>
      <x:c r="D83" s="10" t="n">
        <x:v>0.5072279616135189</x:v>
      </x:c>
      <x:c r="E83" s="10" t="n">
        <x:v>0.5570098489674091</x:v>
      </x:c>
      <x:c r="F83" s="17" t="n">
        <x:v>138.3437000998268</x:v>
      </x:c>
      <x:c r="G83" s="17" t="n">
        <x:v>44.253151375882176</x:v>
      </x:c>
      <x:c r="H83" s="17" t="n">
        <x:v>-7.833251874318039</x:v>
      </x:c>
      <x:c r="I83" s="12" t="n">
        <x:v>256</x:v>
      </x:c>
      <x:c r="J83" s="12" t="n">
        <x:v>2</x:v>
      </x:c>
      <x:c r="K83" s="19" t="n">
        <x:v>0.002713975339231919</x:v>
      </x:c>
      <x:c r="L83" s="19" t="n">
        <x:v>0</x:v>
      </x:c>
      <x:c r="M83" s="19" t="n">
        <x:v>0.0001</x:v>
      </x:c>
      <x:c r="N83" s="12" t="n">
        <x:v>2</x:v>
      </x:c>
      <x:c r="O83" s="10" t="n">
        <x:v>0.4649984836578369</x:v>
      </x:c>
      <x:c r="P83" s="22" t="n">
        <x:v>47.371601823717356</x:v>
      </x:c>
      <x:c r="Q83" s="26" t="str">
        <x:v>2009-10-01</x:v>
      </x:c>
      <x:c r="R83" s="26" t="str">
        <x:v>2014-12-31</x:v>
      </x:c>
    </x:row>
    <x:row r="84" ht="22" customHeight="1">
      <x:c r="A84" s="15" t="str">
        <x:f>"02055100"</x:f>
        <x:v>02055100</x:v>
      </x:c>
      <x:c r="B84" s="12" t="n">
        <x:v>42</x:v>
      </x:c>
      <x:c r="C84" s="12" t="n">
        <x:v>1918</x:v>
      </x:c>
      <x:c r="D84" s="10" t="n">
        <x:v>0.2649587452747122</x:v>
      </x:c>
      <x:c r="E84" s="10" t="n">
        <x:v>0.3059403418429152</x:v>
      </x:c>
      <x:c r="F84" s="17" t="n">
        <x:v>19.757050802971186</x:v>
      </x:c>
      <x:c r="G84" s="17" t="n">
        <x:v>4.759191195046923</x:v>
      </x:c>
      <x:c r="H84" s="17" t="n">
        <x:v>-0.09465404280500524</x:v>
      </x:c>
      <x:c r="I84" s="12" t="n">
        <x:v>256</x:v>
      </x:c>
      <x:c r="J84" s="12" t="n">
        <x:v>2</x:v>
      </x:c>
      <x:c r="K84" s="19" t="n">
        <x:v>0.002713975339231919</x:v>
      </x:c>
      <x:c r="L84" s="19" t="n">
        <x:v>0</x:v>
      </x:c>
      <x:c r="M84" s="19" t="n">
        <x:v>0.0001</x:v>
      </x:c>
      <x:c r="N84" s="12" t="n">
        <x:v>1</x:v>
      </x:c>
      <x:c r="O84" s="10" t="n">
        <x:v>0.22438356280326843</x:v>
      </x:c>
      <x:c r="P84" s="22" t="n">
        <x:v>47.363138168118894</x:v>
      </x:c>
      <x:c r="Q84" s="26" t="str">
        <x:v>2009-10-01</x:v>
      </x:c>
      <x:c r="R84" s="26" t="str">
        <x:v>2014-12-31</x:v>
      </x:c>
    </x:row>
    <x:row r="85" ht="22" customHeight="1">
      <x:c r="A85" s="15" t="str">
        <x:f>"02056900"</x:f>
        <x:v>02056900</x:v>
      </x:c>
      <x:c r="B85" s="12" t="n">
        <x:v>42</x:v>
      </x:c>
      <x:c r="C85" s="12" t="n">
        <x:v>1918</x:v>
      </x:c>
      <x:c r="D85" s="10" t="n">
        <x:v>0.3277731773074056</x:v>
      </x:c>
      <x:c r="E85" s="10" t="n">
        <x:v>0.40546127927177467</x:v>
      </x:c>
      <x:c r="F85" s="17" t="n">
        <x:v>160.36851795292975</x:v>
      </x:c>
      <x:c r="G85" s="17" t="n">
        <x:v>49.16776922768509</x:v>
      </x:c>
      <x:c r="H85" s="17" t="n">
        <x:v>2.107732981908237</x:v>
      </x:c>
      <x:c r="I85" s="12" t="n">
        <x:v>256</x:v>
      </x:c>
      <x:c r="J85" s="12" t="n">
        <x:v>2</x:v>
      </x:c>
      <x:c r="K85" s="19" t="n">
        <x:v>0.002713975339231919</x:v>
      </x:c>
      <x:c r="L85" s="19" t="n">
        <x:v>0</x:v>
      </x:c>
      <x:c r="M85" s="19" t="n">
        <x:v>0.0001</x:v>
      </x:c>
      <x:c r="N85" s="12" t="n">
        <x:v>2</x:v>
      </x:c>
      <x:c r="O85" s="10" t="n">
        <x:v>0.4768112301826477</x:v>
      </x:c>
      <x:c r="P85" s="22" t="n">
        <x:v>47.37288491614163</x:v>
      </x:c>
      <x:c r="Q85" s="26" t="str">
        <x:v>2009-10-01</x:v>
      </x:c>
      <x:c r="R85" s="26" t="str">
        <x:v>2014-12-31</x:v>
      </x:c>
    </x:row>
    <x:row r="86" ht="22" customHeight="1">
      <x:c r="A86" s="15" t="str">
        <x:f>"02059500"</x:f>
        <x:v>02059500</x:v>
      </x:c>
      <x:c r="B86" s="12" t="n">
        <x:v>42</x:v>
      </x:c>
      <x:c r="C86" s="12" t="n">
        <x:v>1918</x:v>
      </x:c>
      <x:c r="D86" s="10" t="n">
        <x:v>0.12656657794673076</x:v>
      </x:c>
      <x:c r="E86" s="10" t="n">
        <x:v>0.22110234231138137</x:v>
      </x:c>
      <x:c r="F86" s="17" t="n">
        <x:v>305.07836025282603</x:v>
      </x:c>
      <x:c r="G86" s="17" t="n">
        <x:v>79.48162366527633</x:v>
      </x:c>
      <x:c r="H86" s="17" t="n">
        <x:v>4.708902238790406</x:v>
      </x:c>
      <x:c r="I86" s="12" t="n">
        <x:v>256</x:v>
      </x:c>
      <x:c r="J86" s="12" t="n">
        <x:v>2</x:v>
      </x:c>
      <x:c r="K86" s="19" t="n">
        <x:v>0.002713975339231919</x:v>
      </x:c>
      <x:c r="L86" s="19" t="n">
        <x:v>0</x:v>
      </x:c>
      <x:c r="M86" s="19" t="n">
        <x:v>0.0001</x:v>
      </x:c>
      <x:c r="N86" s="12" t="n">
        <x:v>13</x:v>
      </x:c>
      <x:c r="O86" s="10" t="n">
        <x:v>0.12466573715209961</x:v>
      </x:c>
      <x:c r="P86" s="22" t="n">
        <x:v>47.34548107627779</x:v>
      </x:c>
      <x:c r="Q86" s="26" t="str">
        <x:v>2009-10-01</x:v>
      </x:c>
      <x:c r="R86" s="26" t="str">
        <x:v>2014-12-31</x:v>
      </x:c>
    </x:row>
    <x:row r="87" ht="22" customHeight="1">
      <x:c r="A87" s="15" t="str">
        <x:f>"02064000"</x:f>
        <x:v>02064000</x:v>
      </x:c>
      <x:c r="B87" s="12" t="n">
        <x:v>42</x:v>
      </x:c>
      <x:c r="C87" s="12" t="n">
        <x:v>1918</x:v>
      </x:c>
      <x:c r="D87" s="10" t="n">
        <x:v>0.331626380516686</x:v>
      </x:c>
      <x:c r="E87" s="10" t="n">
        <x:v>0.40483674052048424</x:v>
      </x:c>
      <x:c r="F87" s="17" t="n">
        <x:v>165.5639273112189</x:v>
      </x:c>
      <x:c r="G87" s="17" t="n">
        <x:v>57.59936296582377</x:v>
      </x:c>
      <x:c r="H87" s="17" t="n">
        <x:v>-4.240947175417101</x:v>
      </x:c>
      <x:c r="I87" s="12" t="n">
        <x:v>256</x:v>
      </x:c>
      <x:c r="J87" s="12" t="n">
        <x:v>2</x:v>
      </x:c>
      <x:c r="K87" s="19" t="n">
        <x:v>0.002713975339231919</x:v>
      </x:c>
      <x:c r="L87" s="19" t="n">
        <x:v>0</x:v>
      </x:c>
      <x:c r="M87" s="19" t="n">
        <x:v>0.0001</x:v>
      </x:c>
      <x:c r="N87" s="12" t="n">
        <x:v>6</x:v>
      </x:c>
      <x:c r="O87" s="10" t="n">
        <x:v>0.20251017808914185</x:v>
      </x:c>
      <x:c r="P87" s="22" t="n">
        <x:v>47.279043530113995</x:v>
      </x:c>
      <x:c r="Q87" s="26" t="str">
        <x:v>2009-10-01</x:v>
      </x:c>
      <x:c r="R87" s="26" t="str">
        <x:v>2014-12-31</x:v>
      </x:c>
    </x:row>
    <x:row r="88" ht="22" customHeight="1">
      <x:c r="A88" s="15" t="str">
        <x:f>"02065500"</x:f>
        <x:v>02065500</x:v>
      </x:c>
      <x:c r="B88" s="12" t="n">
        <x:v>42</x:v>
      </x:c>
      <x:c r="C88" s="12" t="n">
        <x:v>1918</x:v>
      </x:c>
      <x:c r="D88" s="10" t="n">
        <x:v>0.37662518548362955</x:v>
      </x:c>
      <x:c r="E88" s="10" t="n">
        <x:v>0.5865684897494003</x:v>
      </x:c>
      <x:c r="F88" s="17" t="n">
        <x:v>115.43172660196201</x:v>
      </x:c>
      <x:c r="G88" s="17" t="n">
        <x:v>28.00081355817362</x:v>
      </x:c>
      <x:c r="H88" s="17" t="n">
        <x:v>-1.3458194334603757</x:v>
      </x:c>
      <x:c r="I88" s="12" t="n">
        <x:v>256</x:v>
      </x:c>
      <x:c r="J88" s="12" t="n">
        <x:v>2</x:v>
      </x:c>
      <x:c r="K88" s="19" t="n">
        <x:v>0.002713975339231919</x:v>
      </x:c>
      <x:c r="L88" s="19" t="n">
        <x:v>0</x:v>
      </x:c>
      <x:c r="M88" s="19" t="n">
        <x:v>0.0001</x:v>
      </x:c>
      <x:c r="N88" s="12" t="n">
        <x:v>13</x:v>
      </x:c>
      <x:c r="O88" s="10" t="n">
        <x:v>0.09846847504377365</x:v>
      </x:c>
      <x:c r="P88" s="22" t="n">
        <x:v>47.026820255443454</x:v>
      </x:c>
      <x:c r="Q88" s="26" t="str">
        <x:v>2009-10-01</x:v>
      </x:c>
      <x:c r="R88" s="26" t="str">
        <x:v>2014-12-31</x:v>
      </x:c>
    </x:row>
    <x:row r="89" ht="22" customHeight="1">
      <x:c r="A89" s="15" t="str">
        <x:f>"02069700"</x:f>
        <x:v>02069700</x:v>
      </x:c>
      <x:c r="B89" s="12" t="n">
        <x:v>42</x:v>
      </x:c>
      <x:c r="C89" s="12" t="n">
        <x:v>1918</x:v>
      </x:c>
      <x:c r="D89" s="10" t="n">
        <x:v>0.3518910362903396</x:v>
      </x:c>
      <x:c r="E89" s="10" t="n">
        <x:v>0.42524543360687417</x:v>
      </x:c>
      <x:c r="F89" s="17" t="n">
        <x:v>100.19969756254493</x:v>
      </x:c>
      <x:c r="G89" s="17" t="n">
        <x:v>30.68031243639208</x:v>
      </x:c>
      <x:c r="H89" s="17" t="n">
        <x:v>-3.7865709775808143</x:v>
      </x:c>
      <x:c r="I89" s="12" t="n">
        <x:v>256</x:v>
      </x:c>
      <x:c r="J89" s="12" t="n">
        <x:v>2</x:v>
      </x:c>
      <x:c r="K89" s="19" t="n">
        <x:v>0.002713975339231919</x:v>
      </x:c>
      <x:c r="L89" s="19" t="n">
        <x:v>0</x:v>
      </x:c>
      <x:c r="M89" s="19" t="n">
        <x:v>0.0001</x:v>
      </x:c>
      <x:c r="N89" s="12" t="n">
        <x:v>4</x:v>
      </x:c>
      <x:c r="O89" s="10" t="n">
        <x:v>0.45487383008003235</x:v>
      </x:c>
      <x:c r="P89" s="22" t="n">
        <x:v>47.05344156548381</x:v>
      </x:c>
      <x:c r="Q89" s="26" t="str">
        <x:v>2009-10-01</x:v>
      </x:c>
      <x:c r="R89" s="26" t="str">
        <x:v>2014-12-31</x:v>
      </x:c>
    </x:row>
    <x:row r="90" ht="22" customHeight="1">
      <x:c r="A90" s="15" t="str">
        <x:f>"02070000"</x:f>
        <x:v>02070000</x:v>
      </x:c>
      <x:c r="B90" s="12" t="n">
        <x:v>42</x:v>
      </x:c>
      <x:c r="C90" s="12" t="n">
        <x:v>1918</x:v>
      </x:c>
      <x:c r="D90" s="10" t="n">
        <x:v>0.2129632909341137</x:v>
      </x:c>
      <x:c r="E90" s="10" t="n">
        <x:v>0.2442000070551571</x:v>
      </x:c>
      <x:c r="F90" s="17" t="n">
        <x:v>143.06546775882046</x:v>
      </x:c>
      <x:c r="G90" s="17" t="n">
        <x:v>37.02135258409802</x:v>
      </x:c>
      <x:c r="H90" s="17" t="n">
        <x:v>-3.793896283785192</x:v>
      </x:c>
      <x:c r="I90" s="12" t="n">
        <x:v>256</x:v>
      </x:c>
      <x:c r="J90" s="12" t="n">
        <x:v>2</x:v>
      </x:c>
      <x:c r="K90" s="19" t="n">
        <x:v>0.002713975339231919</x:v>
      </x:c>
      <x:c r="L90" s="19" t="n">
        <x:v>0</x:v>
      </x:c>
      <x:c r="M90" s="19" t="n">
        <x:v>0.0001</x:v>
      </x:c>
      <x:c r="N90" s="12" t="n">
        <x:v>10</x:v>
      </x:c>
      <x:c r="O90" s="10" t="n">
        <x:v>0.34265875816345215</x:v>
      </x:c>
      <x:c r="P90" s="22" t="n">
        <x:v>47.06087771523744</x:v>
      </x:c>
      <x:c r="Q90" s="26" t="str">
        <x:v>2009-10-01</x:v>
      </x:c>
      <x:c r="R90" s="26" t="str">
        <x:v>2014-12-31</x:v>
      </x:c>
    </x:row>
    <x:row r="91" ht="22" customHeight="1">
      <x:c r="A91" s="15" t="str">
        <x:f>"02074500"</x:f>
        <x:v>02074500</x:v>
      </x:c>
      <x:c r="B91" s="12" t="n">
        <x:v>42</x:v>
      </x:c>
      <x:c r="C91" s="12" t="n">
        <x:v>1918</x:v>
      </x:c>
      <x:c r="D91" s="10" t="n">
        <x:v>0.23125381591339778</x:v>
      </x:c>
      <x:c r="E91" s="10" t="n">
        <x:v>0.2672047601040689</x:v>
      </x:c>
      <x:c r="F91" s="17" t="n">
        <x:v>145.37540925640207</x:v>
      </x:c>
      <x:c r="G91" s="17" t="n">
        <x:v>46.78826082417102</x:v>
      </x:c>
      <x:c r="H91" s="17" t="n">
        <x:v>11.685175895328467</x:v>
      </x:c>
      <x:c r="I91" s="12" t="n">
        <x:v>256</x:v>
      </x:c>
      <x:c r="J91" s="12" t="n">
        <x:v>2</x:v>
      </x:c>
      <x:c r="K91" s="19" t="n">
        <x:v>0.002713975339231919</x:v>
      </x:c>
      <x:c r="L91" s="19" t="n">
        <x:v>0</x:v>
      </x:c>
      <x:c r="M91" s="19" t="n">
        <x:v>0.0001</x:v>
      </x:c>
      <x:c r="N91" s="12" t="n">
        <x:v>7</x:v>
      </x:c>
      <x:c r="O91" s="10" t="n">
        <x:v>0.38075947761535645</x:v>
      </x:c>
      <x:c r="P91" s="22" t="n">
        <x:v>47.07532410137355</x:v>
      </x:c>
      <x:c r="Q91" s="26" t="str">
        <x:v>2009-10-01</x:v>
      </x:c>
      <x:c r="R91" s="26" t="str">
        <x:v>2014-12-31</x:v>
      </x:c>
    </x:row>
    <x:row r="92" ht="22" customHeight="1">
      <x:c r="A92" s="15" t="str">
        <x:f>"02077200"</x:f>
        <x:v>02077200</x:v>
      </x:c>
      <x:c r="B92" s="12" t="n">
        <x:v>42</x:v>
      </x:c>
      <x:c r="C92" s="12" t="n">
        <x:v>1918</x:v>
      </x:c>
      <x:c r="D92" s="10" t="n">
        <x:v>0.3568668569720894</x:v>
      </x:c>
      <x:c r="E92" s="10" t="n">
        <x:v>0.3510969745589363</x:v>
      </x:c>
      <x:c r="F92" s="17" t="n">
        <x:v>82.54764843401068</x:v>
      </x:c>
      <x:c r="G92" s="17" t="n">
        <x:v>28.026621051873303</x:v>
      </x:c>
      <x:c r="H92" s="17" t="n">
        <x:v>5.146587463462461</x:v>
      </x:c>
      <x:c r="I92" s="12" t="n">
        <x:v>256</x:v>
      </x:c>
      <x:c r="J92" s="12" t="n">
        <x:v>2</x:v>
      </x:c>
      <x:c r="K92" s="19" t="n">
        <x:v>0.002713975339231919</x:v>
      </x:c>
      <x:c r="L92" s="19" t="n">
        <x:v>0</x:v>
      </x:c>
      <x:c r="M92" s="19" t="n">
        <x:v>0.0001</x:v>
      </x:c>
      <x:c r="N92" s="12" t="n">
        <x:v>4</x:v>
      </x:c>
      <x:c r="O92" s="10" t="n">
        <x:v>0.3858496844768524</x:v>
      </x:c>
      <x:c r="P92" s="22" t="n">
        <x:v>47.20596313569695</x:v>
      </x:c>
      <x:c r="Q92" s="26" t="str">
        <x:v>2009-10-01</x:v>
      </x:c>
      <x:c r="R92" s="26" t="str">
        <x:v>2014-12-31</x:v>
      </x:c>
    </x:row>
    <x:row r="93" ht="22" customHeight="1">
      <x:c r="A93" s="15" t="str">
        <x:f>"02081500"</x:f>
        <x:v>02081500</x:v>
      </x:c>
      <x:c r="B93" s="12" t="n">
        <x:v>42</x:v>
      </x:c>
      <x:c r="C93" s="12" t="n">
        <x:v>1918</x:v>
      </x:c>
      <x:c r="D93" s="10" t="n">
        <x:v>0.3018919118726041</x:v>
      </x:c>
      <x:c r="E93" s="10" t="n">
        <x:v>0.4390248024317046</x:v>
      </x:c>
      <x:c r="F93" s="17" t="n">
        <x:v>281.40555714670734</x:v>
      </x:c>
      <x:c r="G93" s="17" t="n">
        <x:v>79.58286877743014</x:v>
      </x:c>
      <x:c r="H93" s="17" t="n">
        <x:v>6.454845648680398</x:v>
      </x:c>
      <x:c r="I93" s="12" t="n">
        <x:v>256</x:v>
      </x:c>
      <x:c r="J93" s="12" t="n">
        <x:v>2</x:v>
      </x:c>
      <x:c r="K93" s="19" t="n">
        <x:v>0.002713975339231919</x:v>
      </x:c>
      <x:c r="L93" s="19" t="n">
        <x:v>0</x:v>
      </x:c>
      <x:c r="M93" s="19" t="n">
        <x:v>0.0001</x:v>
      </x:c>
      <x:c r="N93" s="12" t="n">
        <x:v>9</x:v>
      </x:c>
      <x:c r="O93" s="10" t="n">
        <x:v>0.2311806082725525</x:v>
      </x:c>
      <x:c r="P93" s="22" t="n">
        <x:v>47.11021945159882</x:v>
      </x:c>
      <x:c r="Q93" s="26" t="str">
        <x:v>2009-10-01</x:v>
      </x:c>
      <x:c r="R93" s="26" t="str">
        <x:v>2014-12-31</x:v>
      </x:c>
    </x:row>
    <x:row r="94" ht="22" customHeight="1">
      <x:c r="A94" s="15" t="str">
        <x:f>"02082950"</x:f>
        <x:v>02082950</x:v>
      </x:c>
      <x:c r="B94" s="12" t="n">
        <x:v>42</x:v>
      </x:c>
      <x:c r="C94" s="12" t="n">
        <x:v>1918</x:v>
      </x:c>
      <x:c r="D94" s="10" t="n">
        <x:v>0.6679628804376416</x:v>
      </x:c>
      <x:c r="E94" s="10" t="n">
        <x:v>0.633762820259192</x:v>
      </x:c>
      <x:c r="F94" s="17" t="n">
        <x:v>125.8957864734427</x:v>
      </x:c>
      <x:c r="G94" s="17" t="n">
        <x:v>56.48664335530239</x:v>
      </x:c>
      <x:c r="H94" s="17" t="n">
        <x:v>16.948021464895724</x:v>
      </x:c>
      <x:c r="I94" s="12" t="n">
        <x:v>256</x:v>
      </x:c>
      <x:c r="J94" s="12" t="n">
        <x:v>2</x:v>
      </x:c>
      <x:c r="K94" s="19" t="n">
        <x:v>0.002713975339231919</x:v>
      </x:c>
      <x:c r="L94" s="19" t="n">
        <x:v>0</x:v>
      </x:c>
      <x:c r="M94" s="19" t="n">
        <x:v>0.0001</x:v>
      </x:c>
      <x:c r="N94" s="12" t="n">
        <x:v>7</x:v>
      </x:c>
      <x:c r="O94" s="10" t="n">
        <x:v>0.06870843470096588</x:v>
      </x:c>
      <x:c r="P94" s="22" t="n">
        <x:v>47.25328169949353</x:v>
      </x:c>
      <x:c r="Q94" s="26" t="str">
        <x:v>2009-10-01</x:v>
      </x:c>
      <x:c r="R94" s="26" t="str">
        <x:v>2014-12-31</x:v>
      </x:c>
    </x:row>
    <x:row r="95" ht="22" customHeight="1">
      <x:c r="A95" s="15" t="str">
        <x:f>"02092500"</x:f>
        <x:v>02092500</x:v>
      </x:c>
      <x:c r="B95" s="12" t="n">
        <x:v>42</x:v>
      </x:c>
      <x:c r="C95" s="12" t="n">
        <x:v>1918</x:v>
      </x:c>
      <x:c r="D95" s="10" t="n">
        <x:v>0.9667564168951401</x:v>
      </x:c>
      <x:c r="E95" s="10" t="n">
        <x:v>0.9682546568866303</x:v>
      </x:c>
      <x:c r="F95" s="17" t="n">
        <x:v>51.030027432684406</x:v>
      </x:c>
      <x:c r="G95" s="17" t="n">
        <x:v>22.74112097560219</x:v>
      </x:c>
      <x:c r="H95" s="17" t="n">
        <x:v>-4.670550799272681</x:v>
      </x:c>
      <x:c r="I95" s="12" t="n">
        <x:v>256</x:v>
      </x:c>
      <x:c r="J95" s="12" t="n">
        <x:v>2</x:v>
      </x:c>
      <x:c r="K95" s="19" t="n">
        <x:v>0.002713975339231919</x:v>
      </x:c>
      <x:c r="L95" s="19" t="n">
        <x:v>0</x:v>
      </x:c>
      <x:c r="M95" s="19" t="n">
        <x:v>0.0001</x:v>
      </x:c>
      <x:c r="N95" s="12" t="n">
        <x:v>9</x:v>
      </x:c>
      <x:c r="O95" s="10" t="n">
        <x:v>0.05999140441417694</x:v>
      </x:c>
      <x:c r="P95" s="22" t="n">
        <x:v>47.1851138677448</x:v>
      </x:c>
      <x:c r="Q95" s="26" t="str">
        <x:v>2009-10-01</x:v>
      </x:c>
      <x:c r="R95" s="26" t="str">
        <x:v>2014-12-31</x:v>
      </x:c>
    </x:row>
    <x:row r="96" ht="22" customHeight="1">
      <x:c r="A96" s="15" t="str">
        <x:f>"02102908"</x:f>
        <x:v>02102908</x:v>
      </x:c>
      <x:c r="B96" s="12" t="n">
        <x:v>42</x:v>
      </x:c>
      <x:c r="C96" s="12" t="n">
        <x:v>1918</x:v>
      </x:c>
      <x:c r="D96" s="10" t="n">
        <x:v>0.3819891873206597</x:v>
      </x:c>
      <x:c r="E96" s="10" t="n">
        <x:v>0.4776431133614767</x:v>
      </x:c>
      <x:c r="F96" s="17" t="n">
        <x:v>4.9681663452827465</x:v>
      </x:c>
      <x:c r="G96" s="17" t="n">
        <x:v>2.575384559801877</x:v>
      </x:c>
      <x:c r="H96" s="17" t="n">
        <x:v>0.6008322517726797</x:v>
      </x:c>
      <x:c r="I96" s="12" t="n">
        <x:v>256</x:v>
      </x:c>
      <x:c r="J96" s="12" t="n">
        <x:v>2</x:v>
      </x:c>
      <x:c r="K96" s="19" t="n">
        <x:v>0.002713975339231919</x:v>
      </x:c>
      <x:c r="L96" s="19" t="n">
        <x:v>0</x:v>
      </x:c>
      <x:c r="M96" s="19" t="n">
        <x:v>0.0001</x:v>
      </x:c>
      <x:c r="N96" s="12" t="n">
        <x:v>14</x:v>
      </x:c>
      <x:c r="O96" s="10" t="n">
        <x:v>0.8613058924674988</x:v>
      </x:c>
      <x:c r="P96" s="22" t="n">
        <x:v>47.25791127141565</x:v>
      </x:c>
      <x:c r="Q96" s="26" t="str">
        <x:v>2009-10-01</x:v>
      </x:c>
      <x:c r="R96" s="26" t="str">
        <x:v>2014-12-31</x:v>
      </x:c>
    </x:row>
    <x:row r="97" ht="22" customHeight="1">
      <x:c r="A97" s="15" t="str">
        <x:f>"02108000"</x:f>
        <x:v>02108000</x:v>
      </x:c>
      <x:c r="B97" s="12" t="n">
        <x:v>42</x:v>
      </x:c>
      <x:c r="C97" s="12" t="n">
        <x:v>1918</x:v>
      </x:c>
      <x:c r="D97" s="10" t="n">
        <x:v>0.9681105824554612</x:v>
      </x:c>
      <x:c r="E97" s="10" t="n">
        <x:v>0.9583575117477091</x:v>
      </x:c>
      <x:c r="F97" s="17" t="n">
        <x:v>155.32067755379452</x:v>
      </x:c>
      <x:c r="G97" s="17" t="n">
        <x:v>64.52843476351303</x:v>
      </x:c>
      <x:c r="H97" s="17" t="n">
        <x:v>-9.787614946411889</x:v>
      </x:c>
      <x:c r="I97" s="12" t="n">
        <x:v>256</x:v>
      </x:c>
      <x:c r="J97" s="12" t="n">
        <x:v>2</x:v>
      </x:c>
      <x:c r="K97" s="19" t="n">
        <x:v>0.002713975339231919</x:v>
      </x:c>
      <x:c r="L97" s="19" t="n">
        <x:v>0</x:v>
      </x:c>
      <x:c r="M97" s="19" t="n">
        <x:v>0.0001</x:v>
      </x:c>
      <x:c r="N97" s="12" t="n">
        <x:v>23</x:v>
      </x:c>
      <x:c r="O97" s="10" t="n">
        <x:v>0.02999146655201912</x:v>
      </x:c>
      <x:c r="P97" s="22" t="n">
        <x:v>47.22481846436858</x:v>
      </x:c>
      <x:c r="Q97" s="26" t="str">
        <x:v>2009-10-01</x:v>
      </x:c>
      <x:c r="R97" s="26" t="str">
        <x:v>2014-12-31</x:v>
      </x:c>
    </x:row>
    <x:row r="98" ht="22" customHeight="1">
      <x:c r="A98" s="15" t="str">
        <x:f>"02111180"</x:f>
        <x:v>02111180</x:v>
      </x:c>
      <x:c r="B98" s="12" t="n">
        <x:v>42</x:v>
      </x:c>
      <x:c r="C98" s="12" t="n">
        <x:v>1918</x:v>
      </x:c>
      <x:c r="D98" s="10" t="n">
        <x:v>0.4062548228994485</x:v>
      </x:c>
      <x:c r="E98" s="10" t="n">
        <x:v>0.45951731628327064</x:v>
      </x:c>
      <x:c r="F98" s="17" t="n">
        <x:v>107.18866701370064</x:v>
      </x:c>
      <x:c r="G98" s="17" t="n">
        <x:v>36.57754294449947</x:v>
      </x:c>
      <x:c r="H98" s="17" t="n">
        <x:v>0.8181677478884269</x:v>
      </x:c>
      <x:c r="I98" s="12" t="n">
        <x:v>256</x:v>
      </x:c>
      <x:c r="J98" s="12" t="n">
        <x:v>2</x:v>
      </x:c>
      <x:c r="K98" s="19" t="n">
        <x:v>0.002713975339231919</x:v>
      </x:c>
      <x:c r="L98" s="19" t="n">
        <x:v>0</x:v>
      </x:c>
      <x:c r="M98" s="19" t="n">
        <x:v>0.0001</x:v>
      </x:c>
      <x:c r="N98" s="12" t="n">
        <x:v>19</x:v>
      </x:c>
      <x:c r="O98" s="10" t="n">
        <x:v>0.3547976315021515</x:v>
      </x:c>
      <x:c r="P98" s="22" t="n">
        <x:v>47.233432561159134</x:v>
      </x:c>
      <x:c r="Q98" s="26" t="str">
        <x:v>2009-10-01</x:v>
      </x:c>
      <x:c r="R98" s="26" t="str">
        <x:v>2014-12-31</x:v>
      </x:c>
    </x:row>
    <x:row r="99" ht="22" customHeight="1">
      <x:c r="A99" s="15" t="str">
        <x:f>"02112120"</x:f>
        <x:v>02112120</x:v>
      </x:c>
      <x:c r="B99" s="12" t="n">
        <x:v>42</x:v>
      </x:c>
      <x:c r="C99" s="12" t="n">
        <x:v>1906</x:v>
      </x:c>
      <x:c r="D99" s="10" t="n">
        <x:v>0.380290710568999</x:v>
      </x:c>
      <x:c r="E99" s="10" t="n">
        <x:v>0.4011634616958297</x:v>
      </x:c>
      <x:c r="F99" s="17" t="n">
        <x:v>171.70487995084972</x:v>
      </x:c>
      <x:c r="G99" s="17" t="n">
        <x:v>54.74970129485834</x:v>
      </x:c>
      <x:c r="H99" s="17" t="n">
        <x:v>-12.318974900314798</x:v>
      </x:c>
      <x:c r="I99" s="12" t="n">
        <x:v>256</x:v>
      </x:c>
      <x:c r="J99" s="12" t="n">
        <x:v>2</x:v>
      </x:c>
      <x:c r="K99" s="19" t="n">
        <x:v>0.002713975339231919</x:v>
      </x:c>
      <x:c r="L99" s="19" t="n">
        <x:v>0</x:v>
      </x:c>
      <x:c r="M99" s="19" t="n">
        <x:v>0.0001</x:v>
      </x:c>
      <x:c r="N99" s="12" t="n">
        <x:v>7</x:v>
      </x:c>
      <x:c r="O99" s="10" t="n">
        <x:v>0.387643426656723</x:v>
      </x:c>
      <x:c r="P99" s="22" t="n">
        <x:v>47.29452238045633</x:v>
      </x:c>
      <x:c r="Q99" s="26" t="str">
        <x:v>2009-07-26</x:v>
      </x:c>
      <x:c r="R99" s="26" t="str">
        <x:v>2014-10-13</x:v>
      </x:c>
    </x:row>
    <x:row r="100" ht="22" customHeight="1">
      <x:c r="A100" s="15" t="str">
        <x:f>"02112360"</x:f>
        <x:v>02112360</x:v>
      </x:c>
      <x:c r="B100" s="12" t="n">
        <x:v>42</x:v>
      </x:c>
      <x:c r="C100" s="12" t="n">
        <x:v>1904</x:v>
      </x:c>
      <x:c r="D100" s="10" t="n">
        <x:v>0.3902327803271376</x:v>
      </x:c>
      <x:c r="E100" s="10" t="n">
        <x:v>0.4768708687593406</x:v>
      </x:c>
      <x:c r="F100" s="17" t="n">
        <x:v>90.54114877191</x:v>
      </x:c>
      <x:c r="G100" s="17" t="n">
        <x:v>33.456181486869745</x:v>
      </x:c>
      <x:c r="H100" s="17" t="n">
        <x:v>-2.8408852316176483</x:v>
      </x:c>
      <x:c r="I100" s="12" t="n">
        <x:v>256</x:v>
      </x:c>
      <x:c r="J100" s="12" t="n">
        <x:v>2</x:v>
      </x:c>
      <x:c r="K100" s="19" t="n">
        <x:v>0.002713975339231919</x:v>
      </x:c>
      <x:c r="L100" s="19" t="n">
        <x:v>0</x:v>
      </x:c>
      <x:c r="M100" s="19" t="n">
        <x:v>0.0001</x:v>
      </x:c>
      <x:c r="N100" s="12" t="n">
        <x:v>4</x:v>
      </x:c>
      <x:c r="O100" s="10" t="n">
        <x:v>0.6081261038780212</x:v>
      </x:c>
      <x:c r="P100" s="22" t="n">
        <x:v>47.27451400831342</x:v>
      </x:c>
      <x:c r="Q100" s="26" t="str">
        <x:v>2009-07-15</x:v>
      </x:c>
      <x:c r="R100" s="26" t="str">
        <x:v>2014-09-30</x:v>
      </x:c>
    </x:row>
    <x:row r="101" ht="22" customHeight="1">
      <x:c r="A101" s="15" t="str">
        <x:f>"02118500"</x:f>
        <x:v>02118500</x:v>
      </x:c>
      <x:c r="B101" s="12" t="n">
        <x:v>42</x:v>
      </x:c>
      <x:c r="C101" s="12" t="n">
        <x:v>1918</x:v>
      </x:c>
      <x:c r="D101" s="10" t="n">
        <x:v>0.30447366075981763</x:v>
      </x:c>
      <x:c r="E101" s="10" t="n">
        <x:v>0.36033585896776577</x:v>
      </x:c>
      <x:c r="F101" s="17" t="n">
        <x:v>251.22361521031206</x:v>
      </x:c>
      <x:c r="G101" s="17" t="n">
        <x:v>74.57671833055265</x:v>
      </x:c>
      <x:c r="H101" s="17" t="n">
        <x:v>-7.787599483837332</x:v>
      </x:c>
      <x:c r="I101" s="12" t="n">
        <x:v>256</x:v>
      </x:c>
      <x:c r="J101" s="12" t="n">
        <x:v>2</x:v>
      </x:c>
      <x:c r="K101" s="19" t="n">
        <x:v>0.002713975339231919</x:v>
      </x:c>
      <x:c r="L101" s="19" t="n">
        <x:v>0</x:v>
      </x:c>
      <x:c r="M101" s="19" t="n">
        <x:v>0.0001</x:v>
      </x:c>
      <x:c r="N101" s="12" t="n">
        <x:v>7</x:v>
      </x:c>
      <x:c r="O101" s="10" t="n">
        <x:v>0.5604251623153687</x:v>
      </x:c>
      <x:c r="P101" s="22" t="n">
        <x:v>47.1293815607205</x:v>
      </x:c>
      <x:c r="Q101" s="26" t="str">
        <x:v>2009-10-01</x:v>
      </x:c>
      <x:c r="R101" s="26" t="str">
        <x:v>2014-12-31</x:v>
      </x:c>
    </x:row>
    <x:row r="102" ht="22" customHeight="1">
      <x:c r="A102" s="15" t="str">
        <x:f>"02128000"</x:f>
        <x:v>02128000</x:v>
      </x:c>
      <x:c r="B102" s="12" t="n">
        <x:v>42</x:v>
      </x:c>
      <x:c r="C102" s="12" t="n">
        <x:v>1918</x:v>
      </x:c>
      <x:c r="D102" s="10" t="n">
        <x:v>0.3477443060650732</x:v>
      </x:c>
      <x:c r="E102" s="10" t="n">
        <x:v>0.45071065010334843</x:v>
      </x:c>
      <x:c r="F102" s="17" t="n">
        <x:v>142.21157166141816</x:v>
      </x:c>
      <x:c r="G102" s="17" t="n">
        <x:v>54.903774576813866</x:v>
      </x:c>
      <x:c r="H102" s="17" t="n">
        <x:v>12.225877682371744</x:v>
      </x:c>
      <x:c r="I102" s="12" t="n">
        <x:v>256</x:v>
      </x:c>
      <x:c r="J102" s="12" t="n">
        <x:v>2</x:v>
      </x:c>
      <x:c r="K102" s="19" t="n">
        <x:v>0.002713975339231919</x:v>
      </x:c>
      <x:c r="L102" s="19" t="n">
        <x:v>0</x:v>
      </x:c>
      <x:c r="M102" s="19" t="n">
        <x:v>0.0001</x:v>
      </x:c>
      <x:c r="N102" s="12" t="n">
        <x:v>13</x:v>
      </x:c>
      <x:c r="O102" s="10" t="n">
        <x:v>0.36683306097984314</x:v>
      </x:c>
      <x:c r="P102" s="22" t="n">
        <x:v>46.837964734993875</x:v>
      </x:c>
      <x:c r="Q102" s="26" t="str">
        <x:v>2009-10-01</x:v>
      </x:c>
      <x:c r="R102" s="26" t="str">
        <x:v>2014-12-31</x:v>
      </x:c>
    </x:row>
    <x:row r="103" ht="22" customHeight="1">
      <x:c r="A103" s="15" t="str">
        <x:f>"02143000"</x:f>
        <x:v>02143000</x:v>
      </x:c>
      <x:c r="B103" s="12" t="n">
        <x:v>42</x:v>
      </x:c>
      <x:c r="C103" s="12" t="n">
        <x:v>1918</x:v>
      </x:c>
      <x:c r="D103" s="10" t="n">
        <x:v>0.3791115067003378</x:v>
      </x:c>
      <x:c r="E103" s="10" t="n">
        <x:v>0.4732246685866933</x:v>
      </x:c>
      <x:c r="F103" s="17" t="n">
        <x:v>150.07425269237072</x:v>
      </x:c>
      <x:c r="G103" s="17" t="n">
        <x:v>43.22552873415015</x:v>
      </x:c>
      <x:c r="H103" s="17" t="n">
        <x:v>-13.54538482278415</x:v>
      </x:c>
      <x:c r="I103" s="12" t="n">
        <x:v>256</x:v>
      </x:c>
      <x:c r="J103" s="12" t="n">
        <x:v>2</x:v>
      </x:c>
      <x:c r="K103" s="19" t="n">
        <x:v>0.002713975339231919</x:v>
      </x:c>
      <x:c r="L103" s="19" t="n">
        <x:v>0</x:v>
      </x:c>
      <x:c r="M103" s="19" t="n">
        <x:v>0.0001</x:v>
      </x:c>
      <x:c r="N103" s="12" t="n">
        <x:v>7</x:v>
      </x:c>
      <x:c r="O103" s="10" t="n">
        <x:v>0.6982564926147461</x:v>
      </x:c>
      <x:c r="P103" s="22" t="n">
        <x:v>46.93332734052092</x:v>
      </x:c>
      <x:c r="Q103" s="26" t="str">
        <x:v>2009-10-01</x:v>
      </x:c>
      <x:c r="R103" s="26" t="str">
        <x:v>2014-12-31</x:v>
      </x:c>
    </x:row>
    <x:row r="104" ht="22" customHeight="1">
      <x:c r="A104" s="15" t="str">
        <x:f>"02143040"</x:f>
        <x:v>02143040</x:v>
      </x:c>
      <x:c r="B104" s="12" t="n">
        <x:v>42</x:v>
      </x:c>
      <x:c r="C104" s="12" t="n">
        <x:v>1918</x:v>
      </x:c>
      <x:c r="D104" s="10" t="n">
        <x:v>0.3406022617074542</x:v>
      </x:c>
      <x:c r="E104" s="10" t="n">
        <x:v>0.4281164875462068</x:v>
      </x:c>
      <x:c r="F104" s="17" t="n">
        <x:v>54.30147773622502</x:v>
      </x:c>
      <x:c r="G104" s="17" t="n">
        <x:v>17.661012693252346</x:v>
      </x:c>
      <x:c r="H104" s="17" t="n">
        <x:v>-1.3553951537320126</x:v>
      </x:c>
      <x:c r="I104" s="12" t="n">
        <x:v>256</x:v>
      </x:c>
      <x:c r="J104" s="12" t="n">
        <x:v>2</x:v>
      </x:c>
      <x:c r="K104" s="19" t="n">
        <x:v>0.002713975339231919</x:v>
      </x:c>
      <x:c r="L104" s="19" t="n">
        <x:v>0</x:v>
      </x:c>
      <x:c r="M104" s="19" t="n">
        <x:v>0.0001</x:v>
      </x:c>
      <x:c r="N104" s="12" t="n">
        <x:v>3</x:v>
      </x:c>
      <x:c r="O104" s="10" t="n">
        <x:v>0.9991797208786011</x:v>
      </x:c>
      <x:c r="P104" s="22" t="n">
        <x:v>46.916565362364054</x:v>
      </x:c>
      <x:c r="Q104" s="26" t="str">
        <x:v>2009-10-01</x:v>
      </x:c>
      <x:c r="R104" s="26" t="str">
        <x:v>2014-12-31</x:v>
      </x:c>
    </x:row>
    <x:row r="105" ht="22" customHeight="1">
      <x:c r="A105" s="15" t="str">
        <x:f>"02149000"</x:f>
        <x:v>02149000</x:v>
      </x:c>
      <x:c r="B105" s="12" t="n">
        <x:v>42</x:v>
      </x:c>
      <x:c r="C105" s="12" t="n">
        <x:v>1918</x:v>
      </x:c>
      <x:c r="D105" s="10" t="n">
        <x:v>0.4102587234239671</x:v>
      </x:c>
      <x:c r="E105" s="10" t="n">
        <x:v>0.5033704451068356</x:v>
      </x:c>
      <x:c r="F105" s="17" t="n">
        <x:v>106.33567221796551</x:v>
      </x:c>
      <x:c r="G105" s="17" t="n">
        <x:v>36.63703155683003</x:v>
      </x:c>
      <x:c r="H105" s="17" t="n">
        <x:v>0.5039845255474449</x:v>
      </x:c>
      <x:c r="I105" s="12" t="n">
        <x:v>256</x:v>
      </x:c>
      <x:c r="J105" s="12" t="n">
        <x:v>2</x:v>
      </x:c>
      <x:c r="K105" s="19" t="n">
        <x:v>0.002713975339231919</x:v>
      </x:c>
      <x:c r="L105" s="19" t="n">
        <x:v>0</x:v>
      </x:c>
      <x:c r="M105" s="19" t="n">
        <x:v>0.0001</x:v>
      </x:c>
      <x:c r="N105" s="12" t="n">
        <x:v>3</x:v>
      </x:c>
      <x:c r="O105" s="10" t="n">
        <x:v>0.7856202721595764</x:v>
      </x:c>
      <x:c r="P105" s="22" t="n">
        <x:v>47.031081676483154</x:v>
      </x:c>
      <x:c r="Q105" s="26" t="str">
        <x:v>2009-10-01</x:v>
      </x:c>
      <x:c r="R105" s="26" t="str">
        <x:v>2014-12-31</x:v>
      </x:c>
    </x:row>
    <x:row r="106" ht="22" customHeight="1">
      <x:c r="A106" s="15" t="str">
        <x:f>"02152100"</x:f>
        <x:v>02152100</x:v>
      </x:c>
      <x:c r="B106" s="12" t="n">
        <x:v>42</x:v>
      </x:c>
      <x:c r="C106" s="12" t="n">
        <x:v>1918</x:v>
      </x:c>
      <x:c r="D106" s="10" t="n">
        <x:v>0.30194667221018145</x:v>
      </x:c>
      <x:c r="E106" s="10" t="n">
        <x:v>0.29763429302137223</x:v>
      </x:c>
      <x:c r="F106" s="17" t="n">
        <x:v>112.43659926690735</x:v>
      </x:c>
      <x:c r="G106" s="17" t="n">
        <x:v>28.165109478102192</x:v>
      </x:c>
      <x:c r="H106" s="17" t="n">
        <x:v>-6.048465696037538</x:v>
      </x:c>
      <x:c r="I106" s="12" t="n">
        <x:v>256</x:v>
      </x:c>
      <x:c r="J106" s="12" t="n">
        <x:v>2</x:v>
      </x:c>
      <x:c r="K106" s="19" t="n">
        <x:v>0.002713975339231919</x:v>
      </x:c>
      <x:c r="L106" s="19" t="n">
        <x:v>0</x:v>
      </x:c>
      <x:c r="M106" s="19" t="n">
        <x:v>0.0001</x:v>
      </x:c>
      <x:c r="N106" s="12" t="n">
        <x:v>9</x:v>
      </x:c>
      <x:c r="O106" s="10" t="n">
        <x:v>1.6544382572174072</x:v>
      </x:c>
      <x:c r="P106" s="22" t="n">
        <x:v>47.02394597418606</x:v>
      </x:c>
      <x:c r="Q106" s="26" t="str">
        <x:v>2009-10-01</x:v>
      </x:c>
      <x:c r="R106" s="26" t="str">
        <x:v>2014-12-31</x:v>
      </x:c>
    </x:row>
    <x:row r="107" ht="22" customHeight="1">
      <x:c r="A107" s="15" t="str">
        <x:f>"02177000"</x:f>
        <x:v>02177000</x:v>
      </x:c>
      <x:c r="B107" s="12" t="n">
        <x:v>42</x:v>
      </x:c>
      <x:c r="C107" s="12" t="n">
        <x:v>1918</x:v>
      </x:c>
      <x:c r="D107" s="10" t="n">
        <x:v>0.7010807884839774</x:v>
      </x:c>
      <x:c r="E107" s="10" t="n">
        <x:v>0.7824120256201839</x:v>
      </x:c>
      <x:c r="F107" s="17" t="n">
        <x:v>287.8038539485791</x:v>
      </x:c>
      <x:c r="G107" s="17" t="n">
        <x:v>124.81120088633993</x:v>
      </x:c>
      <x:c r="H107" s="17" t="n">
        <x:v>11.214445537017726</x:v>
      </x:c>
      <x:c r="I107" s="12" t="n">
        <x:v>256</x:v>
      </x:c>
      <x:c r="J107" s="12" t="n">
        <x:v>2</x:v>
      </x:c>
      <x:c r="K107" s="19" t="n">
        <x:v>0.002713975339231919</x:v>
      </x:c>
      <x:c r="L107" s="19" t="n">
        <x:v>0</x:v>
      </x:c>
      <x:c r="M107" s="19" t="n">
        <x:v>0.0001</x:v>
      </x:c>
      <x:c r="N107" s="12" t="n">
        <x:v>24</x:v>
      </x:c>
      <x:c r="O107" s="10" t="n">
        <x:v>1.192169427871704</x:v>
      </x:c>
      <x:c r="P107" s="22" t="n">
        <x:v>47.17347865086049</x:v>
      </x:c>
      <x:c r="Q107" s="26" t="str">
        <x:v>2009-10-01</x:v>
      </x:c>
      <x:c r="R107" s="26" t="str">
        <x:v>2014-12-31</x:v>
      </x:c>
    </x:row>
    <x:row r="108" ht="22" customHeight="1">
      <x:c r="A108" s="15" t="str">
        <x:f>"02202600"</x:f>
        <x:v>02202600</x:v>
      </x:c>
      <x:c r="B108" s="12" t="n">
        <x:v>42</x:v>
      </x:c>
      <x:c r="C108" s="12" t="n">
        <x:v>1911</x:v>
      </x:c>
      <x:c r="D108" s="10" t="n">
        <x:v>0.9509147794858227</x:v>
      </x:c>
      <x:c r="E108" s="10" t="n">
        <x:v>0.9383234693703822</x:v>
      </x:c>
      <x:c r="F108" s="17" t="n">
        <x:v>64.74375079370617</x:v>
      </x:c>
      <x:c r="G108" s="17" t="n">
        <x:v>27.894721129217427</x:v>
      </x:c>
      <x:c r="H108" s="17" t="n">
        <x:v>6.4981987231132905</x:v>
      </x:c>
      <x:c r="I108" s="12" t="n">
        <x:v>256</x:v>
      </x:c>
      <x:c r="J108" s="12" t="n">
        <x:v>2</x:v>
      </x:c>
      <x:c r="K108" s="19" t="n">
        <x:v>0.002713975339231919</x:v>
      </x:c>
      <x:c r="L108" s="19" t="n">
        <x:v>0</x:v>
      </x:c>
      <x:c r="M108" s="19" t="n">
        <x:v>0.0001</x:v>
      </x:c>
      <x:c r="N108" s="12" t="n">
        <x:v>26</x:v>
      </x:c>
      <x:c r="O108" s="10" t="n">
        <x:v>0.031119568273425102</x:v>
      </x:c>
      <x:c r="P108" s="22" t="n">
        <x:v>47.17327455896884</x:v>
      </x:c>
      <x:c r="Q108" s="26" t="str">
        <x:v>2009-10-08</x:v>
      </x:c>
      <x:c r="R108" s="26" t="str">
        <x:v>2014-12-31</x:v>
      </x:c>
    </x:row>
    <x:row r="109" ht="22" customHeight="1">
      <x:c r="A109" s="15" t="str">
        <x:f>"02212600"</x:f>
        <x:v>02212600</x:v>
      </x:c>
      <x:c r="B109" s="12" t="n">
        <x:v>42</x:v>
      </x:c>
      <x:c r="C109" s="12" t="n">
        <x:v>1918</x:v>
      </x:c>
      <x:c r="D109" s="10" t="n">
        <x:v>0.3630887600659981</x:v>
      </x:c>
      <x:c r="E109" s="10" t="n">
        <x:v>0.42605008540926403</x:v>
      </x:c>
      <x:c r="F109" s="17" t="n">
        <x:v>120.12873814979469</x:v>
      </x:c>
      <x:c r="G109" s="17" t="n">
        <x:v>31.944769045584664</x:v>
      </x:c>
      <x:c r="H109" s="17" t="n">
        <x:v>-5.247571934029589</x:v>
      </x:c>
      <x:c r="I109" s="12" t="n">
        <x:v>256</x:v>
      </x:c>
      <x:c r="J109" s="12" t="n">
        <x:v>2</x:v>
      </x:c>
      <x:c r="K109" s="19" t="n">
        <x:v>0.002713975339231919</x:v>
      </x:c>
      <x:c r="L109" s="19" t="n">
        <x:v>0</x:v>
      </x:c>
      <x:c r="M109" s="19" t="n">
        <x:v>0.0001</x:v>
      </x:c>
      <x:c r="N109" s="12" t="n">
        <x:v>22</x:v>
      </x:c>
      <x:c r="O109" s="10" t="n">
        <x:v>0.36476847529411316</x:v>
      </x:c>
      <x:c r="P109" s="22" t="n">
        <x:v>47.17672626208514</x:v>
      </x:c>
      <x:c r="Q109" s="26" t="str">
        <x:v>2009-10-01</x:v>
      </x:c>
      <x:c r="R109" s="26" t="str">
        <x:v>2014-12-31</x:v>
      </x:c>
    </x:row>
    <x:row r="110" ht="22" customHeight="1">
      <x:c r="A110" s="15" t="str">
        <x:f>"02221525"</x:f>
        <x:v>02221525</x:v>
      </x:c>
      <x:c r="B110" s="12" t="n">
        <x:v>42</x:v>
      </x:c>
      <x:c r="C110" s="12" t="n">
        <x:v>1918</x:v>
      </x:c>
      <x:c r="D110" s="10" t="n">
        <x:v>0.5184763493194978</x:v>
      </x:c>
      <x:c r="E110" s="10" t="n">
        <x:v>0.7459650059030438</x:v>
      </x:c>
      <x:c r="F110" s="17" t="n">
        <x:v>191.04003275126908</x:v>
      </x:c>
      <x:c r="G110" s="17" t="n">
        <x:v>55.15548757601668</x:v>
      </x:c>
      <x:c r="H110" s="17" t="n">
        <x:v>7.536400140437958</x:v>
      </x:c>
      <x:c r="I110" s="12" t="n">
        <x:v>256</x:v>
      </x:c>
      <x:c r="J110" s="12" t="n">
        <x:v>2</x:v>
      </x:c>
      <x:c r="K110" s="19" t="n">
        <x:v>0.002713975339231919</x:v>
      </x:c>
      <x:c r="L110" s="19" t="n">
        <x:v>0</x:v>
      </x:c>
      <x:c r="M110" s="19" t="n">
        <x:v>0.0001</x:v>
      </x:c>
      <x:c r="N110" s="12" t="n">
        <x:v>21</x:v>
      </x:c>
      <x:c r="O110" s="10" t="n">
        <x:v>0.13623280823230743</x:v>
      </x:c>
      <x:c r="P110" s="22" t="n">
        <x:v>47.171413225121796</x:v>
      </x:c>
      <x:c r="Q110" s="26" t="str">
        <x:v>2009-10-01</x:v>
      </x:c>
      <x:c r="R110" s="26" t="str">
        <x:v>2014-12-31</x:v>
      </x:c>
    </x:row>
    <x:row r="111" ht="22" customHeight="1">
      <x:c r="A111" s="15" t="str">
        <x:f>"02231000"</x:f>
        <x:v>02231000</x:v>
      </x:c>
      <x:c r="B111" s="12" t="n">
        <x:v>42</x:v>
      </x:c>
      <x:c r="C111" s="12" t="n">
        <x:v>1918</x:v>
      </x:c>
      <x:c r="D111" s="10" t="n">
        <x:v>0.8268332341699024</x:v>
      </x:c>
      <x:c r="E111" s="10" t="n">
        <x:v>0.7227048995269479</x:v>
      </x:c>
      <x:c r="F111" s="17" t="n">
        <x:v>675.1675641432038</x:v>
      </x:c>
      <x:c r="G111" s="17" t="n">
        <x:v>126.79623868289885</x:v>
      </x:c>
      <x:c r="H111" s="17" t="n">
        <x:v>24.090315690406673</x:v>
      </x:c>
      <x:c r="I111" s="12" t="n">
        <x:v>256</x:v>
      </x:c>
      <x:c r="J111" s="12" t="n">
        <x:v>2</x:v>
      </x:c>
      <x:c r="K111" s="19" t="n">
        <x:v>0.002713975339231919</x:v>
      </x:c>
      <x:c r="L111" s="19" t="n">
        <x:v>0</x:v>
      </x:c>
      <x:c r="M111" s="19" t="n">
        <x:v>0.0001</x:v>
      </x:c>
      <x:c r="N111" s="12" t="n">
        <x:v>9</x:v>
      </x:c>
      <x:c r="O111" s="10" t="n">
        <x:v>0.10965007543563843</x:v>
      </x:c>
      <x:c r="P111" s="22" t="n">
        <x:v>47.002480519004166</x:v>
      </x:c>
      <x:c r="Q111" s="26" t="str">
        <x:v>2009-10-01</x:v>
      </x:c>
      <x:c r="R111" s="26" t="str">
        <x:v>2014-12-31</x:v>
      </x:c>
    </x:row>
    <x:row r="112" ht="22" customHeight="1">
      <x:c r="A112" s="15" t="str">
        <x:f>"02231342"</x:f>
        <x:v>02231342</x:v>
      </x:c>
      <x:c r="B112" s="12" t="n">
        <x:v>42</x:v>
      </x:c>
      <x:c r="C112" s="12" t="n">
        <x:v>1918</x:v>
      </x:c>
      <x:c r="D112" s="10" t="n">
        <x:v>0.8878020667693897</x:v>
      </x:c>
      <x:c r="E112" s="10" t="n">
        <x:v>0.9198356367409382</x:v>
      </x:c>
      <x:c r="F112" s="17" t="n">
        <x:v>22.52683058298542</x:v>
      </x:c>
      <x:c r="G112" s="17" t="n">
        <x:v>8.811077838368352</x:v>
      </x:c>
      <x:c r="H112" s="17" t="n">
        <x:v>1.8812404826332119</x:v>
      </x:c>
      <x:c r="I112" s="12" t="n">
        <x:v>256</x:v>
      </x:c>
      <x:c r="J112" s="12" t="n">
        <x:v>2</x:v>
      </x:c>
      <x:c r="K112" s="19" t="n">
        <x:v>0.002713975339231919</x:v>
      </x:c>
      <x:c r="L112" s="19" t="n">
        <x:v>0</x:v>
      </x:c>
      <x:c r="M112" s="19" t="n">
        <x:v>0.0001</x:v>
      </x:c>
      <x:c r="N112" s="12" t="n">
        <x:v>15</x:v>
      </x:c>
      <x:c r="O112" s="10" t="n">
        <x:v>0.28241780400276184</x:v>
      </x:c>
      <x:c r="P112" s="22" t="n">
        <x:v>47.06520012579858</x:v>
      </x:c>
      <x:c r="Q112" s="26" t="str">
        <x:v>2009-10-01</x:v>
      </x:c>
      <x:c r="R112" s="26" t="str">
        <x:v>2014-12-31</x:v>
      </x:c>
    </x:row>
    <x:row r="113" ht="22" customHeight="1">
      <x:c r="A113" s="15" t="str">
        <x:f>"02245500"</x:f>
        <x:v>02245500</x:v>
      </x:c>
      <x:c r="B113" s="12" t="n">
        <x:v>42</x:v>
      </x:c>
      <x:c r="C113" s="12" t="n">
        <x:v>1918</x:v>
      </x:c>
      <x:c r="D113" s="10" t="n">
        <x:v>0.685172038172311</x:v>
      </x:c>
      <x:c r="E113" s="10" t="n">
        <x:v>0.7501363288317571</x:v>
      </x:c>
      <x:c r="F113" s="17" t="n">
        <x:v>166.2548301007664</x:v>
      </x:c>
      <x:c r="G113" s="17" t="n">
        <x:v>46.52305273523254</x:v>
      </x:c>
      <x:c r="H113" s="17" t="n">
        <x:v>-11.609153042740354</x:v>
      </x:c>
      <x:c r="I113" s="12" t="n">
        <x:v>256</x:v>
      </x:c>
      <x:c r="J113" s="12" t="n">
        <x:v>2</x:v>
      </x:c>
      <x:c r="K113" s="19" t="n">
        <x:v>0.002713975339231919</x:v>
      </x:c>
      <x:c r="L113" s="19" t="n">
        <x:v>0</x:v>
      </x:c>
      <x:c r="M113" s="19" t="n">
        <x:v>0.0001</x:v>
      </x:c>
      <x:c r="N113" s="12" t="n">
        <x:v>8</x:v>
      </x:c>
      <x:c r="O113" s="10" t="n">
        <x:v>0.46356797218322754</x:v>
      </x:c>
      <x:c r="P113" s="22" t="n">
        <x:v>47.191961631178856</x:v>
      </x:c>
      <x:c r="Q113" s="26" t="str">
        <x:v>2009-10-01</x:v>
      </x:c>
      <x:c r="R113" s="26" t="str">
        <x:v>2014-12-31</x:v>
      </x:c>
    </x:row>
    <x:row r="114" ht="22" customHeight="1">
      <x:c r="A114" s="15" t="str">
        <x:f>"02246000"</x:f>
        <x:v>02246000</x:v>
      </x:c>
      <x:c r="B114" s="12" t="n">
        <x:v>42</x:v>
      </x:c>
      <x:c r="C114" s="12" t="n">
        <x:v>1918</x:v>
      </x:c>
      <x:c r="D114" s="10" t="n">
        <x:v>0.624611143896292</x:v>
      </x:c>
      <x:c r="E114" s="10" t="n">
        <x:v>0.5213380215051395</x:v>
      </x:c>
      <x:c r="F114" s="17" t="n">
        <x:v>340.32186217473617</x:v>
      </x:c>
      <x:c r="G114" s="17" t="n">
        <x:v>54.77230612927268</x:v>
      </x:c>
      <x:c r="H114" s="17" t="n">
        <x:v>-22.306477727812823</x:v>
      </x:c>
      <x:c r="I114" s="12" t="n">
        <x:v>256</x:v>
      </x:c>
      <x:c r="J114" s="12" t="n">
        <x:v>2</x:v>
      </x:c>
      <x:c r="K114" s="19" t="n">
        <x:v>0.002713975339231919</x:v>
      </x:c>
      <x:c r="L114" s="19" t="n">
        <x:v>0</x:v>
      </x:c>
      <x:c r="M114" s="19" t="n">
        <x:v>0.0001</x:v>
      </x:c>
      <x:c r="N114" s="12" t="n">
        <x:v>2</x:v>
      </x:c>
      <x:c r="O114" s="10" t="n">
        <x:v>0.2841428816318512</x:v>
      </x:c>
      <x:c r="P114" s="22" t="n">
        <x:v>47.156240557320416</x:v>
      </x:c>
      <x:c r="Q114" s="26" t="str">
        <x:v>2009-10-01</x:v>
      </x:c>
      <x:c r="R114" s="26" t="str">
        <x:v>2014-12-31</x:v>
      </x:c>
    </x:row>
    <x:row r="115" ht="22" customHeight="1">
      <x:c r="A115" s="15" t="str">
        <x:f>"02296500"</x:f>
        <x:v>02296500</x:v>
      </x:c>
      <x:c r="B115" s="12" t="n">
        <x:v>42</x:v>
      </x:c>
      <x:c r="C115" s="12" t="n">
        <x:v>1918</x:v>
      </x:c>
      <x:c r="D115" s="10" t="n">
        <x:v>0.9736488479383801</x:v>
      </x:c>
      <x:c r="E115" s="10" t="n">
        <x:v>0.9433700816165145</x:v>
      </x:c>
      <x:c r="F115" s="17" t="n">
        <x:v>59.582043023250144</x:v>
      </x:c>
      <x:c r="G115" s="17" t="n">
        <x:v>30.45987265691345</x:v>
      </x:c>
      <x:c r="H115" s="17" t="n">
        <x:v>11.587970366642335</x:v>
      </x:c>
      <x:c r="I115" s="12" t="n">
        <x:v>256</x:v>
      </x:c>
      <x:c r="J115" s="12" t="n">
        <x:v>2</x:v>
      </x:c>
      <x:c r="K115" s="19" t="n">
        <x:v>0.002713975339231919</x:v>
      </x:c>
      <x:c r="L115" s="19" t="n">
        <x:v>0</x:v>
      </x:c>
      <x:c r="M115" s="19" t="n">
        <x:v>0.0001</x:v>
      </x:c>
      <x:c r="N115" s="12" t="n">
        <x:v>18</x:v>
      </x:c>
      <x:c r="O115" s="10" t="n">
        <x:v>0.018991529941558838</x:v>
      </x:c>
      <x:c r="P115" s="22" t="n">
        <x:v>46.90528124850243</x:v>
      </x:c>
      <x:c r="Q115" s="26" t="str">
        <x:v>2009-10-01</x:v>
      </x:c>
      <x:c r="R115" s="26" t="str">
        <x:v>2014-12-31</x:v>
      </x:c>
    </x:row>
    <x:row r="116" ht="22" customHeight="1">
      <x:c r="A116" s="15" t="str">
        <x:f>"02297155"</x:f>
        <x:v>02297155</x:v>
      </x:c>
      <x:c r="B116" s="12" t="n">
        <x:v>42</x:v>
      </x:c>
      <x:c r="C116" s="12" t="n">
        <x:v>1918</x:v>
      </x:c>
      <x:c r="D116" s="10" t="n">
        <x:v>0.8484899349463495</x:v>
      </x:c>
      <x:c r="E116" s="10" t="n">
        <x:v>0.8651235727527238</x:v>
      </x:c>
      <x:c r="F116" s="17" t="n">
        <x:v>22.01313915009912</x:v>
      </x:c>
      <x:c r="G116" s="17" t="n">
        <x:v>9.536061260082944</x:v>
      </x:c>
      <x:c r="H116" s="17" t="n">
        <x:v>-3.0908467982414427</x:v>
      </x:c>
      <x:c r="I116" s="12" t="n">
        <x:v>256</x:v>
      </x:c>
      <x:c r="J116" s="12" t="n">
        <x:v>2</x:v>
      </x:c>
      <x:c r="K116" s="19" t="n">
        <x:v>0.002713975339231919</x:v>
      </x:c>
      <x:c r="L116" s="19" t="n">
        <x:v>0</x:v>
      </x:c>
      <x:c r="M116" s="19" t="n">
        <x:v>0.0001</x:v>
      </x:c>
      <x:c r="N116" s="12" t="n">
        <x:v>5</x:v>
      </x:c>
      <x:c r="O116" s="10" t="n">
        <x:v>0.18740032613277435</x:v>
      </x:c>
      <x:c r="P116" s="22" t="n">
        <x:v>47.08013105764985</x:v>
      </x:c>
      <x:c r="Q116" s="26" t="str">
        <x:v>2009-10-01</x:v>
      </x:c>
      <x:c r="R116" s="26" t="str">
        <x:v>2014-12-31</x:v>
      </x:c>
    </x:row>
    <x:row r="117" ht="22" customHeight="1">
      <x:c r="A117" s="15" t="str">
        <x:f>"02297310"</x:f>
        <x:v>02297310</x:v>
      </x:c>
      <x:c r="B117" s="12" t="n">
        <x:v>42</x:v>
      </x:c>
      <x:c r="C117" s="12" t="n">
        <x:v>1918</x:v>
      </x:c>
      <x:c r="D117" s="10" t="n">
        <x:v>0.9181969157230607</x:v>
      </x:c>
      <x:c r="E117" s="10" t="n">
        <x:v>0.9372832404817605</x:v>
      </x:c>
      <x:c r="F117" s="17" t="n">
        <x:v>61.92978154623918</x:v>
      </x:c>
      <x:c r="G117" s="17" t="n">
        <x:v>29.869710456429612</x:v>
      </x:c>
      <x:c r="H117" s="17" t="n">
        <x:v>5.531378607605839</x:v>
      </x:c>
      <x:c r="I117" s="12" t="n">
        <x:v>256</x:v>
      </x:c>
      <x:c r="J117" s="12" t="n">
        <x:v>2</x:v>
      </x:c>
      <x:c r="K117" s="19" t="n">
        <x:v>0.002713975339231919</x:v>
      </x:c>
      <x:c r="L117" s="19" t="n">
        <x:v>0</x:v>
      </x:c>
      <x:c r="M117" s="19" t="n">
        <x:v>0.0001</x:v>
      </x:c>
      <x:c r="N117" s="12" t="n">
        <x:v>20</x:v>
      </x:c>
      <x:c r="O117" s="10" t="n">
        <x:v>0.02779446169734001</x:v>
      </x:c>
      <x:c r="P117" s="22" t="n">
        <x:v>47.08884658012539</x:v>
      </x:c>
      <x:c r="Q117" s="26" t="str">
        <x:v>2009-10-01</x:v>
      </x:c>
      <x:c r="R117" s="26" t="str">
        <x:v>2014-12-31</x:v>
      </x:c>
    </x:row>
    <x:row r="118" ht="22" customHeight="1">
      <x:c r="A118" s="15" t="str">
        <x:f>"02298123"</x:f>
        <x:v>02298123</x:v>
      </x:c>
      <x:c r="B118" s="12" t="n">
        <x:v>42</x:v>
      </x:c>
      <x:c r="C118" s="12" t="n">
        <x:v>1918</x:v>
      </x:c>
      <x:c r="D118" s="10" t="n">
        <x:v>0.9779940492577482</x:v>
      </x:c>
      <x:c r="E118" s="10" t="n">
        <x:v>0.9419968742919925</x:v>
      </x:c>
      <x:c r="F118" s="17" t="n">
        <x:v>53.22976143839298</x:v>
      </x:c>
      <x:c r="G118" s="17" t="n">
        <x:v>28.584065095672575</x:v>
      </x:c>
      <x:c r="H118" s="17" t="n">
        <x:v>12.552549296923878</x:v>
      </x:c>
      <x:c r="I118" s="12" t="n">
        <x:v>256</x:v>
      </x:c>
      <x:c r="J118" s="12" t="n">
        <x:v>2</x:v>
      </x:c>
      <x:c r="K118" s="19" t="n">
        <x:v>0.002713975339231919</x:v>
      </x:c>
      <x:c r="L118" s="19" t="n">
        <x:v>0</x:v>
      </x:c>
      <x:c r="M118" s="19" t="n">
        <x:v>0.0001</x:v>
      </x:c>
      <x:c r="N118" s="12" t="n">
        <x:v>9</x:v>
      </x:c>
      <x:c r="O118" s="10" t="n">
        <x:v>0.03049648180603981</x:v>
      </x:c>
      <x:c r="P118" s="22" t="n">
        <x:v>47.030029740184546</x:v>
      </x:c>
      <x:c r="Q118" s="26" t="str">
        <x:v>2009-10-01</x:v>
      </x:c>
      <x:c r="R118" s="26" t="str">
        <x:v>2014-12-31</x:v>
      </x:c>
    </x:row>
    <x:row r="119" ht="22" customHeight="1">
      <x:c r="A119" s="15" t="str">
        <x:f>"02298608"</x:f>
        <x:v>02298608</x:v>
      </x:c>
      <x:c r="B119" s="12" t="n">
        <x:v>42</x:v>
      </x:c>
      <x:c r="C119" s="12" t="n">
        <x:v>1918</x:v>
      </x:c>
      <x:c r="D119" s="10" t="n">
        <x:v>0.9105539923562052</x:v>
      </x:c>
      <x:c r="E119" s="10" t="n">
        <x:v>0.9492775369607022</x:v>
      </x:c>
      <x:c r="F119" s="17" t="n">
        <x:v>74.39224649218187</x:v>
      </x:c>
      <x:c r="G119" s="17" t="n">
        <x:v>30.813279069043272</x:v>
      </x:c>
      <x:c r="H119" s="17" t="n">
        <x:v>0.9998494631725758</x:v>
      </x:c>
      <x:c r="I119" s="12" t="n">
        <x:v>256</x:v>
      </x:c>
      <x:c r="J119" s="12" t="n">
        <x:v>2</x:v>
      </x:c>
      <x:c r="K119" s="19" t="n">
        <x:v>0.002713975339231919</x:v>
      </x:c>
      <x:c r="L119" s="19" t="n">
        <x:v>0</x:v>
      </x:c>
      <x:c r="M119" s="19" t="n">
        <x:v>0.0001</x:v>
      </x:c>
      <x:c r="N119" s="12" t="n">
        <x:v>9</x:v>
      </x:c>
      <x:c r="O119" s="10" t="n">
        <x:v>0.03822638466954231</x:v>
      </x:c>
      <x:c r="P119" s="22" t="n">
        <x:v>47.23216846399009</x:v>
      </x:c>
      <x:c r="Q119" s="26" t="str">
        <x:v>2009-10-01</x:v>
      </x:c>
      <x:c r="R119" s="26" t="str">
        <x:v>2014-12-31</x:v>
      </x:c>
    </x:row>
    <x:row r="120" ht="22" customHeight="1">
      <x:c r="A120" s="15" t="str">
        <x:f>"02299950"</x:f>
        <x:v>02299950</x:v>
      </x:c>
      <x:c r="B120" s="12" t="n">
        <x:v>42</x:v>
      </x:c>
      <x:c r="C120" s="12" t="n">
        <x:v>1918</x:v>
      </x:c>
      <x:c r="D120" s="10" t="n">
        <x:v>0.7844306633749374</x:v>
      </x:c>
      <x:c r="E120" s="10" t="n">
        <x:v>0.8263849802847723</x:v>
      </x:c>
      <x:c r="F120" s="17" t="n">
        <x:v>79.63433628500826</x:v>
      </x:c>
      <x:c r="G120" s="17" t="n">
        <x:v>35.2955224337414</x:v>
      </x:c>
      <x:c r="H120" s="17" t="n">
        <x:v>8.670695947739313</x:v>
      </x:c>
      <x:c r="I120" s="12" t="n">
        <x:v>256</x:v>
      </x:c>
      <x:c r="J120" s="12" t="n">
        <x:v>2</x:v>
      </x:c>
      <x:c r="K120" s="19" t="n">
        <x:v>0.002713975339231919</x:v>
      </x:c>
      <x:c r="L120" s="19" t="n">
        <x:v>0</x:v>
      </x:c>
      <x:c r="M120" s="19" t="n">
        <x:v>0.0001</x:v>
      </x:c>
      <x:c r="N120" s="12" t="n">
        <x:v>5</x:v>
      </x:c>
      <x:c r="O120" s="10" t="n">
        <x:v>0.26217877864837646</x:v>
      </x:c>
      <x:c r="P120" s="22" t="n">
        <x:v>47.231157045811415</x:v>
      </x:c>
      <x:c r="Q120" s="26" t="str">
        <x:v>2009-10-01</x:v>
      </x:c>
      <x:c r="R120" s="26" t="str">
        <x:v>2014-12-31</x:v>
      </x:c>
    </x:row>
    <x:row r="121" ht="22" customHeight="1">
      <x:c r="A121" s="15" t="str">
        <x:f>"02300700"</x:f>
        <x:v>02300700</x:v>
      </x:c>
      <x:c r="B121" s="12" t="n">
        <x:v>42</x:v>
      </x:c>
      <x:c r="C121" s="12" t="n">
        <x:v>1918</x:v>
      </x:c>
      <x:c r="D121" s="10" t="n">
        <x:v>0.7014843431849399</x:v>
      </x:c>
      <x:c r="E121" s="10" t="n">
        <x:v>0.7829177638458185</x:v>
      </x:c>
      <x:c r="F121" s="17" t="n">
        <x:v>55.30397195093035</x:v>
      </x:c>
      <x:c r="G121" s="17" t="n">
        <x:v>18.805837441729924</x:v>
      </x:c>
      <x:c r="H121" s="17" t="n">
        <x:v>1.9185040015443178</x:v>
      </x:c>
      <x:c r="I121" s="12" t="n">
        <x:v>256</x:v>
      </x:c>
      <x:c r="J121" s="12" t="n">
        <x:v>2</x:v>
      </x:c>
      <x:c r="K121" s="19" t="n">
        <x:v>0.002713975339231919</x:v>
      </x:c>
      <x:c r="L121" s="19" t="n">
        <x:v>0</x:v>
      </x:c>
      <x:c r="M121" s="19" t="n">
        <x:v>0.0001</x:v>
      </x:c>
      <x:c r="N121" s="12" t="n">
        <x:v>12</x:v>
      </x:c>
      <x:c r="O121" s="10" t="n">
        <x:v>0.24070900678634644</x:v>
      </x:c>
      <x:c r="P121" s="22" t="n">
        <x:v>47.31121794693172</x:v>
      </x:c>
      <x:c r="Q121" s="26" t="str">
        <x:v>2009-10-01</x:v>
      </x:c>
      <x:c r="R121" s="26" t="str">
        <x:v>2014-12-31</x:v>
      </x:c>
    </x:row>
    <x:row r="122" ht="22" customHeight="1">
      <x:c r="A122" s="15" t="str">
        <x:f>"02312200"</x:f>
        <x:v>02312200</x:v>
      </x:c>
      <x:c r="B122" s="12" t="n">
        <x:v>42</x:v>
      </x:c>
      <x:c r="C122" s="12" t="n">
        <x:v>1918</x:v>
      </x:c>
      <x:c r="D122" s="10" t="n">
        <x:v>0.9717282407032853</x:v>
      </x:c>
      <x:c r="E122" s="10" t="n">
        <x:v>0.9350908141787116</x:v>
      </x:c>
      <x:c r="F122" s="17" t="n">
        <x:v>7.848721181976473</x:v>
      </x:c>
      <x:c r="G122" s="17" t="n">
        <x:v>3.7952390130647555</x:v>
      </x:c>
      <x:c r="H122" s="17" t="n">
        <x:v>-1.0730019211648592</x:v>
      </x:c>
      <x:c r="I122" s="12" t="n">
        <x:v>256</x:v>
      </x:c>
      <x:c r="J122" s="12" t="n">
        <x:v>2</x:v>
      </x:c>
      <x:c r="K122" s="19" t="n">
        <x:v>0.002713975339231919</x:v>
      </x:c>
      <x:c r="L122" s="19" t="n">
        <x:v>0</x:v>
      </x:c>
      <x:c r="M122" s="19" t="n">
        <x:v>0.0001</x:v>
      </x:c>
      <x:c r="N122" s="12" t="n">
        <x:v>15</x:v>
      </x:c>
      <x:c r="O122" s="10" t="n">
        <x:v>0.004809745587408543</x:v>
      </x:c>
      <x:c r="P122" s="22" t="n">
        <x:v>47.28956342674792</x:v>
      </x:c>
      <x:c r="Q122" s="26" t="str">
        <x:v>2009-10-01</x:v>
      </x:c>
      <x:c r="R122" s="26" t="str">
        <x:v>2014-12-31</x:v>
      </x:c>
    </x:row>
    <x:row r="123" ht="22" customHeight="1">
      <x:c r="A123" s="15" t="str">
        <x:f>"02314500"</x:f>
        <x:v>02314500</x:v>
      </x:c>
      <x:c r="B123" s="12" t="n">
        <x:v>42</x:v>
      </x:c>
      <x:c r="C123" s="12" t="n">
        <x:v>1918</x:v>
      </x:c>
      <x:c r="D123" s="10" t="n">
        <x:v>0.9953596729054066</x:v>
      </x:c>
      <x:c r="E123" s="10" t="n">
        <x:v>0.9819834529639665</x:v>
      </x:c>
      <x:c r="F123" s="17" t="n">
        <x:v>64.71910829755893</x:v>
      </x:c>
      <x:c r="G123" s="17" t="n">
        <x:v>29.059291418932222</x:v>
      </x:c>
      <x:c r="H123" s="17" t="n">
        <x:v>11.473509495989573</x:v>
      </x:c>
      <x:c r="I123" s="12" t="n">
        <x:v>256</x:v>
      </x:c>
      <x:c r="J123" s="12" t="n">
        <x:v>2</x:v>
      </x:c>
      <x:c r="K123" s="19" t="n">
        <x:v>0.002713975339231919</x:v>
      </x:c>
      <x:c r="L123" s="19" t="n">
        <x:v>0</x:v>
      </x:c>
      <x:c r="M123" s="19" t="n">
        <x:v>0.0001</x:v>
      </x:c>
      <x:c r="N123" s="12" t="n">
        <x:v>21</x:v>
      </x:c>
      <x:c r="O123" s="10" t="n">
        <x:v>0.00261170812882483</x:v>
      </x:c>
      <x:c r="P123" s="22" t="n">
        <x:v>47.23335083108395</x:v>
      </x:c>
      <x:c r="Q123" s="26" t="str">
        <x:v>2009-10-01</x:v>
      </x:c>
      <x:c r="R123" s="26" t="str">
        <x:v>2014-12-31</x:v>
      </x:c>
    </x:row>
    <x:row r="124" ht="22" customHeight="1">
      <x:c r="A124" s="15" t="str">
        <x:f>"02315500"</x:f>
        <x:v>02315500</x:v>
      </x:c>
      <x:c r="B124" s="12" t="n">
        <x:v>42</x:v>
      </x:c>
      <x:c r="C124" s="12" t="n">
        <x:v>1918</x:v>
      </x:c>
      <x:c r="D124" s="10" t="n">
        <x:v>0.9716351308919059</x:v>
      </x:c>
      <x:c r="E124" s="10" t="n">
        <x:v>0.9773498641118804</x:v>
      </x:c>
      <x:c r="F124" s="17" t="n">
        <x:v>438.73166044165043</x:v>
      </x:c>
      <x:c r="G124" s="17" t="n">
        <x:v>83.18074936255475</x:v>
      </x:c>
      <x:c r="H124" s="17" t="n">
        <x:v>-5.534546386120956</x:v>
      </x:c>
      <x:c r="I124" s="12" t="n">
        <x:v>256</x:v>
      </x:c>
      <x:c r="J124" s="12" t="n">
        <x:v>2</x:v>
      </x:c>
      <x:c r="K124" s="19" t="n">
        <x:v>0.002713975339231919</x:v>
      </x:c>
      <x:c r="L124" s="19" t="n">
        <x:v>0</x:v>
      </x:c>
      <x:c r="M124" s="19" t="n">
        <x:v>0.0001</x:v>
      </x:c>
      <x:c r="N124" s="12" t="n">
        <x:v>21</x:v>
      </x:c>
      <x:c r="O124" s="10" t="n">
        <x:v>0.003515278920531273</x:v>
      </x:c>
      <x:c r="P124" s="22" t="n">
        <x:v>47.258386535570025</x:v>
      </x:c>
      <x:c r="Q124" s="26" t="str">
        <x:v>2009-10-01</x:v>
      </x:c>
      <x:c r="R124" s="26" t="str">
        <x:v>2014-12-31</x:v>
      </x:c>
    </x:row>
    <x:row r="125" ht="22" customHeight="1">
      <x:c r="A125" s="15" t="str">
        <x:f>"02324400"</x:f>
        <x:v>02324400</x:v>
      </x:c>
      <x:c r="B125" s="12" t="n">
        <x:v>42</x:v>
      </x:c>
      <x:c r="C125" s="12" t="n">
        <x:v>1918</x:v>
      </x:c>
      <x:c r="D125" s="10" t="n">
        <x:v>0.9225018493821558</x:v>
      </x:c>
      <x:c r="E125" s="10" t="n">
        <x:v>0.9592954724363031</x:v>
      </x:c>
      <x:c r="F125" s="17" t="n">
        <x:v>22.66057970175399</x:v>
      </x:c>
      <x:c r="G125" s="17" t="n">
        <x:v>7.116011842177268</x:v>
      </x:c>
      <x:c r="H125" s="17" t="n">
        <x:v>0.271884083818561</x:v>
      </x:c>
      <x:c r="I125" s="12" t="n">
        <x:v>256</x:v>
      </x:c>
      <x:c r="J125" s="12" t="n">
        <x:v>2</x:v>
      </x:c>
      <x:c r="K125" s="19" t="n">
        <x:v>0.002713975339231919</x:v>
      </x:c>
      <x:c r="L125" s="19" t="n">
        <x:v>0</x:v>
      </x:c>
      <x:c r="M125" s="19" t="n">
        <x:v>0.0001</x:v>
      </x:c>
      <x:c r="N125" s="12" t="n">
        <x:v>21</x:v>
      </x:c>
      <x:c r="O125" s="10" t="n">
        <x:v>0.04400769993662834</x:v>
      </x:c>
      <x:c r="P125" s="22" t="n">
        <x:v>47.26183099951595</x:v>
      </x:c>
      <x:c r="Q125" s="26" t="str">
        <x:v>2009-10-01</x:v>
      </x:c>
      <x:c r="R125" s="26" t="str">
        <x:v>2014-12-31</x:v>
      </x:c>
    </x:row>
    <x:row r="126" ht="22" customHeight="1">
      <x:c r="A126" s="15" t="str">
        <x:f>"02327100"</x:f>
        <x:v>02327100</x:v>
      </x:c>
      <x:c r="B126" s="12" t="n">
        <x:v>42</x:v>
      </x:c>
      <x:c r="C126" s="12" t="n">
        <x:v>1918</x:v>
      </x:c>
      <x:c r="D126" s="10" t="n">
        <x:v>0.732750527290475</x:v>
      </x:c>
      <x:c r="E126" s="10" t="n">
        <x:v>0.7364190526729433</x:v>
      </x:c>
      <x:c r="F126" s="17" t="n">
        <x:v>244.9830949811727</x:v>
      </x:c>
      <x:c r="G126" s="17" t="n">
        <x:v>46.9049216289927</x:v>
      </x:c>
      <x:c r="H126" s="17" t="n">
        <x:v>5.365166435115747</x:v>
      </x:c>
      <x:c r="I126" s="12" t="n">
        <x:v>256</x:v>
      </x:c>
      <x:c r="J126" s="12" t="n">
        <x:v>2</x:v>
      </x:c>
      <x:c r="K126" s="19" t="n">
        <x:v>0.002713975339231919</x:v>
      </x:c>
      <x:c r="L126" s="19" t="n">
        <x:v>0</x:v>
      </x:c>
      <x:c r="M126" s="19" t="n">
        <x:v>0.0001</x:v>
      </x:c>
      <x:c r="N126" s="12" t="n">
        <x:v>2</x:v>
      </x:c>
      <x:c r="O126" s="10" t="n">
        <x:v>0.04517439380288124</x:v>
      </x:c>
      <x:c r="P126" s="22" t="n">
        <x:v>47.36024012323469</x:v>
      </x:c>
      <x:c r="Q126" s="26" t="str">
        <x:v>2009-10-01</x:v>
      </x:c>
      <x:c r="R126" s="26" t="str">
        <x:v>2014-12-31</x:v>
      </x:c>
    </x:row>
    <x:row r="127" ht="22" customHeight="1">
      <x:c r="A127" s="15" t="str">
        <x:f>"02349900"</x:f>
        <x:v>02349900</x:v>
      </x:c>
      <x:c r="B127" s="12" t="n">
        <x:v>42</x:v>
      </x:c>
      <x:c r="C127" s="12" t="n">
        <x:v>1918</x:v>
      </x:c>
      <x:c r="D127" s="10" t="n">
        <x:v>0.627742695356271</x:v>
      </x:c>
      <x:c r="E127" s="10" t="n">
        <x:v>0.7551565526834256</x:v>
      </x:c>
      <x:c r="F127" s="17" t="n">
        <x:v>48.41406676313681</x:v>
      </x:c>
      <x:c r="G127" s="17" t="n">
        <x:v>14.360044665755995</x:v>
      </x:c>
      <x:c r="H127" s="17" t="n">
        <x:v>0.26478611029197086</x:v>
      </x:c>
      <x:c r="I127" s="12" t="n">
        <x:v>256</x:v>
      </x:c>
      <x:c r="J127" s="12" t="n">
        <x:v>2</x:v>
      </x:c>
      <x:c r="K127" s="19" t="n">
        <x:v>0.002713975339231919</x:v>
      </x:c>
      <x:c r="L127" s="19" t="n">
        <x:v>0</x:v>
      </x:c>
      <x:c r="M127" s="19" t="n">
        <x:v>0.0001</x:v>
      </x:c>
      <x:c r="N127" s="12" t="n">
        <x:v>13</x:v>
      </x:c>
      <x:c r="O127" s="10" t="n">
        <x:v>0.3894445300102234</x:v>
      </x:c>
      <x:c r="P127" s="22" t="n">
        <x:v>47.35744951851666</x:v>
      </x:c>
      <x:c r="Q127" s="26" t="str">
        <x:v>2009-10-01</x:v>
      </x:c>
      <x:c r="R127" s="26" t="str">
        <x:v>2014-12-31</x:v>
      </x:c>
    </x:row>
    <x:row r="128" ht="22" customHeight="1">
      <x:c r="A128" s="15" t="str">
        <x:f>"02361000"</x:f>
        <x:v>02361000</x:v>
      </x:c>
      <x:c r="B128" s="12" t="n">
        <x:v>42</x:v>
      </x:c>
      <x:c r="C128" s="12" t="n">
        <x:v>1918</x:v>
      </x:c>
      <x:c r="D128" s="10" t="n">
        <x:v>0.8536372657449042</x:v>
      </x:c>
      <x:c r="E128" s="10" t="n">
        <x:v>0.8381782106755477</x:v>
      </x:c>
      <x:c r="F128" s="17" t="n">
        <x:v>540.1210244124135</x:v>
      </x:c>
      <x:c r="G128" s="17" t="n">
        <x:v>182.87916945255475</x:v>
      </x:c>
      <x:c r="H128" s="17" t="n">
        <x:v>7.422280246089674</x:v>
      </x:c>
      <x:c r="I128" s="12" t="n">
        <x:v>256</x:v>
      </x:c>
      <x:c r="J128" s="12" t="n">
        <x:v>2</x:v>
      </x:c>
      <x:c r="K128" s="19" t="n">
        <x:v>0.002713975339231919</x:v>
      </x:c>
      <x:c r="L128" s="19" t="n">
        <x:v>0</x:v>
      </x:c>
      <x:c r="M128" s="19" t="n">
        <x:v>0.0001</x:v>
      </x:c>
      <x:c r="N128" s="12" t="n">
        <x:v>26</x:v>
      </x:c>
      <x:c r="O128" s="10" t="n">
        <x:v>0.07330571115016937</x:v>
      </x:c>
      <x:c r="P128" s="22" t="n">
        <x:v>47.31502181943506</x:v>
      </x:c>
      <x:c r="Q128" s="26" t="str">
        <x:v>2009-10-01</x:v>
      </x:c>
      <x:c r="R128" s="26" t="str">
        <x:v>2014-12-31</x:v>
      </x:c>
    </x:row>
    <x:row r="129" ht="22" customHeight="1">
      <x:c r="A129" s="15" t="str">
        <x:f>"02369800"</x:f>
        <x:v>02369800</x:v>
      </x:c>
      <x:c r="B129" s="12" t="n">
        <x:v>42</x:v>
      </x:c>
      <x:c r="C129" s="12" t="n">
        <x:v>1918</x:v>
      </x:c>
      <x:c r="D129" s="10" t="n">
        <x:v>0.7433815820089911</x:v>
      </x:c>
      <x:c r="E129" s="10" t="n">
        <x:v>0.8420251190709456</x:v>
      </x:c>
      <x:c r="F129" s="17" t="n">
        <x:v>86.23333293138704</x:v>
      </x:c>
      <x:c r="G129" s="17" t="n">
        <x:v>33.287676000265904</x:v>
      </x:c>
      <x:c r="H129" s="17" t="n">
        <x:v>1.4864660007768502</x:v>
      </x:c>
      <x:c r="I129" s="12" t="n">
        <x:v>256</x:v>
      </x:c>
      <x:c r="J129" s="12" t="n">
        <x:v>2</x:v>
      </x:c>
      <x:c r="K129" s="19" t="n">
        <x:v>0.002713975339231919</x:v>
      </x:c>
      <x:c r="L129" s="19" t="n">
        <x:v>0</x:v>
      </x:c>
      <x:c r="M129" s="19" t="n">
        <x:v>0.0001</x:v>
      </x:c>
      <x:c r="N129" s="12" t="n">
        <x:v>1</x:v>
      </x:c>
      <x:c r="O129" s="10" t="n">
        <x:v>0.1412634253501892</x:v>
      </x:c>
      <x:c r="P129" s="22" t="n">
        <x:v>47.095959570258856</x:v>
      </x:c>
      <x:c r="Q129" s="26" t="str">
        <x:v>2009-10-01</x:v>
      </x:c>
      <x:c r="R129" s="26" t="str">
        <x:v>2014-12-31</x:v>
      </x:c>
    </x:row>
    <x:row r="130" ht="22" customHeight="1">
      <x:c r="A130" s="15" t="str">
        <x:f>"02371500"</x:f>
        <x:v>02371500</x:v>
      </x:c>
      <x:c r="B130" s="12" t="n">
        <x:v>42</x:v>
      </x:c>
      <x:c r="C130" s="12" t="n">
        <x:v>1918</x:v>
      </x:c>
      <x:c r="D130" s="10" t="n">
        <x:v>0.9426333495211648</x:v>
      </x:c>
      <x:c r="E130" s="10" t="n">
        <x:v>0.9411760417545374</x:v>
      </x:c>
      <x:c r="F130" s="17" t="n">
        <x:v>227.44913022028717</x:v>
      </x:c>
      <x:c r="G130" s="17" t="n">
        <x:v>99.09758993628779</x:v>
      </x:c>
      <x:c r="H130" s="17" t="n">
        <x:v>2.757363627841504</x:v>
      </x:c>
      <x:c r="I130" s="12" t="n">
        <x:v>256</x:v>
      </x:c>
      <x:c r="J130" s="12" t="n">
        <x:v>2</x:v>
      </x:c>
      <x:c r="K130" s="19" t="n">
        <x:v>0.002713975339231919</x:v>
      </x:c>
      <x:c r="L130" s="19" t="n">
        <x:v>0</x:v>
      </x:c>
      <x:c r="M130" s="19" t="n">
        <x:v>0.0001</x:v>
      </x:c>
      <x:c r="N130" s="12" t="n">
        <x:v>30</x:v>
      </x:c>
      <x:c r="O130" s="10" t="n">
        <x:v>0.04436209052801132</x:v>
      </x:c>
      <x:c r="P130" s="22" t="n">
        <x:v>46.824820646084845</x:v>
      </x:c>
      <x:c r="Q130" s="26" t="str">
        <x:v>2009-10-01</x:v>
      </x:c>
      <x:c r="R130" s="26" t="str">
        <x:v>2014-12-31</x:v>
      </x:c>
    </x:row>
    <x:row r="131" ht="22" customHeight="1">
      <x:c r="A131" s="15" t="str">
        <x:f>"02372250"</x:f>
        <x:v>02372250</x:v>
      </x:c>
      <x:c r="B131" s="12" t="n">
        <x:v>42</x:v>
      </x:c>
      <x:c r="C131" s="12" t="n">
        <x:v>1918</x:v>
      </x:c>
      <x:c r="D131" s="10" t="n">
        <x:v>0.9276016978721131</x:v>
      </x:c>
      <x:c r="E131" s="10" t="n">
        <x:v>0.9372004383848573</x:v>
      </x:c>
      <x:c r="F131" s="17" t="n">
        <x:v>255.61415169446062</x:v>
      </x:c>
      <x:c r="G131" s="17" t="n">
        <x:v>110.10015905318039</x:v>
      </x:c>
      <x:c r="H131" s="17" t="n">
        <x:v>24.42265159645463</x:v>
      </x:c>
      <x:c r="I131" s="12" t="n">
        <x:v>256</x:v>
      </x:c>
      <x:c r="J131" s="12" t="n">
        <x:v>2</x:v>
      </x:c>
      <x:c r="K131" s="19" t="n">
        <x:v>0.002713975339231919</x:v>
      </x:c>
      <x:c r="L131" s="19" t="n">
        <x:v>0</x:v>
      </x:c>
      <x:c r="M131" s="19" t="n">
        <x:v>0.0001</x:v>
      </x:c>
      <x:c r="N131" s="12" t="n">
        <x:v>7</x:v>
      </x:c>
      <x:c r="O131" s="10" t="n">
        <x:v>0.04658820107579231</x:v>
      </x:c>
      <x:c r="P131" s="22" t="n">
        <x:v>46.81807997263968</x:v>
      </x:c>
      <x:c r="Q131" s="26" t="str">
        <x:v>2009-10-01</x:v>
      </x:c>
      <x:c r="R131" s="26" t="str">
        <x:v>2014-12-31</x:v>
      </x:c>
    </x:row>
    <x:row r="132" ht="22" customHeight="1">
      <x:c r="A132" s="15" t="str">
        <x:f>"02374500"</x:f>
        <x:v>02374500</x:v>
      </x:c>
      <x:c r="B132" s="12" t="n">
        <x:v>42</x:v>
      </x:c>
      <x:c r="C132" s="12" t="n">
        <x:v>1918</x:v>
      </x:c>
      <x:c r="D132" s="10" t="n">
        <x:v>0.6954405556631942</x:v>
      </x:c>
      <x:c r="E132" s="10" t="n">
        <x:v>0.7865199561968748</x:v>
      </x:c>
      <x:c r="F132" s="17" t="n">
        <x:v>183.14277934934918</x:v>
      </x:c>
      <x:c r="G132" s="17" t="n">
        <x:v>54.17478774353493</x:v>
      </x:c>
      <x:c r="H132" s="17" t="n">
        <x:v>-13.88708161214807</x:v>
      </x:c>
      <x:c r="I132" s="12" t="n">
        <x:v>256</x:v>
      </x:c>
      <x:c r="J132" s="12" t="n">
        <x:v>2</x:v>
      </x:c>
      <x:c r="K132" s="19" t="n">
        <x:v>0.002713975339231919</x:v>
      </x:c>
      <x:c r="L132" s="19" t="n">
        <x:v>0</x:v>
      </x:c>
      <x:c r="M132" s="19" t="n">
        <x:v>0.0001</x:v>
      </x:c>
      <x:c r="N132" s="12" t="n">
        <x:v>7</x:v>
      </x:c>
      <x:c r="O132" s="10" t="n">
        <x:v>0.11232888698577881</x:v>
      </x:c>
      <x:c r="P132" s="22" t="n">
        <x:v>46.82314182352275</x:v>
      </x:c>
      <x:c r="Q132" s="26" t="str">
        <x:v>2009-10-01</x:v>
      </x:c>
      <x:c r="R132" s="26" t="str">
        <x:v>2014-12-31</x:v>
      </x:c>
    </x:row>
    <x:row r="133" ht="22" customHeight="1">
      <x:c r="A133" s="15" t="str">
        <x:f>"02381600"</x:f>
        <x:v>02381600</x:v>
      </x:c>
      <x:c r="B133" s="12" t="n">
        <x:v>42</x:v>
      </x:c>
      <x:c r="C133" s="12" t="n">
        <x:v>1918</x:v>
      </x:c>
      <x:c r="D133" s="10" t="n">
        <x:v>0.19411280071134795</x:v>
      </x:c>
      <x:c r="E133" s="10" t="n">
        <x:v>0.2432836968115739</x:v>
      </x:c>
      <x:c r="F133" s="17" t="n">
        <x:v>26.075025936418946</x:v>
      </x:c>
      <x:c r="G133" s="17" t="n">
        <x:v>5.968743019962462</x:v>
      </x:c>
      <x:c r="H133" s="17" t="n">
        <x:v>-1.8032552630281546</x:v>
      </x:c>
      <x:c r="I133" s="12" t="n">
        <x:v>256</x:v>
      </x:c>
      <x:c r="J133" s="12" t="n">
        <x:v>2</x:v>
      </x:c>
      <x:c r="K133" s="19" t="n">
        <x:v>0.002713975339231919</x:v>
      </x:c>
      <x:c r="L133" s="19" t="n">
        <x:v>0</x:v>
      </x:c>
      <x:c r="M133" s="19" t="n">
        <x:v>0.0001</x:v>
      </x:c>
      <x:c r="N133" s="12" t="n">
        <x:v>4</x:v>
      </x:c>
      <x:c r="O133" s="10" t="n">
        <x:v>0.514076292514801</x:v>
      </x:c>
      <x:c r="P133" s="22" t="n">
        <x:v>46.91631452459842</x:v>
      </x:c>
      <x:c r="Q133" s="26" t="str">
        <x:v>2009-10-01</x:v>
      </x:c>
      <x:c r="R133" s="26" t="str">
        <x:v>2014-12-31</x:v>
      </x:c>
    </x:row>
    <x:row r="134" ht="22" customHeight="1">
      <x:c r="A134" s="15" t="str">
        <x:f>"02422500"</x:f>
        <x:v>02422500</x:v>
      </x:c>
      <x:c r="B134" s="12" t="n">
        <x:v>42</x:v>
      </x:c>
      <x:c r="C134" s="12" t="n">
        <x:v>1918</x:v>
      </x:c>
      <x:c r="D134" s="10" t="n">
        <x:v>0.4251261487556294</x:v>
      </x:c>
      <x:c r="E134" s="10" t="n">
        <x:v>0.5813961201210498</x:v>
      </x:c>
      <x:c r="F134" s="17" t="n">
        <x:v>330.0845954763526</x:v>
      </x:c>
      <x:c r="G134" s="17" t="n">
        <x:v>101.72521841136601</x:v>
      </x:c>
      <x:c r="H134" s="17" t="n">
        <x:v>-19.60405474713243</x:v>
      </x:c>
      <x:c r="I134" s="12" t="n">
        <x:v>256</x:v>
      </x:c>
      <x:c r="J134" s="12" t="n">
        <x:v>2</x:v>
      </x:c>
      <x:c r="K134" s="19" t="n">
        <x:v>0.002713975339231919</x:v>
      </x:c>
      <x:c r="L134" s="19" t="n">
        <x:v>0</x:v>
      </x:c>
      <x:c r="M134" s="19" t="n">
        <x:v>0.0001</x:v>
      </x:c>
      <x:c r="N134" s="12" t="n">
        <x:v>5</x:v>
      </x:c>
      <x:c r="O134" s="10" t="n">
        <x:v>0.2697615921497345</x:v>
      </x:c>
      <x:c r="P134" s="22" t="n">
        <x:v>46.87550609279424</x:v>
      </x:c>
      <x:c r="Q134" s="26" t="str">
        <x:v>2009-10-01</x:v>
      </x:c>
      <x:c r="R134" s="26" t="str">
        <x:v>2014-12-31</x:v>
      </x:c>
    </x:row>
    <x:row r="135" ht="22" customHeight="1">
      <x:c r="A135" s="15" t="str">
        <x:f>"02430085"</x:f>
        <x:v>02430085</x:v>
      </x:c>
      <x:c r="B135" s="12" t="n">
        <x:v>42</x:v>
      </x:c>
      <x:c r="C135" s="12" t="n">
        <x:v>1918</x:v>
      </x:c>
      <x:c r="D135" s="10" t="n">
        <x:v>0.18698887525624752</x:v>
      </x:c>
      <x:c r="E135" s="10" t="n">
        <x:v>0.3739901981108297</x:v>
      </x:c>
      <x:c r="F135" s="17" t="n">
        <x:v>36.487265543811205</x:v>
      </x:c>
      <x:c r="G135" s="17" t="n">
        <x:v>13.89920639746611</x:v>
      </x:c>
      <x:c r="H135" s="17" t="n">
        <x:v>2.049816763952033</x:v>
      </x:c>
      <x:c r="I135" s="12" t="n">
        <x:v>256</x:v>
      </x:c>
      <x:c r="J135" s="12" t="n">
        <x:v>2</x:v>
      </x:c>
      <x:c r="K135" s="19" t="n">
        <x:v>0.002713975339231919</x:v>
      </x:c>
      <x:c r="L135" s="19" t="n">
        <x:v>0</x:v>
      </x:c>
      <x:c r="M135" s="19" t="n">
        <x:v>0.0001</x:v>
      </x:c>
      <x:c r="N135" s="12" t="n">
        <x:v>5</x:v>
      </x:c>
      <x:c r="O135" s="10" t="n">
        <x:v>0.32410889863967896</x:v>
      </x:c>
      <x:c r="P135" s="22" t="n">
        <x:v>47.0648462343961</x:v>
      </x:c>
      <x:c r="Q135" s="26" t="str">
        <x:v>2009-10-01</x:v>
      </x:c>
      <x:c r="R135" s="26" t="str">
        <x:v>2014-12-31</x:v>
      </x:c>
    </x:row>
    <x:row r="136" ht="22" customHeight="1">
      <x:c r="A136" s="15" t="str">
        <x:f>"02450250"</x:f>
        <x:v>02450250</x:v>
      </x:c>
      <x:c r="B136" s="12" t="n">
        <x:v>42</x:v>
      </x:c>
      <x:c r="C136" s="12" t="n">
        <x:v>1918</x:v>
      </x:c>
      <x:c r="D136" s="10" t="n">
        <x:v>0.3707512410535505</x:v>
      </x:c>
      <x:c r="E136" s="10" t="n">
        <x:v>0.46216033502181775</x:v>
      </x:c>
      <x:c r="F136" s="17" t="n">
        <x:v>280.1441587426794</x:v>
      </x:c>
      <x:c r="G136" s="17" t="n">
        <x:v>106.05328268821272</x:v>
      </x:c>
      <x:c r="H136" s="17" t="n">
        <x:v>21.161619644842546</x:v>
      </x:c>
      <x:c r="I136" s="12" t="n">
        <x:v>256</x:v>
      </x:c>
      <x:c r="J136" s="12" t="n">
        <x:v>2</x:v>
      </x:c>
      <x:c r="K136" s="19" t="n">
        <x:v>0.002713975339231919</x:v>
      </x:c>
      <x:c r="L136" s="19" t="n">
        <x:v>0</x:v>
      </x:c>
      <x:c r="M136" s="19" t="n">
        <x:v>0.0001</x:v>
      </x:c>
      <x:c r="N136" s="12" t="n">
        <x:v>1</x:v>
      </x:c>
      <x:c r="O136" s="10" t="n">
        <x:v>0.2811962068080902</x:v>
      </x:c>
      <x:c r="P136" s="22" t="n">
        <x:v>46.98239414393902</x:v>
      </x:c>
      <x:c r="Q136" s="26" t="str">
        <x:v>2009-10-01</x:v>
      </x:c>
      <x:c r="R136" s="26" t="str">
        <x:v>2014-12-31</x:v>
      </x:c>
    </x:row>
    <x:row r="137" ht="22" customHeight="1">
      <x:c r="A137" s="15" t="str">
        <x:f>"02464000"</x:f>
        <x:v>02464000</x:v>
      </x:c>
      <x:c r="B137" s="12" t="n">
        <x:v>42</x:v>
      </x:c>
      <x:c r="C137" s="12" t="n">
        <x:v>1918</x:v>
      </x:c>
      <x:c r="D137" s="10" t="n">
        <x:v>0.3795469421032239</x:v>
      </x:c>
      <x:c r="E137" s="10" t="n">
        <x:v>0.6466459358946681</x:v>
      </x:c>
      <x:c r="F137" s="17" t="n">
        <x:v>664.9778685903946</x:v>
      </x:c>
      <x:c r="G137" s="17" t="n">
        <x:v>227.73407791549738</x:v>
      </x:c>
      <x:c r="H137" s="17" t="n">
        <x:v>7.524788227046921</x:v>
      </x:c>
      <x:c r="I137" s="12" t="n">
        <x:v>256</x:v>
      </x:c>
      <x:c r="J137" s="12" t="n">
        <x:v>2</x:v>
      </x:c>
      <x:c r="K137" s="19" t="n">
        <x:v>0.002713975339231919</x:v>
      </x:c>
      <x:c r="L137" s="19" t="n">
        <x:v>0</x:v>
      </x:c>
      <x:c r="M137" s="19" t="n">
        <x:v>0.0001</x:v>
      </x:c>
      <x:c r="N137" s="12" t="n">
        <x:v>16</x:v>
      </x:c>
      <x:c r="O137" s="10" t="n">
        <x:v>0.39553147554397583</x:v>
      </x:c>
      <x:c r="P137" s="22" t="n">
        <x:v>47.05665719136596</x:v>
      </x:c>
      <x:c r="Q137" s="26" t="str">
        <x:v>2009-10-01</x:v>
      </x:c>
      <x:c r="R137" s="26" t="str">
        <x:v>2014-12-31</x:v>
      </x:c>
    </x:row>
    <x:row r="138" ht="22" customHeight="1">
      <x:c r="A138" s="15" t="str">
        <x:f>"02465493"</x:f>
        <x:v>02465493</x:v>
      </x:c>
      <x:c r="B138" s="12" t="n">
        <x:v>42</x:v>
      </x:c>
      <x:c r="C138" s="12" t="n">
        <x:v>1918</x:v>
      </x:c>
      <x:c r="D138" s="10" t="n">
        <x:v>0.6948009720291264</x:v>
      </x:c>
      <x:c r="E138" s="10" t="n">
        <x:v>0.810939058965284</x:v>
      </x:c>
      <x:c r="F138" s="17" t="n">
        <x:v>23.47671175033147</x:v>
      </x:c>
      <x:c r="G138" s="17" t="n">
        <x:v>9.844755749880084</x:v>
      </x:c>
      <x:c r="H138" s="17" t="n">
        <x:v>-0.7621169573879037</x:v>
      </x:c>
      <x:c r="I138" s="12" t="n">
        <x:v>256</x:v>
      </x:c>
      <x:c r="J138" s="12" t="n">
        <x:v>2</x:v>
      </x:c>
      <x:c r="K138" s="19" t="n">
        <x:v>0.002713975339231919</x:v>
      </x:c>
      <x:c r="L138" s="19" t="n">
        <x:v>0</x:v>
      </x:c>
      <x:c r="M138" s="19" t="n">
        <x:v>0.0001</x:v>
      </x:c>
      <x:c r="N138" s="12" t="n">
        <x:v>8</x:v>
      </x:c>
      <x:c r="O138" s="10" t="n">
        <x:v>0.8280768990516663</x:v>
      </x:c>
      <x:c r="P138" s="22" t="n">
        <x:v>46.95379174500704</x:v>
      </x:c>
      <x:c r="Q138" s="26" t="str">
        <x:v>2009-10-01</x:v>
      </x:c>
      <x:c r="R138" s="26" t="str">
        <x:v>2014-12-31</x:v>
      </x:c>
    </x:row>
    <x:row r="139" ht="22" customHeight="1">
      <x:c r="A139" s="15" t="str">
        <x:f>"02469800"</x:f>
        <x:v>02469800</x:v>
      </x:c>
      <x:c r="B139" s="12" t="n">
        <x:v>42</x:v>
      </x:c>
      <x:c r="C139" s="12" t="n">
        <x:v>1918</x:v>
      </x:c>
      <x:c r="D139" s="10" t="n">
        <x:v>0.6141719483909891</x:v>
      </x:c>
      <x:c r="E139" s="10" t="n">
        <x:v>0.643492662335893</x:v>
      </x:c>
      <x:c r="F139" s="17" t="n">
        <x:v>356.6077073975778</x:v>
      </x:c>
      <x:c r="G139" s="17" t="n">
        <x:v>100.2322297306048</x:v>
      </x:c>
      <x:c r="H139" s="17" t="n">
        <x:v>-1.2245931951511984</x:v>
      </x:c>
      <x:c r="I139" s="12" t="n">
        <x:v>256</x:v>
      </x:c>
      <x:c r="J139" s="12" t="n">
        <x:v>2</x:v>
      </x:c>
      <x:c r="K139" s="19" t="n">
        <x:v>0.002713975339231919</x:v>
      </x:c>
      <x:c r="L139" s="19" t="n">
        <x:v>0</x:v>
      </x:c>
      <x:c r="M139" s="19" t="n">
        <x:v>0.0001</x:v>
      </x:c>
      <x:c r="N139" s="12" t="n">
        <x:v>11</x:v>
      </x:c>
      <x:c r="O139" s="10" t="n">
        <x:v>0.1558896154165268</x:v>
      </x:c>
      <x:c r="P139" s="22" t="n">
        <x:v>47.017592357471585</x:v>
      </x:c>
      <x:c r="Q139" s="26" t="str">
        <x:v>2009-10-01</x:v>
      </x:c>
      <x:c r="R139" s="26" t="str">
        <x:v>2014-12-31</x:v>
      </x:c>
    </x:row>
    <x:row r="140" ht="22" customHeight="1">
      <x:c r="A140" s="15" t="str">
        <x:f>"02472000"</x:f>
        <x:v>02472000</x:v>
      </x:c>
      <x:c r="B140" s="12" t="n">
        <x:v>42</x:v>
      </x:c>
      <x:c r="C140" s="12" t="n">
        <x:v>1918</x:v>
      </x:c>
      <x:c r="D140" s="10" t="n">
        <x:v>0.8815852221766486</x:v>
      </x:c>
      <x:c r="E140" s="10" t="n">
        <x:v>0.8928151600868334</x:v>
      </x:c>
      <x:c r="F140" s="17" t="n">
        <x:v>703.0710997248917</x:v>
      </x:c>
      <x:c r="G140" s="17" t="n">
        <x:v>282.5382360071663</x:v>
      </x:c>
      <x:c r="H140" s="17" t="n">
        <x:v>-17.383299896634522</x:v>
      </x:c>
      <x:c r="I140" s="12" t="n">
        <x:v>256</x:v>
      </x:c>
      <x:c r="J140" s="12" t="n">
        <x:v>2</x:v>
      </x:c>
      <x:c r="K140" s="19" t="n">
        <x:v>0.002713975339231919</x:v>
      </x:c>
      <x:c r="L140" s="19" t="n">
        <x:v>0</x:v>
      </x:c>
      <x:c r="M140" s="19" t="n">
        <x:v>0.0001</x:v>
      </x:c>
      <x:c r="N140" s="12" t="n">
        <x:v>8</x:v>
      </x:c>
      <x:c r="O140" s="10" t="n">
        <x:v>0.0558093786239624</x:v>
      </x:c>
      <x:c r="P140" s="22" t="n">
        <x:v>47.045135085470974</x:v>
      </x:c>
      <x:c r="Q140" s="26" t="str">
        <x:v>2009-10-01</x:v>
      </x:c>
      <x:c r="R140" s="26" t="str">
        <x:v>2014-12-31</x:v>
      </x:c>
    </x:row>
    <x:row r="141" ht="22" customHeight="1">
      <x:c r="A141" s="15" t="str">
        <x:f>"02472500"</x:f>
        <x:v>02472500</x:v>
      </x:c>
      <x:c r="B141" s="12" t="n">
        <x:v>42</x:v>
      </x:c>
      <x:c r="C141" s="12" t="n">
        <x:v>1918</x:v>
      </x:c>
      <x:c r="D141" s="10" t="n">
        <x:v>0.6838667844967191</x:v>
      </x:c>
      <x:c r="E141" s="10" t="n">
        <x:v>0.7430709864382288</x:v>
      </x:c>
      <x:c r="F141" s="17" t="n">
        <x:v>430.7896933164914</x:v>
      </x:c>
      <x:c r="G141" s="17" t="n">
        <x:v>158.75944558892073</x:v>
      </x:c>
      <x:c r="H141" s="17" t="n">
        <x:v>1.4402635570646507</x:v>
      </x:c>
      <x:c r="I141" s="12" t="n">
        <x:v>256</x:v>
      </x:c>
      <x:c r="J141" s="12" t="n">
        <x:v>2</x:v>
      </x:c>
      <x:c r="K141" s="19" t="n">
        <x:v>0.002713975339231919</x:v>
      </x:c>
      <x:c r="L141" s="19" t="n">
        <x:v>0</x:v>
      </x:c>
      <x:c r="M141" s="19" t="n">
        <x:v>0.0001</x:v>
      </x:c>
      <x:c r="N141" s="12" t="n">
        <x:v>7</x:v>
      </x:c>
      <x:c r="O141" s="10" t="n">
        <x:v>0.1516193449497223</x:v>
      </x:c>
      <x:c r="P141" s="22" t="n">
        <x:v>47.0537288794294</x:v>
      </x:c>
      <x:c r="Q141" s="26" t="str">
        <x:v>2009-10-01</x:v>
      </x:c>
      <x:c r="R141" s="26" t="str">
        <x:v>2014-12-31</x:v>
      </x:c>
    </x:row>
    <x:row r="142" ht="22" customHeight="1">
      <x:c r="A142" s="15" t="str">
        <x:f>"02479155"</x:f>
        <x:v>02479155</x:v>
      </x:c>
      <x:c r="B142" s="12" t="n">
        <x:v>42</x:v>
      </x:c>
      <x:c r="C142" s="12" t="n">
        <x:v>1918</x:v>
      </x:c>
      <x:c r="D142" s="10" t="n">
        <x:v>0.43322142689444554</x:v>
      </x:c>
      <x:c r="E142" s="10" t="n">
        <x:v>0.47641077853693004</x:v>
      </x:c>
      <x:c r="F142" s="17" t="n">
        <x:v>179.07645571494848</x:v>
      </x:c>
      <x:c r="G142" s="17" t="n">
        <x:v>50.98210398467883</x:v>
      </x:c>
      <x:c r="H142" s="17" t="n">
        <x:v>-6.770324294272157</x:v>
      </x:c>
      <x:c r="I142" s="12" t="n">
        <x:v>256</x:v>
      </x:c>
      <x:c r="J142" s="12" t="n">
        <x:v>2</x:v>
      </x:c>
      <x:c r="K142" s="19" t="n">
        <x:v>0.002713975339231919</x:v>
      </x:c>
      <x:c r="L142" s="19" t="n">
        <x:v>0</x:v>
      </x:c>
      <x:c r="M142" s="19" t="n">
        <x:v>0.0001</x:v>
      </x:c>
      <x:c r="N142" s="12" t="n">
        <x:v>3</x:v>
      </x:c>
      <x:c r="O142" s="10" t="n">
        <x:v>0.3376752436161041</x:v>
      </x:c>
      <x:c r="P142" s="22" t="n">
        <x:v>47.08077366091311</x:v>
      </x:c>
      <x:c r="Q142" s="26" t="str">
        <x:v>2009-10-01</x:v>
      </x:c>
      <x:c r="R142" s="26" t="str">
        <x:v>2014-12-31</x:v>
      </x:c>
    </x:row>
    <x:row r="143" ht="22" customHeight="1">
      <x:c r="A143" s="15" t="str">
        <x:f>"02479300"</x:f>
        <x:v>02479300</x:v>
      </x:c>
      <x:c r="B143" s="12" t="n">
        <x:v>42</x:v>
      </x:c>
      <x:c r="C143" s="12" t="n">
        <x:v>1918</x:v>
      </x:c>
      <x:c r="D143" s="10" t="n">
        <x:v>0.9356227831027369</x:v>
      </x:c>
      <x:c r="E143" s="10" t="n">
        <x:v>0.9406935806551636</x:v>
      </x:c>
      <x:c r="F143" s="17" t="n">
        <x:v>333.2720699775599</x:v>
      </x:c>
      <x:c r="G143" s="17" t="n">
        <x:v>162.99224469581858</x:v>
      </x:c>
      <x:c r="H143" s="17" t="n">
        <x:v>6.2067935732116775</x:v>
      </x:c>
      <x:c r="I143" s="12" t="n">
        <x:v>256</x:v>
      </x:c>
      <x:c r="J143" s="12" t="n">
        <x:v>2</x:v>
      </x:c>
      <x:c r="K143" s="19" t="n">
        <x:v>0.002713975339231919</x:v>
      </x:c>
      <x:c r="L143" s="19" t="n">
        <x:v>0</x:v>
      </x:c>
      <x:c r="M143" s="19" t="n">
        <x:v>0.0001</x:v>
      </x:c>
      <x:c r="N143" s="12" t="n">
        <x:v>2</x:v>
      </x:c>
      <x:c r="O143" s="10" t="n">
        <x:v>0.05565501004457474</x:v>
      </x:c>
      <x:c r="P143" s="22" t="n">
        <x:v>46.59638005308807</x:v>
      </x:c>
      <x:c r="Q143" s="26" t="str">
        <x:v>2009-10-01</x:v>
      </x:c>
      <x:c r="R143" s="26" t="str">
        <x:v>2014-12-31</x:v>
      </x:c>
    </x:row>
    <x:row r="144" ht="22" customHeight="1">
      <x:c r="A144" s="15" t="str">
        <x:f>"02479560"</x:f>
        <x:v>02479560</x:v>
      </x:c>
      <x:c r="B144" s="12" t="n">
        <x:v>42</x:v>
      </x:c>
      <x:c r="C144" s="12" t="n">
        <x:v>1918</x:v>
      </x:c>
      <x:c r="D144" s="10" t="n">
        <x:v>0.9231229637060365</x:v>
      </x:c>
      <x:c r="E144" s="10" t="n">
        <x:v>0.935830347420929</x:v>
      </x:c>
      <x:c r="F144" s="17" t="n">
        <x:v>446.2018886248371</x:v>
      </x:c>
      <x:c r="G144" s="17" t="n">
        <x:v>174.42052166579768</x:v>
      </x:c>
      <x:c r="H144" s="17" t="n">
        <x:v>8.09799792752868</x:v>
      </x:c>
      <x:c r="I144" s="12" t="n">
        <x:v>256</x:v>
      </x:c>
      <x:c r="J144" s="12" t="n">
        <x:v>2</x:v>
      </x:c>
      <x:c r="K144" s="19" t="n">
        <x:v>0.002713975339231919</x:v>
      </x:c>
      <x:c r="L144" s="19" t="n">
        <x:v>0</x:v>
      </x:c>
      <x:c r="M144" s="19" t="n">
        <x:v>0.0001</x:v>
      </x:c>
      <x:c r="N144" s="12" t="n">
        <x:v>27</x:v>
      </x:c>
      <x:c r="O144" s="10" t="n">
        <x:v>0.08108668774366379</x:v>
      </x:c>
      <x:c r="P144" s="22" t="n">
        <x:v>47.115629211999476</x:v>
      </x:c>
      <x:c r="Q144" s="26" t="str">
        <x:v>2009-10-01</x:v>
      </x:c>
      <x:c r="R144" s="26" t="str">
        <x:v>2014-12-31</x:v>
      </x:c>
    </x:row>
    <x:row r="145" ht="22" customHeight="1">
      <x:c r="A145" s="15" t="str">
        <x:f>"02481000"</x:f>
        <x:v>02481000</x:v>
      </x:c>
      <x:c r="B145" s="12" t="n">
        <x:v>42</x:v>
      </x:c>
      <x:c r="C145" s="12" t="n">
        <x:v>1918</x:v>
      </x:c>
      <x:c r="D145" s="10" t="n">
        <x:v>0.6457414819051862</x:v>
      </x:c>
      <x:c r="E145" s="10" t="n">
        <x:v>0.6081035673395594</x:v>
      </x:c>
      <x:c r="F145" s="17" t="n">
        <x:v>262.03656784732306</x:v>
      </x:c>
      <x:c r="G145" s="17" t="n">
        <x:v>121.29160308834203</x:v>
      </x:c>
      <x:c r="H145" s="17" t="n">
        <x:v>49.53029452875912</x:v>
      </x:c>
      <x:c r="I145" s="12" t="n">
        <x:v>256</x:v>
      </x:c>
      <x:c r="J145" s="12" t="n">
        <x:v>2</x:v>
      </x:c>
      <x:c r="K145" s="19" t="n">
        <x:v>0.002713975339231919</x:v>
      </x:c>
      <x:c r="L145" s="19" t="n">
        <x:v>0</x:v>
      </x:c>
      <x:c r="M145" s="19" t="n">
        <x:v>0.0001</x:v>
      </x:c>
      <x:c r="N145" s="12" t="n">
        <x:v>7</x:v>
      </x:c>
      <x:c r="O145" s="10" t="n">
        <x:v>0.3188537359237671</x:v>
      </x:c>
      <x:c r="P145" s="22" t="n">
        <x:v>47.18094003666192</x:v>
      </x:c>
      <x:c r="Q145" s="26" t="str">
        <x:v>2009-10-01</x:v>
      </x:c>
      <x:c r="R145" s="26" t="str">
        <x:v>2014-12-31</x:v>
      </x:c>
    </x:row>
    <x:row r="146" ht="22" customHeight="1">
      <x:c r="A146" s="15" t="str">
        <x:f>"02481510"</x:f>
        <x:v>02481510</x:v>
      </x:c>
      <x:c r="B146" s="12" t="n">
        <x:v>42</x:v>
      </x:c>
      <x:c r="C146" s="12" t="n">
        <x:v>1918</x:v>
      </x:c>
      <x:c r="D146" s="10" t="n">
        <x:v>0.7137141855146817</x:v>
      </x:c>
      <x:c r="E146" s="10" t="n">
        <x:v>0.6605863263840726</x:v>
      </x:c>
      <x:c r="F146" s="17" t="n">
        <x:v>787.5741661878376</x:v>
      </x:c>
      <x:c r="G146" s="17" t="n">
        <x:v>270.2106270338686</x:v>
      </x:c>
      <x:c r="H146" s="17" t="n">
        <x:v>43.361339482294056</x:v>
      </x:c>
      <x:c r="I146" s="12" t="n">
        <x:v>256</x:v>
      </x:c>
      <x:c r="J146" s="12" t="n">
        <x:v>2</x:v>
      </x:c>
      <x:c r="K146" s="19" t="n">
        <x:v>0.002713975339231919</x:v>
      </x:c>
      <x:c r="L146" s="19" t="n">
        <x:v>0</x:v>
      </x:c>
      <x:c r="M146" s="19" t="n">
        <x:v>0.0001</x:v>
      </x:c>
      <x:c r="N146" s="12" t="n">
        <x:v>14</x:v>
      </x:c>
      <x:c r="O146" s="10" t="n">
        <x:v>0.21287767589092255</x:v>
      </x:c>
      <x:c r="P146" s="22" t="n">
        <x:v>47.15040891151875</x:v>
      </x:c>
      <x:c r="Q146" s="26" t="str">
        <x:v>2009-10-01</x:v>
      </x:c>
      <x:c r="R146" s="26" t="str">
        <x:v>2014-12-31</x:v>
      </x:c>
    </x:row>
    <x:row r="147" ht="22" customHeight="1">
      <x:c r="A147" s="15" t="str">
        <x:f>"03010655"</x:f>
        <x:v>03010655</x:v>
      </x:c>
      <x:c r="B147" s="12" t="n">
        <x:v>42</x:v>
      </x:c>
      <x:c r="C147" s="12" t="n">
        <x:v>1918</x:v>
      </x:c>
      <x:c r="D147" s="10" t="n">
        <x:v>0.7610823260448002</x:v>
      </x:c>
      <x:c r="E147" s="10" t="n">
        <x:v>0.7914643143147044</x:v>
      </x:c>
      <x:c r="F147" s="17" t="n">
        <x:v>101.33931366600771</x:v>
      </x:c>
      <x:c r="G147" s="17" t="n">
        <x:v>37.09253223877268</x:v>
      </x:c>
      <x:c r="H147" s="17" t="n">
        <x:v>-17.948391238772682</x:v>
      </x:c>
      <x:c r="I147" s="12" t="n">
        <x:v>256</x:v>
      </x:c>
      <x:c r="J147" s="12" t="n">
        <x:v>2</x:v>
      </x:c>
      <x:c r="K147" s="19" t="n">
        <x:v>0.002713975339231919</x:v>
      </x:c>
      <x:c r="L147" s="19" t="n">
        <x:v>0</x:v>
      </x:c>
      <x:c r="M147" s="19" t="n">
        <x:v>0.0001</x:v>
      </x:c>
      <x:c r="N147" s="12" t="n">
        <x:v>8</x:v>
      </x:c>
      <x:c r="O147" s="10" t="n">
        <x:v>0.20863077044487</x:v>
      </x:c>
      <x:c r="P147" s="22" t="n">
        <x:v>47.22526212409139</x:v>
      </x:c>
      <x:c r="Q147" s="26" t="str">
        <x:v>2009-10-01</x:v>
      </x:c>
      <x:c r="R147" s="26" t="str">
        <x:v>2014-12-31</x:v>
      </x:c>
    </x:row>
    <x:row r="148" ht="22" customHeight="1">
      <x:c r="A148" s="15" t="str">
        <x:f>"03011800"</x:f>
        <x:v>03011800</x:v>
      </x:c>
      <x:c r="B148" s="12" t="n">
        <x:v>42</x:v>
      </x:c>
      <x:c r="C148" s="12" t="n">
        <x:v>1918</x:v>
      </x:c>
      <x:c r="D148" s="10" t="n">
        <x:v>0.5379110869820077</x:v>
      </x:c>
      <x:c r="E148" s="10" t="n">
        <x:v>0.6169976204310711</x:v>
      </x:c>
      <x:c r="F148" s="17" t="n">
        <x:v>73.8323406832887</x:v>
      </x:c>
      <x:c r="G148" s="17" t="n">
        <x:v>23.731273936511993</x:v>
      </x:c>
      <x:c r="H148" s="17" t="n">
        <x:v>-0.586480176449426</x:v>
      </x:c>
      <x:c r="I148" s="12" t="n">
        <x:v>256</x:v>
      </x:c>
      <x:c r="J148" s="12" t="n">
        <x:v>2</x:v>
      </x:c>
      <x:c r="K148" s="19" t="n">
        <x:v>0.002713975339231919</x:v>
      </x:c>
      <x:c r="L148" s="19" t="n">
        <x:v>0</x:v>
      </x:c>
      <x:c r="M148" s="19" t="n">
        <x:v>0.0001</x:v>
      </x:c>
      <x:c r="N148" s="12" t="n">
        <x:v>9</x:v>
      </x:c>
      <x:c r="O148" s="10" t="n">
        <x:v>0.3837452232837677</x:v>
      </x:c>
      <x:c r="P148" s="22" t="n">
        <x:v>47.242563776671886</x:v>
      </x:c>
      <x:c r="Q148" s="26" t="str">
        <x:v>2009-10-01</x:v>
      </x:c>
      <x:c r="R148" s="26" t="str">
        <x:v>2014-12-31</x:v>
      </x:c>
    </x:row>
    <x:row r="149" ht="22" customHeight="1">
      <x:c r="A149" s="15" t="str">
        <x:f>"03015500"</x:f>
        <x:v>03015500</x:v>
      </x:c>
      <x:c r="B149" s="12" t="n">
        <x:v>42</x:v>
      </x:c>
      <x:c r="C149" s="12" t="n">
        <x:v>1918</x:v>
      </x:c>
      <x:c r="D149" s="10" t="n">
        <x:v>0.7447990082000315</x:v>
      </x:c>
      <x:c r="E149" s="10" t="n">
        <x:v>0.8337230298247542</x:v>
      </x:c>
      <x:c r="F149" s="17" t="n">
        <x:v>442.3996531643775</x:v>
      </x:c>
      <x:c r="G149" s="17" t="n">
        <x:v>193.56867418957245</x:v>
      </x:c>
      <x:c r="H149" s="17" t="n">
        <x:v>8.549562659228366</x:v>
      </x:c>
      <x:c r="I149" s="12" t="n">
        <x:v>256</x:v>
      </x:c>
      <x:c r="J149" s="12" t="n">
        <x:v>2</x:v>
      </x:c>
      <x:c r="K149" s="19" t="n">
        <x:v>0.002713975339231919</x:v>
      </x:c>
      <x:c r="L149" s="19" t="n">
        <x:v>0</x:v>
      </x:c>
      <x:c r="M149" s="19" t="n">
        <x:v>0.0001</x:v>
      </x:c>
      <x:c r="N149" s="12" t="n">
        <x:v>6</x:v>
      </x:c>
      <x:c r="O149" s="10" t="n">
        <x:v>0.37374651432037354</x:v>
      </x:c>
      <x:c r="P149" s="22" t="n">
        <x:v>47.27056264411658</x:v>
      </x:c>
      <x:c r="Q149" s="26" t="str">
        <x:v>2009-10-01</x:v>
      </x:c>
      <x:c r="R149" s="26" t="str">
        <x:v>2014-12-31</x:v>
      </x:c>
    </x:row>
    <x:row r="150" ht="22" customHeight="1">
      <x:c r="A150" s="15" t="str">
        <x:f>"03021350"</x:f>
        <x:v>03021350</x:v>
      </x:c>
      <x:c r="B150" s="12" t="n">
        <x:v>42</x:v>
      </x:c>
      <x:c r="C150" s="12" t="n">
        <x:v>1918</x:v>
      </x:c>
      <x:c r="D150" s="10" t="n">
        <x:v>0.5439419005469993</x:v>
      </x:c>
      <x:c r="E150" s="10" t="n">
        <x:v>0.6747787693987471</x:v>
      </x:c>
      <x:c r="F150" s="17" t="n">
        <x:v>260.3343113010807</x:v>
      </x:c>
      <x:c r="G150" s="17" t="n">
        <x:v>113.96937865600833</x:v>
      </x:c>
      <x:c r="H150" s="17" t="n">
        <x:v>8.30185566933055</x:v>
      </x:c>
      <x:c r="I150" s="12" t="n">
        <x:v>256</x:v>
      </x:c>
      <x:c r="J150" s="12" t="n">
        <x:v>2</x:v>
      </x:c>
      <x:c r="K150" s="19" t="n">
        <x:v>0.002713975339231919</x:v>
      </x:c>
      <x:c r="L150" s="19" t="n">
        <x:v>0</x:v>
      </x:c>
      <x:c r="M150" s="19" t="n">
        <x:v>0.0001</x:v>
      </x:c>
      <x:c r="N150" s="12" t="n">
        <x:v>6</x:v>
      </x:c>
      <x:c r="O150" s="10" t="n">
        <x:v>0.7078210711479187</x:v>
      </x:c>
      <x:c r="P150" s="22" t="n">
        <x:v>47.31973255332559</x:v>
      </x:c>
      <x:c r="Q150" s="26" t="str">
        <x:v>2009-10-01</x:v>
      </x:c>
      <x:c r="R150" s="26" t="str">
        <x:v>2014-12-31</x:v>
      </x:c>
    </x:row>
    <x:row r="151" ht="22" customHeight="1">
      <x:c r="A151" s="15" t="str">
        <x:f>"03026500"</x:f>
        <x:v>03026500</x:v>
      </x:c>
      <x:c r="B151" s="12" t="n">
        <x:v>42</x:v>
      </x:c>
      <x:c r="C151" s="12" t="n">
        <x:v>1918</x:v>
      </x:c>
      <x:c r="D151" s="10" t="n">
        <x:v>0.5201738450203983</x:v>
      </x:c>
      <x:c r="E151" s="10" t="n">
        <x:v>0.6329357370438063</x:v>
      </x:c>
      <x:c r="F151" s="17" t="n">
        <x:v>14.643086632865783</x:v>
      </x:c>
      <x:c r="G151" s="17" t="n">
        <x:v>4.924041365963504</x:v>
      </x:c>
      <x:c r="H151" s="17" t="n">
        <x:v>-0.9856002519489051</x:v>
      </x:c>
      <x:c r="I151" s="12" t="n">
        <x:v>256</x:v>
      </x:c>
      <x:c r="J151" s="12" t="n">
        <x:v>2</x:v>
      </x:c>
      <x:c r="K151" s="19" t="n">
        <x:v>0.002713975339231919</x:v>
      </x:c>
      <x:c r="L151" s="19" t="n">
        <x:v>0</x:v>
      </x:c>
      <x:c r="M151" s="19" t="n">
        <x:v>0.0001</x:v>
      </x:c>
      <x:c r="N151" s="12" t="n">
        <x:v>7</x:v>
      </x:c>
      <x:c r="O151" s="10" t="n">
        <x:v>0.2909300923347473</x:v>
      </x:c>
      <x:c r="P151" s="22" t="n">
        <x:v>47.35490302275866</x:v>
      </x:c>
      <x:c r="Q151" s="26" t="str">
        <x:v>2009-10-01</x:v>
      </x:c>
      <x:c r="R151" s="26" t="str">
        <x:v>2014-12-31</x:v>
      </x:c>
    </x:row>
    <x:row r="152" ht="22" customHeight="1">
      <x:c r="A152" s="15" t="str">
        <x:f>"03028000"</x:f>
        <x:v>03028000</x:v>
      </x:c>
      <x:c r="B152" s="12" t="n">
        <x:v>42</x:v>
      </x:c>
      <x:c r="C152" s="12" t="n">
        <x:v>1918</x:v>
      </x:c>
      <x:c r="D152" s="10" t="n">
        <x:v>0.5853048668986186</x:v>
      </x:c>
      <x:c r="E152" s="10" t="n">
        <x:v>0.6572031817155458</x:v>
      </x:c>
      <x:c r="F152" s="17" t="n">
        <x:v>124.04963912474004</x:v>
      </x:c>
      <x:c r="G152" s="17" t="n">
        <x:v>36.89945688891032</x:v>
      </x:c>
      <x:c r="H152" s="17" t="n">
        <x:v>-3.421988485052138</x:v>
      </x:c>
      <x:c r="I152" s="12" t="n">
        <x:v>256</x:v>
      </x:c>
      <x:c r="J152" s="12" t="n">
        <x:v>2</x:v>
      </x:c>
      <x:c r="K152" s="19" t="n">
        <x:v>0.002713975339231919</x:v>
      </x:c>
      <x:c r="L152" s="19" t="n">
        <x:v>0</x:v>
      </x:c>
      <x:c r="M152" s="19" t="n">
        <x:v>0.0001</x:v>
      </x:c>
      <x:c r="N152" s="12" t="n">
        <x:v>18</x:v>
      </x:c>
      <x:c r="O152" s="10" t="n">
        <x:v>0.3631303608417511</x:v>
      </x:c>
      <x:c r="P152" s="22" t="n">
        <x:v>47.36415073275566</x:v>
      </x:c>
      <x:c r="Q152" s="26" t="str">
        <x:v>2009-10-01</x:v>
      </x:c>
      <x:c r="R152" s="26" t="str">
        <x:v>2014-12-31</x:v>
      </x:c>
    </x:row>
    <x:row r="153" ht="22" customHeight="1">
      <x:c r="A153" s="15" t="str">
        <x:f>"03049000"</x:f>
        <x:v>03049000</x:v>
      </x:c>
      <x:c r="B153" s="12" t="n">
        <x:v>42</x:v>
      </x:c>
      <x:c r="C153" s="12" t="n">
        <x:v>1918</x:v>
      </x:c>
      <x:c r="D153" s="10" t="n">
        <x:v>0.5177033223970355</x:v>
      </x:c>
      <x:c r="E153" s="10" t="n">
        <x:v>0.6554937875358058</x:v>
      </x:c>
      <x:c r="F153" s="17" t="n">
        <x:v>229.3600916269703</x:v>
      </x:c>
      <x:c r="G153" s="17" t="n">
        <x:v>85.41239851830031</x:v>
      </x:c>
      <x:c r="H153" s="17" t="n">
        <x:v>-17.73290715959333</x:v>
      </x:c>
      <x:c r="I153" s="12" t="n">
        <x:v>256</x:v>
      </x:c>
      <x:c r="J153" s="12" t="n">
        <x:v>2</x:v>
      </x:c>
      <x:c r="K153" s="19" t="n">
        <x:v>0.002713975339231919</x:v>
      </x:c>
      <x:c r="L153" s="19" t="n">
        <x:v>0</x:v>
      </x:c>
      <x:c r="M153" s="19" t="n">
        <x:v>0.0001</x:v>
      </x:c>
      <x:c r="N153" s="12" t="n">
        <x:v>20</x:v>
      </x:c>
      <x:c r="O153" s="10" t="n">
        <x:v>0.8320676684379578</x:v>
      </x:c>
      <x:c r="P153" s="22" t="n">
        <x:v>47.36399226170033</x:v>
      </x:c>
      <x:c r="Q153" s="26" t="str">
        <x:v>2009-10-01</x:v>
      </x:c>
      <x:c r="R153" s="26" t="str">
        <x:v>2014-12-31</x:v>
      </x:c>
    </x:row>
    <x:row r="154" ht="22" customHeight="1">
      <x:c r="A154" s="15" t="str">
        <x:f>"03049800"</x:f>
        <x:v>03049800</x:v>
      </x:c>
      <x:c r="B154" s="12" t="n">
        <x:v>42</x:v>
      </x:c>
      <x:c r="C154" s="12" t="n">
        <x:v>1918</x:v>
      </x:c>
      <x:c r="D154" s="10" t="n">
        <x:v>0.442475511788201</x:v>
      </x:c>
      <x:c r="E154" s="10" t="n">
        <x:v>0.5751164096153341</x:v>
      </x:c>
      <x:c r="F154" s="17" t="n">
        <x:v>8.910142846013144</x:v>
      </x:c>
      <x:c r="G154" s="17" t="n">
        <x:v>3.6544801673973932</x:v>
      </x:c>
      <x:c r="H154" s="17" t="n">
        <x:v>-0.3097864592597498</x:v>
      </x:c>
      <x:c r="I154" s="12" t="n">
        <x:v>256</x:v>
      </x:c>
      <x:c r="J154" s="12" t="n">
        <x:v>2</x:v>
      </x:c>
      <x:c r="K154" s="19" t="n">
        <x:v>0.002713975339231919</x:v>
      </x:c>
      <x:c r="L154" s="19" t="n">
        <x:v>0</x:v>
      </x:c>
      <x:c r="M154" s="19" t="n">
        <x:v>0.0001</x:v>
      </x:c>
      <x:c r="N154" s="12" t="n">
        <x:v>8</x:v>
      </x:c>
      <x:c r="O154" s="10" t="n">
        <x:v>3.5834293365478516</x:v>
      </x:c>
      <x:c r="P154" s="22" t="n">
        <x:v>47.363858783617616</x:v>
      </x:c>
      <x:c r="Q154" s="26" t="str">
        <x:v>2009-10-01</x:v>
      </x:c>
      <x:c r="R154" s="26" t="str">
        <x:v>2014-12-31</x:v>
      </x:c>
    </x:row>
    <x:row r="155" ht="22" customHeight="1">
      <x:c r="A155" s="15" t="str">
        <x:f>"03076600"</x:f>
        <x:v>03076600</x:v>
      </x:c>
      <x:c r="B155" s="12" t="n">
        <x:v>42</x:v>
      </x:c>
      <x:c r="C155" s="12" t="n">
        <x:v>1918</x:v>
      </x:c>
      <x:c r="D155" s="10" t="n">
        <x:v>0.7255286985291303</x:v>
      </x:c>
      <x:c r="E155" s="10" t="n">
        <x:v>0.7641868329803397</x:v>
      </x:c>
      <x:c r="F155" s="17" t="n">
        <x:v>69.56661061372185</x:v>
      </x:c>
      <x:c r="G155" s="17" t="n">
        <x:v>24.988444372133472</x:v>
      </x:c>
      <x:c r="H155" s="17" t="n">
        <x:v>-2.198859560558916</x:v>
      </x:c>
      <x:c r="I155" s="12" t="n">
        <x:v>256</x:v>
      </x:c>
      <x:c r="J155" s="12" t="n">
        <x:v>2</x:v>
      </x:c>
      <x:c r="K155" s="19" t="n">
        <x:v>0.002713975339231919</x:v>
      </x:c>
      <x:c r="L155" s="19" t="n">
        <x:v>0</x:v>
      </x:c>
      <x:c r="M155" s="19" t="n">
        <x:v>0.0001</x:v>
      </x:c>
      <x:c r="N155" s="12" t="n">
        <x:v>12</x:v>
      </x:c>
      <x:c r="O155" s="10" t="n">
        <x:v>0.35703736543655396</x:v>
      </x:c>
      <x:c r="P155" s="22" t="n">
        <x:v>47.35489310603589</x:v>
      </x:c>
      <x:c r="Q155" s="26" t="str">
        <x:v>2009-10-01</x:v>
      </x:c>
      <x:c r="R155" s="26" t="str">
        <x:v>2014-12-31</x:v>
      </x:c>
    </x:row>
    <x:row r="156" ht="22" customHeight="1">
      <x:c r="A156" s="15" t="str">
        <x:f>"03078000"</x:f>
        <x:v>03078000</x:v>
      </x:c>
      <x:c r="B156" s="12" t="n">
        <x:v>42</x:v>
      </x:c>
      <x:c r="C156" s="12" t="n">
        <x:v>1918</x:v>
      </x:c>
      <x:c r="D156" s="10" t="n">
        <x:v>0.6413739860856302</x:v>
      </x:c>
      <x:c r="E156" s="10" t="n">
        <x:v>0.7003369919303606</x:v>
      </x:c>
      <x:c r="F156" s="17" t="n">
        <x:v>112.15130834522844</x:v>
      </x:c>
      <x:c r="G156" s="17" t="n">
        <x:v>41.76543426558394</x:v>
      </x:c>
      <x:c r="H156" s="17" t="n">
        <x:v>-4.527741874092805</x:v>
      </x:c>
      <x:c r="I156" s="12" t="n">
        <x:v>256</x:v>
      </x:c>
      <x:c r="J156" s="12" t="n">
        <x:v>2</x:v>
      </x:c>
      <x:c r="K156" s="19" t="n">
        <x:v>0.002713975339231919</x:v>
      </x:c>
      <x:c r="L156" s="19" t="n">
        <x:v>0</x:v>
      </x:c>
      <x:c r="M156" s="19" t="n">
        <x:v>0.0001</x:v>
      </x:c>
      <x:c r="N156" s="12" t="n">
        <x:v>4</x:v>
      </x:c>
      <x:c r="O156" s="10" t="n">
        <x:v>0.38028275966644287</x:v>
      </x:c>
      <x:c r="P156" s="22" t="n">
        <x:v>47.36703955102712</x:v>
      </x:c>
      <x:c r="Q156" s="26" t="str">
        <x:v>2009-10-01</x:v>
      </x:c>
      <x:c r="R156" s="26" t="str">
        <x:v>2014-12-31</x:v>
      </x:c>
    </x:row>
    <x:row r="157" ht="22" customHeight="1">
      <x:c r="A157" s="15" t="str">
        <x:f>"03140000"</x:f>
        <x:v>03140000</x:v>
      </x:c>
      <x:c r="B157" s="12" t="n">
        <x:v>42</x:v>
      </x:c>
      <x:c r="C157" s="12" t="n">
        <x:v>1918</x:v>
      </x:c>
      <x:c r="D157" s="10" t="n">
        <x:v>0.35020194218473977</x:v>
      </x:c>
      <x:c r="E157" s="10" t="n">
        <x:v>0.4435098079706373</x:v>
      </x:c>
      <x:c r="F157" s="17" t="n">
        <x:v>55.58934255562164</x:v>
      </x:c>
      <x:c r="G157" s="17" t="n">
        <x:v>18.120692223941607</x:v>
      </x:c>
      <x:c r="H157" s="17" t="n">
        <x:v>-2.5501549762982276</x:v>
      </x:c>
      <x:c r="I157" s="12" t="n">
        <x:v>256</x:v>
      </x:c>
      <x:c r="J157" s="12" t="n">
        <x:v>2</x:v>
      </x:c>
      <x:c r="K157" s="19" t="n">
        <x:v>0.002713975339231919</x:v>
      </x:c>
      <x:c r="L157" s="19" t="n">
        <x:v>0</x:v>
      </x:c>
      <x:c r="M157" s="19" t="n">
        <x:v>0.0001</x:v>
      </x:c>
      <x:c r="N157" s="12" t="n">
        <x:v>6</x:v>
      </x:c>
      <x:c r="O157" s="10" t="n">
        <x:v>0.851688027381897</x:v>
      </x:c>
      <x:c r="P157" s="22" t="n">
        <x:v>47.19037243258208</x:v>
      </x:c>
      <x:c r="Q157" s="26" t="str">
        <x:v>2009-10-01</x:v>
      </x:c>
      <x:c r="R157" s="26" t="str">
        <x:v>2014-12-31</x:v>
      </x:c>
    </x:row>
    <x:row r="158" ht="22" customHeight="1">
      <x:c r="A158" s="15" t="str">
        <x:f>"03144000"</x:f>
        <x:v>03144000</x:v>
      </x:c>
      <x:c r="B158" s="12" t="n">
        <x:v>42</x:v>
      </x:c>
      <x:c r="C158" s="12" t="n">
        <x:v>1918</x:v>
      </x:c>
      <x:c r="D158" s="10" t="n">
        <x:v>0.5165069557249964</x:v>
      </x:c>
      <x:c r="E158" s="10" t="n">
        <x:v>0.7179938330459816</x:v>
      </x:c>
      <x:c r="F158" s="17" t="n">
        <x:v>193.07878954214428</x:v>
      </x:c>
      <x:c r="G158" s="17" t="n">
        <x:v>74.010474870073</x:v>
      </x:c>
      <x:c r="H158" s="17" t="n">
        <x:v>15.422457929927006</x:v>
      </x:c>
      <x:c r="I158" s="12" t="n">
        <x:v>256</x:v>
      </x:c>
      <x:c r="J158" s="12" t="n">
        <x:v>2</x:v>
      </x:c>
      <x:c r="K158" s="19" t="n">
        <x:v>0.002713975339231919</x:v>
      </x:c>
      <x:c r="L158" s="19" t="n">
        <x:v>0</x:v>
      </x:c>
      <x:c r="M158" s="19" t="n">
        <x:v>0.0001</x:v>
      </x:c>
      <x:c r="N158" s="12" t="n">
        <x:v>7</x:v>
      </x:c>
      <x:c r="O158" s="10" t="n">
        <x:v>0.7274752855300903</x:v>
      </x:c>
      <x:c r="P158" s="22" t="n">
        <x:v>46.80476087052375</x:v>
      </x:c>
      <x:c r="Q158" s="26" t="str">
        <x:v>2009-10-01</x:v>
      </x:c>
      <x:c r="R158" s="26" t="str">
        <x:v>2014-12-31</x:v>
      </x:c>
    </x:row>
    <x:row r="159" ht="22" customHeight="1">
      <x:c r="A159" s="15" t="str">
        <x:f>"03159540"</x:f>
        <x:v>03159540</x:v>
      </x:c>
      <x:c r="B159" s="12" t="n">
        <x:v>42</x:v>
      </x:c>
      <x:c r="C159" s="12" t="n">
        <x:v>1918</x:v>
      </x:c>
      <x:c r="D159" s="10" t="n">
        <x:v>0.4800065233275109</x:v>
      </x:c>
      <x:c r="E159" s="10" t="n">
        <x:v>0.6350813225390393</x:v>
      </x:c>
      <x:c r="F159" s="17" t="n">
        <x:v>286.17953755659227</x:v>
      </x:c>
      <x:c r="G159" s="17" t="n">
        <x:v>115.7832068789781</x:v>
      </x:c>
      <x:c r="H159" s="17" t="n">
        <x:v>-10.371206662606884</x:v>
      </x:c>
      <x:c r="I159" s="12" t="n">
        <x:v>256</x:v>
      </x:c>
      <x:c r="J159" s="12" t="n">
        <x:v>2</x:v>
      </x:c>
      <x:c r="K159" s="19" t="n">
        <x:v>0.002713975339231919</x:v>
      </x:c>
      <x:c r="L159" s="19" t="n">
        <x:v>0</x:v>
      </x:c>
      <x:c r="M159" s="19" t="n">
        <x:v>0.0001</x:v>
      </x:c>
      <x:c r="N159" s="12" t="n">
        <x:v>9</x:v>
      </x:c>
      <x:c r="O159" s="10" t="n">
        <x:v>0.6822029948234558</x:v>
      </x:c>
      <x:c r="P159" s="22" t="n">
        <x:v>46.77251322939992</x:v>
      </x:c>
      <x:c r="Q159" s="26" t="str">
        <x:v>2009-10-01</x:v>
      </x:c>
      <x:c r="R159" s="26" t="str">
        <x:v>2014-12-31</x:v>
      </x:c>
    </x:row>
    <x:row r="160" ht="22" customHeight="1">
      <x:c r="A160" s="15" t="str">
        <x:f>"03161000"</x:f>
        <x:v>03161000</x:v>
      </x:c>
      <x:c r="B160" s="12" t="n">
        <x:v>42</x:v>
      </x:c>
      <x:c r="C160" s="12" t="n">
        <x:v>1918</x:v>
      </x:c>
      <x:c r="D160" s="10" t="n">
        <x:v>0.535441924473073</x:v>
      </x:c>
      <x:c r="E160" s="10" t="n">
        <x:v>0.6390833674705327</x:v>
      </x:c>
      <x:c r="F160" s="17" t="n">
        <x:v>305.19337705564874</x:v>
      </x:c>
      <x:c r="G160" s="17" t="n">
        <x:v>101.32878980239835</x:v>
      </x:c>
      <x:c r="H160" s="17" t="n">
        <x:v>-14.540526225755999</x:v>
      </x:c>
      <x:c r="I160" s="12" t="n">
        <x:v>256</x:v>
      </x:c>
      <x:c r="J160" s="12" t="n">
        <x:v>2</x:v>
      </x:c>
      <x:c r="K160" s="19" t="n">
        <x:v>0.002713975339231919</x:v>
      </x:c>
      <x:c r="L160" s="19" t="n">
        <x:v>0</x:v>
      </x:c>
      <x:c r="M160" s="19" t="n">
        <x:v>0.0001</x:v>
      </x:c>
      <x:c r="N160" s="12" t="n">
        <x:v>24</x:v>
      </x:c>
      <x:c r="O160" s="10" t="n">
        <x:v>0.4197339415550232</x:v>
      </x:c>
      <x:c r="P160" s="22" t="n">
        <x:v>46.92184453550726</x:v>
      </x:c>
      <x:c r="Q160" s="26" t="str">
        <x:v>2009-10-01</x:v>
      </x:c>
      <x:c r="R160" s="26" t="str">
        <x:v>2014-12-31</x:v>
      </x:c>
    </x:row>
    <x:row r="161" ht="22" customHeight="1">
      <x:c r="A161" s="15" t="str">
        <x:f>"03164000"</x:f>
        <x:v>03164000</x:v>
      </x:c>
      <x:c r="B161" s="12" t="n">
        <x:v>42</x:v>
      </x:c>
      <x:c r="C161" s="12" t="n">
        <x:v>1918</x:v>
      </x:c>
      <x:c r="D161" s="10" t="n">
        <x:v>0.6606070016195439</x:v>
      </x:c>
      <x:c r="E161" s="10" t="n">
        <x:v>0.6780356730008241</x:v>
      </x:c>
      <x:c r="F161" s="17" t="n">
        <x:v>1179.6615097609558</x:v>
      </x:c>
      <x:c r="G161" s="17" t="n">
        <x:v>410.6277337194995</x:v>
      </x:c>
      <x:c r="H161" s="17" t="n">
        <x:v>-193.84192940250264</x:v>
      </x:c>
      <x:c r="I161" s="12" t="n">
        <x:v>256</x:v>
      </x:c>
      <x:c r="J161" s="12" t="n">
        <x:v>2</x:v>
      </x:c>
      <x:c r="K161" s="19" t="n">
        <x:v>0.002713975339231919</x:v>
      </x:c>
      <x:c r="L161" s="19" t="n">
        <x:v>0</x:v>
      </x:c>
      <x:c r="M161" s="19" t="n">
        <x:v>0.0001</x:v>
      </x:c>
      <x:c r="N161" s="12" t="n">
        <x:v>5</x:v>
      </x:c>
      <x:c r="O161" s="10" t="n">
        <x:v>0.16270318627357483</x:v>
      </x:c>
      <x:c r="P161" s="22" t="n">
        <x:v>46.84718446340412</x:v>
      </x:c>
      <x:c r="Q161" s="26" t="str">
        <x:v>2009-10-01</x:v>
      </x:c>
      <x:c r="R161" s="26" t="str">
        <x:v>2014-12-31</x:v>
      </x:c>
    </x:row>
    <x:row r="162" ht="22" customHeight="1">
      <x:c r="A162" s="15" t="str">
        <x:f>"03165000"</x:f>
        <x:v>03165000</x:v>
      </x:c>
      <x:c r="B162" s="12" t="n">
        <x:v>42</x:v>
      </x:c>
      <x:c r="C162" s="12" t="n">
        <x:v>1918</x:v>
      </x:c>
      <x:c r="D162" s="10" t="n">
        <x:v>0.30036084257980356</x:v>
      </x:c>
      <x:c r="E162" s="10" t="n">
        <x:v>0.4074888537552198</x:v>
      </x:c>
      <x:c r="F162" s="17" t="n">
        <x:v>71.98596349536759</x:v>
      </x:c>
      <x:c r="G162" s="17" t="n">
        <x:v>23.499721559697598</x:v>
      </x:c>
      <x:c r="H162" s="17" t="n">
        <x:v>-3.1487057818039625</x:v>
      </x:c>
      <x:c r="I162" s="12" t="n">
        <x:v>256</x:v>
      </x:c>
      <x:c r="J162" s="12" t="n">
        <x:v>2</x:v>
      </x:c>
      <x:c r="K162" s="19" t="n">
        <x:v>0.002713975339231919</x:v>
      </x:c>
      <x:c r="L162" s="19" t="n">
        <x:v>0</x:v>
      </x:c>
      <x:c r="M162" s="19" t="n">
        <x:v>0.0001</x:v>
      </x:c>
      <x:c r="N162" s="12" t="n">
        <x:v>20</x:v>
      </x:c>
      <x:c r="O162" s="10" t="n">
        <x:v>0.8339599370956421</x:v>
      </x:c>
      <x:c r="P162" s="22" t="n">
        <x:v>46.9190672384575</x:v>
      </x:c>
      <x:c r="Q162" s="26" t="str">
        <x:v>2009-10-01</x:v>
      </x:c>
      <x:c r="R162" s="26" t="str">
        <x:v>2014-12-31</x:v>
      </x:c>
    </x:row>
    <x:row r="163" ht="22" customHeight="1">
      <x:c r="A163" s="15" t="str">
        <x:f>"03170000"</x:f>
        <x:v>03170000</x:v>
      </x:c>
      <x:c r="B163" s="12" t="n">
        <x:v>42</x:v>
      </x:c>
      <x:c r="C163" s="12" t="n">
        <x:v>1918</x:v>
      </x:c>
      <x:c r="D163" s="10" t="n">
        <x:v>0.48296204005609433</x:v>
      </x:c>
      <x:c r="E163" s="10" t="n">
        <x:v>0.6087492111258912</x:v>
      </x:c>
      <x:c r="F163" s="17" t="n">
        <x:v>301.4233556512466</x:v>
      </x:c>
      <x:c r="G163" s="17" t="n">
        <x:v>110.4263225818561</x:v>
      </x:c>
      <x:c r="H163" s="17" t="n">
        <x:v>4.085310927007301</x:v>
      </x:c>
      <x:c r="I163" s="12" t="n">
        <x:v>256</x:v>
      </x:c>
      <x:c r="J163" s="12" t="n">
        <x:v>2</x:v>
      </x:c>
      <x:c r="K163" s="19" t="n">
        <x:v>0.002713975339231919</x:v>
      </x:c>
      <x:c r="L163" s="19" t="n">
        <x:v>0</x:v>
      </x:c>
      <x:c r="M163" s="19" t="n">
        <x:v>0.0001</x:v>
      </x:c>
      <x:c r="N163" s="12" t="n">
        <x:v>1</x:v>
      </x:c>
      <x:c r="O163" s="10" t="n">
        <x:v>0.5847128033638</x:v>
      </x:c>
      <x:c r="P163" s="22" t="n">
        <x:v>47.07983167655766</x:v>
      </x:c>
      <x:c r="Q163" s="26" t="str">
        <x:v>2009-10-01</x:v>
      </x:c>
      <x:c r="R163" s="26" t="str">
        <x:v>2014-12-31</x:v>
      </x:c>
    </x:row>
    <x:row r="164" ht="22" customHeight="1">
      <x:c r="A164" s="15" t="str">
        <x:f>"03173000"</x:f>
        <x:v>03173000</x:v>
      </x:c>
      <x:c r="B164" s="12" t="n">
        <x:v>42</x:v>
      </x:c>
      <x:c r="C164" s="12" t="n">
        <x:v>1918</x:v>
      </x:c>
      <x:c r="D164" s="10" t="n">
        <x:v>0.509154101726922</x:v>
      </x:c>
      <x:c r="E164" s="10" t="n">
        <x:v>0.6076377780991926</x:v>
      </x:c>
      <x:c r="F164" s="17" t="n">
        <x:v>397.66527314984097</x:v>
      </x:c>
      <x:c r="G164" s="17" t="n">
        <x:v>104.13051610870698</x:v>
      </x:c>
      <x:c r="H164" s="17" t="n">
        <x:v>-23.543970585245045</x:v>
      </x:c>
      <x:c r="I164" s="12" t="n">
        <x:v>256</x:v>
      </x:c>
      <x:c r="J164" s="12" t="n">
        <x:v>2</x:v>
      </x:c>
      <x:c r="K164" s="19" t="n">
        <x:v>0.002713975339231919</x:v>
      </x:c>
      <x:c r="L164" s="19" t="n">
        <x:v>0</x:v>
      </x:c>
      <x:c r="M164" s="19" t="n">
        <x:v>0.0001</x:v>
      </x:c>
      <x:c r="N164" s="12" t="n">
        <x:v>7</x:v>
      </x:c>
      <x:c r="O164" s="10" t="n">
        <x:v>0.16297799348831177</x:v>
      </x:c>
      <x:c r="P164" s="22" t="n">
        <x:v>47.01539221126586</x:v>
      </x:c>
      <x:c r="Q164" s="26" t="str">
        <x:v>2009-10-01</x:v>
      </x:c>
      <x:c r="R164" s="26" t="str">
        <x:v>2014-12-31</x:v>
      </x:c>
    </x:row>
    <x:row r="165" ht="22" customHeight="1">
      <x:c r="A165" s="15" t="str">
        <x:f>"03237280"</x:f>
        <x:v>03237280</x:v>
      </x:c>
      <x:c r="B165" s="12" t="n">
        <x:v>42</x:v>
      </x:c>
      <x:c r="C165" s="12" t="n">
        <x:v>1918</x:v>
      </x:c>
      <x:c r="D165" s="10" t="n">
        <x:v>0.19919919515223394</x:v>
      </x:c>
      <x:c r="E165" s="10" t="n">
        <x:v>0.43580199554256893</x:v>
      </x:c>
      <x:c r="F165" s="17" t="n">
        <x:v>29.195953060011583</x:v>
      </x:c>
      <x:c r="G165" s="17" t="n">
        <x:v>8.980751069802695</x:v>
      </x:c>
      <x:c r="H165" s="17" t="n">
        <x:v>-0.8005430931430438</x:v>
      </x:c>
      <x:c r="I165" s="12" t="n">
        <x:v>256</x:v>
      </x:c>
      <x:c r="J165" s="12" t="n">
        <x:v>2</x:v>
      </x:c>
      <x:c r="K165" s="19" t="n">
        <x:v>0.002713975339231919</x:v>
      </x:c>
      <x:c r="L165" s="19" t="n">
        <x:v>0</x:v>
      </x:c>
      <x:c r="M165" s="19" t="n">
        <x:v>0.0001</x:v>
      </x:c>
      <x:c r="N165" s="12" t="n">
        <x:v>28</x:v>
      </x:c>
      <x:c r="O165" s="10" t="n">
        <x:v>0.5195783972740173</x:v>
      </x:c>
      <x:c r="P165" s="22" t="n">
        <x:v>46.967431725002825</x:v>
      </x:c>
      <x:c r="Q165" s="26" t="str">
        <x:v>2009-10-01</x:v>
      </x:c>
      <x:c r="R165" s="26" t="str">
        <x:v>2014-12-31</x:v>
      </x:c>
    </x:row>
    <x:row r="166" ht="22" customHeight="1">
      <x:c r="A166" s="15" t="str">
        <x:f>"03237500"</x:f>
        <x:v>03237500</x:v>
      </x:c>
      <x:c r="B166" s="12" t="n">
        <x:v>42</x:v>
      </x:c>
      <x:c r="C166" s="12" t="n">
        <x:v>1918</x:v>
      </x:c>
      <x:c r="D166" s="10" t="n">
        <x:v>0.27630368894617074</x:v>
      </x:c>
      <x:c r="E166" s="10" t="n">
        <x:v>0.3632431545222895</x:v>
      </x:c>
      <x:c r="F166" s="17" t="n">
        <x:v>1042.1366171741909</x:v>
      </x:c>
      <x:c r="G166" s="17" t="n">
        <x:v>339.27713275706463</x:v>
      </x:c>
      <x:c r="H166" s="17" t="n">
        <x:v>-27.170288706491142</x:v>
      </x:c>
      <x:c r="I166" s="12" t="n">
        <x:v>256</x:v>
      </x:c>
      <x:c r="J166" s="12" t="n">
        <x:v>2</x:v>
      </x:c>
      <x:c r="K166" s="19" t="n">
        <x:v>0.002713975339231919</x:v>
      </x:c>
      <x:c r="L166" s="19" t="n">
        <x:v>0</x:v>
      </x:c>
      <x:c r="M166" s="19" t="n">
        <x:v>0.0001</x:v>
      </x:c>
      <x:c r="N166" s="12" t="n">
        <x:v>6</x:v>
      </x:c>
      <x:c r="O166" s="10" t="n">
        <x:v>0.5005820989608765</x:v>
      </x:c>
      <x:c r="P166" s="22" t="n">
        <x:v>47.07519672252238</x:v>
      </x:c>
      <x:c r="Q166" s="26" t="str">
        <x:v>2009-10-01</x:v>
      </x:c>
      <x:c r="R166" s="26" t="str">
        <x:v>2014-12-31</x:v>
      </x:c>
    </x:row>
    <x:row r="167" ht="22" customHeight="1">
      <x:c r="A167" s="15" t="str">
        <x:f>"03241500"</x:f>
        <x:v>03241500</x:v>
      </x:c>
      <x:c r="B167" s="12" t="n">
        <x:v>42</x:v>
      </x:c>
      <x:c r="C167" s="12" t="n">
        <x:v>1918</x:v>
      </x:c>
      <x:c r="D167" s="10" t="n">
        <x:v>0.6469069758599553</x:v>
      </x:c>
      <x:c r="E167" s="10" t="n">
        <x:v>0.716065680666153</x:v>
      </x:c>
      <x:c r="F167" s="17" t="n">
        <x:v>89.01612950576421</x:v>
      </x:c>
      <x:c r="G167" s="17" t="n">
        <x:v>36.347845116334724</x:v>
      </x:c>
      <x:c r="H167" s="17" t="n">
        <x:v>2.0848263673983314</x:v>
      </x:c>
      <x:c r="I167" s="12" t="n">
        <x:v>256</x:v>
      </x:c>
      <x:c r="J167" s="12" t="n">
        <x:v>2</x:v>
      </x:c>
      <x:c r="K167" s="19" t="n">
        <x:v>0.002713975339231919</x:v>
      </x:c>
      <x:c r="L167" s="19" t="n">
        <x:v>0</x:v>
      </x:c>
      <x:c r="M167" s="19" t="n">
        <x:v>0.0001</x:v>
      </x:c>
      <x:c r="N167" s="12" t="n">
        <x:v>6</x:v>
      </x:c>
      <x:c r="O167" s="10" t="n">
        <x:v>0.528614342212677</x:v>
      </x:c>
      <x:c r="P167" s="22" t="n">
        <x:v>47.07239267975092</x:v>
      </x:c>
      <x:c r="Q167" s="26" t="str">
        <x:v>2009-10-01</x:v>
      </x:c>
      <x:c r="R167" s="26" t="str">
        <x:v>2014-12-31</x:v>
      </x:c>
    </x:row>
    <x:row r="168" ht="22" customHeight="1">
      <x:c r="A168" s="15" t="str">
        <x:f>"03291780"</x:f>
        <x:v>03291780</x:v>
      </x:c>
      <x:c r="B168" s="12" t="n">
        <x:v>42</x:v>
      </x:c>
      <x:c r="C168" s="12" t="n">
        <x:v>1918</x:v>
      </x:c>
      <x:c r="D168" s="10" t="n">
        <x:v>0.27413449935138245</x:v>
      </x:c>
      <x:c r="E168" s="10" t="n">
        <x:v>0.2964385346822487</x:v>
      </x:c>
      <x:c r="F168" s="17" t="n">
        <x:v>92.32249482632763</x:v>
      </x:c>
      <x:c r="G168" s="17" t="n">
        <x:v>30.326991245423876</x:v>
      </x:c>
      <x:c r="H168" s="17" t="n">
        <x:v>-6.469760915441084</x:v>
      </x:c>
      <x:c r="I168" s="12" t="n">
        <x:v>256</x:v>
      </x:c>
      <x:c r="J168" s="12" t="n">
        <x:v>2</x:v>
      </x:c>
      <x:c r="K168" s="19" t="n">
        <x:v>0.002713975339231919</x:v>
      </x:c>
      <x:c r="L168" s="19" t="n">
        <x:v>0</x:v>
      </x:c>
      <x:c r="M168" s="19" t="n">
        <x:v>0.0001</x:v>
      </x:c>
      <x:c r="N168" s="12" t="n">
        <x:v>6</x:v>
      </x:c>
      <x:c r="O168" s="10" t="n">
        <x:v>0.6949011087417603</x:v>
      </x:c>
      <x:c r="P168" s="22" t="n">
        <x:v>47.09138405881822</x:v>
      </x:c>
      <x:c r="Q168" s="26" t="str">
        <x:v>2009-10-01</x:v>
      </x:c>
      <x:c r="R168" s="26" t="str">
        <x:v>2014-12-31</x:v>
      </x:c>
    </x:row>
    <x:row r="169" ht="22" customHeight="1">
      <x:c r="A169" s="15" t="str">
        <x:f>"03346000"</x:f>
        <x:v>03346000</x:v>
      </x:c>
      <x:c r="B169" s="12" t="n">
        <x:v>42</x:v>
      </x:c>
      <x:c r="C169" s="12" t="n">
        <x:v>1918</x:v>
      </x:c>
      <x:c r="D169" s="10" t="n">
        <x:v>0.7068536682534694</x:v>
      </x:c>
      <x:c r="E169" s="10" t="n">
        <x:v>0.7627624031921764</x:v>
      </x:c>
      <x:c r="F169" s="17" t="n">
        <x:v>455.1499392564296</x:v>
      </x:c>
      <x:c r="G169" s="17" t="n">
        <x:v>201.94203064134513</x:v>
      </x:c>
      <x:c r="H169" s="17" t="n">
        <x:v>61.0497937448488</x:v>
      </x:c>
      <x:c r="I169" s="12" t="n">
        <x:v>256</x:v>
      </x:c>
      <x:c r="J169" s="12" t="n">
        <x:v>2</x:v>
      </x:c>
      <x:c r="K169" s="19" t="n">
        <x:v>0.002713975339231919</x:v>
      </x:c>
      <x:c r="L169" s="19" t="n">
        <x:v>0</x:v>
      </x:c>
      <x:c r="M169" s="19" t="n">
        <x:v>0.0001</x:v>
      </x:c>
      <x:c r="N169" s="12" t="n">
        <x:v>4</x:v>
      </x:c>
      <x:c r="O169" s="10" t="n">
        <x:v>0.6558791995048523</x:v>
      </x:c>
      <x:c r="P169" s="22" t="n">
        <x:v>47.095199008472264</x:v>
      </x:c>
      <x:c r="Q169" s="26" t="str">
        <x:v>2009-10-01</x:v>
      </x:c>
      <x:c r="R169" s="26" t="str">
        <x:v>2014-12-31</x:v>
      </x:c>
    </x:row>
    <x:row r="170" ht="22" customHeight="1">
      <x:c r="A170" s="15" t="str">
        <x:f>"03384450"</x:f>
        <x:v>03384450</x:v>
      </x:c>
      <x:c r="B170" s="12" t="n">
        <x:v>42</x:v>
      </x:c>
      <x:c r="C170" s="12" t="n">
        <x:v>1918</x:v>
      </x:c>
      <x:c r="D170" s="10" t="n">
        <x:v>0.22157254931410786</x:v>
      </x:c>
      <x:c r="E170" s="10" t="n">
        <x:v>0.17821065987560947</x:v>
      </x:c>
      <x:c r="F170" s="17" t="n">
        <x:v>220.2872437906535</x:v>
      </x:c>
      <x:c r="G170" s="17" t="n">
        <x:v>61.93603646614125</x:v>
      </x:c>
      <x:c r="H170" s="17" t="n">
        <x:v>2.766311608309856</x:v>
      </x:c>
      <x:c r="I170" s="12" t="n">
        <x:v>256</x:v>
      </x:c>
      <x:c r="J170" s="12" t="n">
        <x:v>2</x:v>
      </x:c>
      <x:c r="K170" s="19" t="n">
        <x:v>0.002713975339231919</x:v>
      </x:c>
      <x:c r="L170" s="19" t="n">
        <x:v>0</x:v>
      </x:c>
      <x:c r="M170" s="19" t="n">
        <x:v>0.0001</x:v>
      </x:c>
      <x:c r="N170" s="12" t="n">
        <x:v>4</x:v>
      </x:c>
      <x:c r="O170" s="10" t="n">
        <x:v>1.0651841163635254</x:v>
      </x:c>
      <x:c r="P170" s="22" t="n">
        <x:v>47.0849484205246</x:v>
      </x:c>
      <x:c r="Q170" s="26" t="str">
        <x:v>2009-10-01</x:v>
      </x:c>
      <x:c r="R170" s="26" t="str">
        <x:v>2014-12-31</x:v>
      </x:c>
    </x:row>
    <x:row r="171" ht="22" customHeight="1">
      <x:c r="A171" s="15" t="str">
        <x:f>"03439000"</x:f>
        <x:v>03439000</x:v>
      </x:c>
      <x:c r="B171" s="12" t="n">
        <x:v>42</x:v>
      </x:c>
      <x:c r="C171" s="12" t="n">
        <x:v>1918</x:v>
      </x:c>
      <x:c r="D171" s="10" t="n">
        <x:v>0.38392408132208167</x:v>
      </x:c>
      <x:c r="E171" s="10" t="n">
        <x:v>0.645612867945723</x:v>
      </x:c>
      <x:c r="F171" s="17" t="n">
        <x:v>188.43712642123998</x:v>
      </x:c>
      <x:c r="G171" s="17" t="n">
        <x:v>65.36913631126173</x:v>
      </x:c>
      <x:c r="H171" s="17" t="n">
        <x:v>-2.712622334202294</x:v>
      </x:c>
      <x:c r="I171" s="12" t="n">
        <x:v>256</x:v>
      </x:c>
      <x:c r="J171" s="12" t="n">
        <x:v>2</x:v>
      </x:c>
      <x:c r="K171" s="19" t="n">
        <x:v>0.002713975339231919</x:v>
      </x:c>
      <x:c r="L171" s="19" t="n">
        <x:v>0</x:v>
      </x:c>
      <x:c r="M171" s="19" t="n">
        <x:v>0.0001</x:v>
      </x:c>
      <x:c r="N171" s="12" t="n">
        <x:v>25</x:v>
      </x:c>
      <x:c r="O171" s="10" t="n">
        <x:v>0.668512761592865</x:v>
      </x:c>
      <x:c r="P171" s="22" t="n">
        <x:v>46.87892081215978</x:v>
      </x:c>
      <x:c r="Q171" s="26" t="str">
        <x:v>2009-10-01</x:v>
      </x:c>
      <x:c r="R171" s="26" t="str">
        <x:v>2014-12-31</x:v>
      </x:c>
    </x:row>
    <x:row r="172" ht="22" customHeight="1">
      <x:c r="A172" s="15" t="str">
        <x:f>"03455500"</x:f>
        <x:v>03455500</x:v>
      </x:c>
      <x:c r="B172" s="12" t="n">
        <x:v>42</x:v>
      </x:c>
      <x:c r="C172" s="12" t="n">
        <x:v>1918</x:v>
      </x:c>
      <x:c r="D172" s="10" t="n">
        <x:v>0.3753574211080398</x:v>
      </x:c>
      <x:c r="E172" s="10" t="n">
        <x:v>0.4574884264879645</x:v>
      </x:c>
      <x:c r="F172" s="17" t="n">
        <x:v>101.25569184266323</x:v>
      </x:c>
      <x:c r="G172" s="17" t="n">
        <x:v>38.74965167361835</x:v>
      </x:c>
      <x:c r="H172" s="17" t="n">
        <x:v>1.1883696944734095</x:v>
      </x:c>
      <x:c r="I172" s="12" t="n">
        <x:v>256</x:v>
      </x:c>
      <x:c r="J172" s="12" t="n">
        <x:v>2</x:v>
      </x:c>
      <x:c r="K172" s="19" t="n">
        <x:v>0.002713975339231919</x:v>
      </x:c>
      <x:c r="L172" s="19" t="n">
        <x:v>0</x:v>
      </x:c>
      <x:c r="M172" s="19" t="n">
        <x:v>0.0001</x:v>
      </x:c>
      <x:c r="N172" s="12" t="n">
        <x:v>15</x:v>
      </x:c>
      <x:c r="O172" s="10" t="n">
        <x:v>0.8199511170387268</x:v>
      </x:c>
      <x:c r="P172" s="22" t="n">
        <x:v>46.834114712662995</x:v>
      </x:c>
      <x:c r="Q172" s="26" t="str">
        <x:v>2009-10-01</x:v>
      </x:c>
      <x:c r="R172" s="26" t="str">
        <x:v>2014-12-31</x:v>
      </x:c>
    </x:row>
    <x:row r="173" ht="22" customHeight="1">
      <x:c r="A173" s="15" t="str">
        <x:f>"03456500"</x:f>
        <x:v>03456500</x:v>
      </x:c>
      <x:c r="B173" s="12" t="n">
        <x:v>42</x:v>
      </x:c>
      <x:c r="C173" s="12" t="n">
        <x:v>1918</x:v>
      </x:c>
      <x:c r="D173" s="10" t="n">
        <x:v>0.43326193336068286</x:v>
      </x:c>
      <x:c r="E173" s="10" t="n">
        <x:v>0.6599435366041351</x:v>
      </x:c>
      <x:c r="F173" s="17" t="n">
        <x:v>132.6617837733148</x:v>
      </x:c>
      <x:c r="G173" s="17" t="n">
        <x:v>42.50652718274244</x:v>
      </x:c>
      <x:c r="H173" s="17" t="n">
        <x:v>-0.5449780346715337</x:v>
      </x:c>
      <x:c r="I173" s="12" t="n">
        <x:v>256</x:v>
      </x:c>
      <x:c r="J173" s="12" t="n">
        <x:v>2</x:v>
      </x:c>
      <x:c r="K173" s="19" t="n">
        <x:v>0.002713975339231919</x:v>
      </x:c>
      <x:c r="L173" s="19" t="n">
        <x:v>0</x:v>
      </x:c>
      <x:c r="M173" s="19" t="n">
        <x:v>0.0001</x:v>
      </x:c>
      <x:c r="N173" s="12" t="n">
        <x:v>17</x:v>
      </x:c>
      <x:c r="O173" s="10" t="n">
        <x:v>1.3126720190048218</x:v>
      </x:c>
      <x:c r="P173" s="22" t="n">
        <x:v>46.78055084683001</x:v>
      </x:c>
      <x:c r="Q173" s="26" t="str">
        <x:v>2009-10-01</x:v>
      </x:c>
      <x:c r="R173" s="26" t="str">
        <x:v>2014-12-31</x:v>
      </x:c>
    </x:row>
    <x:row r="174" ht="22" customHeight="1">
      <x:c r="A174" s="15" t="str">
        <x:f>"03460000"</x:f>
        <x:v>03460000</x:v>
      </x:c>
      <x:c r="B174" s="12" t="n">
        <x:v>42</x:v>
      </x:c>
      <x:c r="C174" s="12" t="n">
        <x:v>1918</x:v>
      </x:c>
      <x:c r="D174" s="10" t="n">
        <x:v>0.6121320201553646</x:v>
      </x:c>
      <x:c r="E174" s="10" t="n">
        <x:v>0.6585182443914085</x:v>
      </x:c>
      <x:c r="F174" s="17" t="n">
        <x:v>81.9010934054365</x:v>
      </x:c>
      <x:c r="G174" s="17" t="n">
        <x:v>28.601108645464024</x:v>
      </x:c>
      <x:c r="H174" s="17" t="n">
        <x:v>0.9297257664233586</x:v>
      </x:c>
      <x:c r="I174" s="12" t="n">
        <x:v>256</x:v>
      </x:c>
      <x:c r="J174" s="12" t="n">
        <x:v>2</x:v>
      </x:c>
      <x:c r="K174" s="19" t="n">
        <x:v>0.002713975339231919</x:v>
      </x:c>
      <x:c r="L174" s="19" t="n">
        <x:v>0</x:v>
      </x:c>
      <x:c r="M174" s="19" t="n">
        <x:v>0.0001</x:v>
      </x:c>
      <x:c r="N174" s="12" t="n">
        <x:v>7</x:v>
      </x:c>
      <x:c r="O174" s="10" t="n">
        <x:v>0.2827579975128174</x:v>
      </x:c>
      <x:c r="P174" s="22" t="n">
        <x:v>46.91052998136729</x:v>
      </x:c>
      <x:c r="Q174" s="26" t="str">
        <x:v>2009-10-01</x:v>
      </x:c>
      <x:c r="R174" s="26" t="str">
        <x:v>2014-12-31</x:v>
      </x:c>
    </x:row>
    <x:row r="175" ht="22" customHeight="1">
      <x:c r="A175" s="15" t="str">
        <x:f>"03463300"</x:f>
        <x:v>03463300</x:v>
      </x:c>
      <x:c r="B175" s="12" t="n">
        <x:v>42</x:v>
      </x:c>
      <x:c r="C175" s="12" t="n">
        <x:v>1918</x:v>
      </x:c>
      <x:c r="D175" s="10" t="n">
        <x:v>0.48492450030009226</x:v>
      </x:c>
      <x:c r="E175" s="10" t="n">
        <x:v>0.583772176512594</x:v>
      </x:c>
      <x:c r="F175" s="17" t="n">
        <x:v>130.95490964568083</x:v>
      </x:c>
      <x:c r="G175" s="17" t="n">
        <x:v>49.950506885610004</x:v>
      </x:c>
      <x:c r="H175" s="17" t="n">
        <x:v>7.685002785922835</x:v>
      </x:c>
      <x:c r="I175" s="12" t="n">
        <x:v>256</x:v>
      </x:c>
      <x:c r="J175" s="12" t="n">
        <x:v>2</x:v>
      </x:c>
      <x:c r="K175" s="19" t="n">
        <x:v>0.002713975339231919</x:v>
      </x:c>
      <x:c r="L175" s="19" t="n">
        <x:v>0</x:v>
      </x:c>
      <x:c r="M175" s="19" t="n">
        <x:v>0.0001</x:v>
      </x:c>
      <x:c r="N175" s="12" t="n">
        <x:v>21</x:v>
      </x:c>
      <x:c r="O175" s="10" t="n">
        <x:v>2.6811158657073975</x:v>
      </x:c>
      <x:c r="P175" s="22" t="n">
        <x:v>46.92864370346069</x:v>
      </x:c>
      <x:c r="Q175" s="26" t="str">
        <x:v>2009-10-01</x:v>
      </x:c>
      <x:c r="R175" s="26" t="str">
        <x:v>2014-12-31</x:v>
      </x:c>
    </x:row>
    <x:row r="176" ht="22" customHeight="1">
      <x:c r="A176" s="15" t="str">
        <x:f>"03471500"</x:f>
        <x:v>03471500</x:v>
      </x:c>
      <x:c r="B176" s="12" t="n">
        <x:v>42</x:v>
      </x:c>
      <x:c r="C176" s="12" t="n">
        <x:v>1918</x:v>
      </x:c>
      <x:c r="D176" s="10" t="n">
        <x:v>0.6219242723415119</x:v>
      </x:c>
      <x:c r="E176" s="10" t="n">
        <x:v>0.7331377541835253</x:v>
      </x:c>
      <x:c r="F176" s="17" t="n">
        <x:v>85.59125084501656</x:v>
      </x:c>
      <x:c r="G176" s="17" t="n">
        <x:v>29.09335290198123</x:v>
      </x:c>
      <x:c r="H176" s="17" t="n">
        <x:v>-1.673741889468196</x:v>
      </x:c>
      <x:c r="I176" s="12" t="n">
        <x:v>256</x:v>
      </x:c>
      <x:c r="J176" s="12" t="n">
        <x:v>2</x:v>
      </x:c>
      <x:c r="K176" s="19" t="n">
        <x:v>0.002713975339231919</x:v>
      </x:c>
      <x:c r="L176" s="19" t="n">
        <x:v>0</x:v>
      </x:c>
      <x:c r="M176" s="19" t="n">
        <x:v>0.0001</x:v>
      </x:c>
      <x:c r="N176" s="12" t="n">
        <x:v>12</x:v>
      </x:c>
      <x:c r="O176" s="10" t="n">
        <x:v>0.10173680633306503</x:v>
      </x:c>
      <x:c r="P176" s="22" t="n">
        <x:v>47.054717550985515</x:v>
      </x:c>
      <x:c r="Q176" s="26" t="str">
        <x:v>2009-10-01</x:v>
      </x:c>
      <x:c r="R176" s="26" t="str">
        <x:v>2014-12-31</x:v>
      </x:c>
    </x:row>
    <x:row r="177" ht="22" customHeight="1">
      <x:c r="A177" s="15" t="str">
        <x:f>"03473000"</x:f>
        <x:v>03473000</x:v>
      </x:c>
      <x:c r="B177" s="12" t="n">
        <x:v>42</x:v>
      </x:c>
      <x:c r="C177" s="12" t="n">
        <x:v>1918</x:v>
      </x:c>
      <x:c r="D177" s="10" t="n">
        <x:v>0.6845544036822084</x:v>
      </x:c>
      <x:c r="E177" s="10" t="n">
        <x:v>0.7345020320054503</x:v>
      </x:c>
      <x:c r="F177" s="17" t="n">
        <x:v>328.1410268306892</x:v>
      </x:c>
      <x:c r="G177" s="17" t="n">
        <x:v>123.75684831074035</x:v>
      </x:c>
      <x:c r="H177" s="17" t="n">
        <x:v>-2.5464443472367058</x:v>
      </x:c>
      <x:c r="I177" s="12" t="n">
        <x:v>256</x:v>
      </x:c>
      <x:c r="J177" s="12" t="n">
        <x:v>2</x:v>
      </x:c>
      <x:c r="K177" s="19" t="n">
        <x:v>0.002713975339231919</x:v>
      </x:c>
      <x:c r="L177" s="19" t="n">
        <x:v>0</x:v>
      </x:c>
      <x:c r="M177" s="19" t="n">
        <x:v>0.0001</x:v>
      </x:c>
      <x:c r="N177" s="12" t="n">
        <x:v>7</x:v>
      </x:c>
      <x:c r="O177" s="10" t="n">
        <x:v>0.13563698530197144</x:v>
      </x:c>
      <x:c r="P177" s="22" t="n">
        <x:v>47.01514414139092</x:v>
      </x:c>
      <x:c r="Q177" s="26" t="str">
        <x:v>2009-10-01</x:v>
      </x:c>
      <x:c r="R177" s="26" t="str">
        <x:v>2014-12-31</x:v>
      </x:c>
    </x:row>
    <x:row r="178" ht="22" customHeight="1">
      <x:c r="A178" s="15" t="str">
        <x:f>"03479000"</x:f>
        <x:v>03479000</x:v>
      </x:c>
      <x:c r="B178" s="12" t="n">
        <x:v>42</x:v>
      </x:c>
      <x:c r="C178" s="12" t="n">
        <x:v>1918</x:v>
      </x:c>
      <x:c r="D178" s="10" t="n">
        <x:v>0.4005886840337852</x:v>
      </x:c>
      <x:c r="E178" s="10" t="n">
        <x:v>0.5966082962284991</x:v>
      </x:c>
      <x:c r="F178" s="17" t="n">
        <x:v>237.6946338986245</x:v>
      </x:c>
      <x:c r="G178" s="17" t="n">
        <x:v>71.63873441986443</x:v>
      </x:c>
      <x:c r="H178" s="17" t="n">
        <x:v>0.5306369430135551</x:v>
      </x:c>
      <x:c r="I178" s="12" t="n">
        <x:v>256</x:v>
      </x:c>
      <x:c r="J178" s="12" t="n">
        <x:v>2</x:v>
      </x:c>
      <x:c r="K178" s="19" t="n">
        <x:v>0.002713975339231919</x:v>
      </x:c>
      <x:c r="L178" s="19" t="n">
        <x:v>0</x:v>
      </x:c>
      <x:c r="M178" s="19" t="n">
        <x:v>0.0001</x:v>
      </x:c>
      <x:c r="N178" s="12" t="n">
        <x:v>26</x:v>
      </x:c>
      <x:c r="O178" s="10" t="n">
        <x:v>0.7350392937660217</x:v>
      </x:c>
      <x:c r="P178" s="22" t="n">
        <x:v>47.062042011879385</x:v>
      </x:c>
      <x:c r="Q178" s="26" t="str">
        <x:v>2009-10-01</x:v>
      </x:c>
      <x:c r="R178" s="26" t="str">
        <x:v>2014-12-31</x:v>
      </x:c>
    </x:row>
    <x:row r="179" ht="22" customHeight="1">
      <x:c r="A179" s="15" t="str">
        <x:f>"03488000"</x:f>
        <x:v>03488000</x:v>
      </x:c>
      <x:c r="B179" s="12" t="n">
        <x:v>42</x:v>
      </x:c>
      <x:c r="C179" s="12" t="n">
        <x:v>1918</x:v>
      </x:c>
      <x:c r="D179" s="10" t="n">
        <x:v>0.6448905395793125</x:v>
      </x:c>
      <x:c r="E179" s="10" t="n">
        <x:v>0.7026868778261514</x:v>
      </x:c>
      <x:c r="F179" s="17" t="n">
        <x:v>255.3644617981792</x:v>
      </x:c>
      <x:c r="G179" s="17" t="n">
        <x:v>99.76750999582899</x:v>
      </x:c>
      <x:c r="H179" s="17" t="n">
        <x:v>5.965316411887383</x:v>
      </x:c>
      <x:c r="I179" s="12" t="n">
        <x:v>256</x:v>
      </x:c>
      <x:c r="J179" s="12" t="n">
        <x:v>2</x:v>
      </x:c>
      <x:c r="K179" s="19" t="n">
        <x:v>0.002713975339231919</x:v>
      </x:c>
      <x:c r="L179" s="19" t="n">
        <x:v>0</x:v>
      </x:c>
      <x:c r="M179" s="19" t="n">
        <x:v>0.0001</x:v>
      </x:c>
      <x:c r="N179" s="12" t="n">
        <x:v>7</x:v>
      </x:c>
      <x:c r="O179" s="10" t="n">
        <x:v>0.13866116106510162</x:v>
      </x:c>
      <x:c r="P179" s="22" t="n">
        <x:v>46.953750267624855</x:v>
      </x:c>
      <x:c r="Q179" s="26" t="str">
        <x:v>2009-10-01</x:v>
      </x:c>
      <x:c r="R179" s="26" t="str">
        <x:v>2014-12-31</x:v>
      </x:c>
    </x:row>
    <x:row r="180" ht="22" customHeight="1">
      <x:c r="A180" s="15" t="str">
        <x:f>"03498500"</x:f>
        <x:v>03498500</x:v>
      </x:c>
      <x:c r="B180" s="12" t="n">
        <x:v>42</x:v>
      </x:c>
      <x:c r="C180" s="12" t="n">
        <x:v>1918</x:v>
      </x:c>
      <x:c r="D180" s="10" t="n">
        <x:v>0.4891764512663842</x:v>
      </x:c>
      <x:c r="E180" s="10" t="n">
        <x:v>0.6104659768119343</x:v>
      </x:c>
      <x:c r="F180" s="17" t="n">
        <x:v>585.4148747302762</x:v>
      </x:c>
      <x:c r="G180" s="17" t="n">
        <x:v>193.19652511918667</x:v>
      </x:c>
      <x:c r="H180" s="17" t="n">
        <x:v>-30.706365227632947</x:v>
      </x:c>
      <x:c r="I180" s="12" t="n">
        <x:v>256</x:v>
      </x:c>
      <x:c r="J180" s="12" t="n">
        <x:v>2</x:v>
      </x:c>
      <x:c r="K180" s="19" t="n">
        <x:v>0.002713975339231919</x:v>
      </x:c>
      <x:c r="L180" s="19" t="n">
        <x:v>0</x:v>
      </x:c>
      <x:c r="M180" s="19" t="n">
        <x:v>0.0001</x:v>
      </x:c>
      <x:c r="N180" s="12" t="n">
        <x:v>8</x:v>
      </x:c>
      <x:c r="O180" s="10" t="n">
        <x:v>0.24336428940296173</x:v>
      </x:c>
      <x:c r="P180" s="22" t="n">
        <x:v>47.048435968346894</x:v>
      </x:c>
      <x:c r="Q180" s="26" t="str">
        <x:v>2009-10-01</x:v>
      </x:c>
      <x:c r="R180" s="26" t="str">
        <x:v>2014-12-31</x:v>
      </x:c>
    </x:row>
    <x:row r="181" ht="22" customHeight="1">
      <x:c r="A181" s="15" t="str">
        <x:f>"03500000"</x:f>
        <x:v>03500000</x:v>
      </x:c>
      <x:c r="B181" s="12" t="n">
        <x:v>42</x:v>
      </x:c>
      <x:c r="C181" s="12" t="n">
        <x:v>1918</x:v>
      </x:c>
      <x:c r="D181" s="10" t="n">
        <x:v>0.665647624821856</x:v>
      </x:c>
      <x:c r="E181" s="10" t="n">
        <x:v>0.6999488534338365</x:v>
      </x:c>
      <x:c r="F181" s="17" t="n">
        <x:v>192.838960269319</x:v>
      </x:c>
      <x:c r="G181" s="17" t="n">
        <x:v>77.98023242335766</x:v>
      </x:c>
      <x:c r="H181" s="17" t="n">
        <x:v>-5.985393459854013</x:v>
      </x:c>
      <x:c r="I181" s="12" t="n">
        <x:v>256</x:v>
      </x:c>
      <x:c r="J181" s="12" t="n">
        <x:v>2</x:v>
      </x:c>
      <x:c r="K181" s="19" t="n">
        <x:v>0.002713975339231919</x:v>
      </x:c>
      <x:c r="L181" s="19" t="n">
        <x:v>0</x:v>
      </x:c>
      <x:c r="M181" s="19" t="n">
        <x:v>0.0001</x:v>
      </x:c>
      <x:c r="N181" s="12" t="n">
        <x:v>4</x:v>
      </x:c>
      <x:c r="O181" s="10" t="n">
        <x:v>0.5840286612510681</x:v>
      </x:c>
      <x:c r="P181" s="22" t="n">
        <x:v>47.00075338687748</x:v>
      </x:c>
      <x:c r="Q181" s="26" t="str">
        <x:v>2009-10-01</x:v>
      </x:c>
      <x:c r="R181" s="26" t="str">
        <x:v>2014-12-31</x:v>
      </x:c>
    </x:row>
    <x:row r="182" ht="22" customHeight="1">
      <x:c r="A182" s="15" t="str">
        <x:f>"03500240"</x:f>
        <x:v>03500240</x:v>
      </x:c>
      <x:c r="B182" s="12" t="n">
        <x:v>42</x:v>
      </x:c>
      <x:c r="C182" s="12" t="n">
        <x:v>1918</x:v>
      </x:c>
      <x:c r="D182" s="10" t="n">
        <x:v>0.6061249674611351</x:v>
      </x:c>
      <x:c r="E182" s="10" t="n">
        <x:v>0.6816194650846835</x:v>
      </x:c>
      <x:c r="F182" s="17" t="n">
        <x:v>76.96202473072788</x:v>
      </x:c>
      <x:c r="G182" s="17" t="n">
        <x:v>29.73706879353493</x:v>
      </x:c>
      <x:c r="H182" s="17" t="n">
        <x:v>-0.8626424202294062</x:v>
      </x:c>
      <x:c r="I182" s="12" t="n">
        <x:v>256</x:v>
      </x:c>
      <x:c r="J182" s="12" t="n">
        <x:v>2</x:v>
      </x:c>
      <x:c r="K182" s="19" t="n">
        <x:v>0.002713975339231919</x:v>
      </x:c>
      <x:c r="L182" s="19" t="n">
        <x:v>0</x:v>
      </x:c>
      <x:c r="M182" s="19" t="n">
        <x:v>0.0001</x:v>
      </x:c>
      <x:c r="N182" s="12" t="n">
        <x:v>7</x:v>
      </x:c>
      <x:c r="O182" s="10" t="n">
        <x:v>0.502421498298645</x:v>
      </x:c>
      <x:c r="P182" s="22" t="n">
        <x:v>47.055318323895335</x:v>
      </x:c>
      <x:c r="Q182" s="26" t="str">
        <x:v>2009-10-01</x:v>
      </x:c>
      <x:c r="R182" s="26" t="str">
        <x:v>2014-12-31</x:v>
      </x:c>
    </x:row>
    <x:row r="183" ht="22" customHeight="1">
      <x:c r="A183" s="15" t="str">
        <x:f>"03504000"</x:f>
        <x:v>03504000</x:v>
      </x:c>
      <x:c r="B183" s="12" t="n">
        <x:v>42</x:v>
      </x:c>
      <x:c r="C183" s="12" t="n">
        <x:v>1918</x:v>
      </x:c>
      <x:c r="D183" s="10" t="n">
        <x:v>0.6156919392150455</x:v>
      </x:c>
      <x:c r="E183" s="10" t="n">
        <x:v>0.688000142505464</x:v>
      </x:c>
      <x:c r="F183" s="17" t="n">
        <x:v>118.48519801558297</x:v>
      </x:c>
      <x:c r="G183" s="17" t="n">
        <x:v>46.82331723044839</x:v>
      </x:c>
      <x:c r="H183" s="17" t="n">
        <x:v>-0.9411683399374348</x:v>
      </x:c>
      <x:c r="I183" s="12" t="n">
        <x:v>256</x:v>
      </x:c>
      <x:c r="J183" s="12" t="n">
        <x:v>2</x:v>
      </x:c>
      <x:c r="K183" s="19" t="n">
        <x:v>0.002713975339231919</x:v>
      </x:c>
      <x:c r="L183" s="19" t="n">
        <x:v>0</x:v>
      </x:c>
      <x:c r="M183" s="19" t="n">
        <x:v>0.0001</x:v>
      </x:c>
      <x:c r="N183" s="12" t="n">
        <x:v>12</x:v>
      </x:c>
      <x:c r="O183" s="10" t="n">
        <x:v>0.39453125</x:v>
      </x:c>
      <x:c r="P183" s="22" t="n">
        <x:v>47.05453320220113</x:v>
      </x:c>
      <x:c r="Q183" s="26" t="str">
        <x:v>2009-10-01</x:v>
      </x:c>
      <x:c r="R183" s="26" t="str">
        <x:v>2014-12-31</x:v>
      </x:c>
    </x:row>
    <x:row r="184" ht="22" customHeight="1">
      <x:c r="A184" s="15" t="str">
        <x:f>"03574500"</x:f>
        <x:v>03574500</x:v>
      </x:c>
      <x:c r="B184" s="12" t="n">
        <x:v>42</x:v>
      </x:c>
      <x:c r="C184" s="12" t="n">
        <x:v>1918</x:v>
      </x:c>
      <x:c r="D184" s="10" t="n">
        <x:v>0.8642820875092244</x:v>
      </x:c>
      <x:c r="E184" s="10" t="n">
        <x:v>0.8958767299232864</x:v>
      </x:c>
      <x:c r="F184" s="17" t="n">
        <x:v>459.126402505641</x:v>
      </x:c>
      <x:c r="G184" s="17" t="n">
        <x:v>208.38356070684046</x:v>
      </x:c>
      <x:c r="H184" s="17" t="n">
        <x:v>26.31739032965589</x:v>
      </x:c>
      <x:c r="I184" s="12" t="n">
        <x:v>256</x:v>
      </x:c>
      <x:c r="J184" s="12" t="n">
        <x:v>2</x:v>
      </x:c>
      <x:c r="K184" s="19" t="n">
        <x:v>0.002713975339231919</x:v>
      </x:c>
      <x:c r="L184" s="19" t="n">
        <x:v>0</x:v>
      </x:c>
      <x:c r="M184" s="19" t="n">
        <x:v>0.0001</x:v>
      </x:c>
      <x:c r="N184" s="12" t="n">
        <x:v>8</x:v>
      </x:c>
      <x:c r="O184" s="10" t="n">
        <x:v>0.11621744185686111</x:v>
      </x:c>
      <x:c r="P184" s="22" t="n">
        <x:v>47.05803399719298</x:v>
      </x:c>
      <x:c r="Q184" s="26" t="str">
        <x:v>2009-10-01</x:v>
      </x:c>
      <x:c r="R184" s="26" t="str">
        <x:v>2014-12-31</x:v>
      </x:c>
    </x:row>
    <x:row r="185" ht="22" customHeight="1">
      <x:c r="A185" s="15" t="str">
        <x:f>"03604000"</x:f>
        <x:v>03604000</x:v>
      </x:c>
      <x:c r="B185" s="12" t="n">
        <x:v>42</x:v>
      </x:c>
      <x:c r="C185" s="12" t="n">
        <x:v>1918</x:v>
      </x:c>
      <x:c r="D185" s="10" t="n">
        <x:v>0.5295984888140282</x:v>
      </x:c>
      <x:c r="E185" s="10" t="n">
        <x:v>0.5103725671864587</x:v>
      </x:c>
      <x:c r="F185" s="17" t="n">
        <x:v>1189.0480657458545</x:v>
      </x:c>
      <x:c r="G185" s="17" t="n">
        <x:v>252.09918728675706</x:v>
      </x:c>
      <x:c r="H185" s="17" t="n">
        <x:v>-1.0119854723670472</x:v>
      </x:c>
      <x:c r="I185" s="12" t="n">
        <x:v>256</x:v>
      </x:c>
      <x:c r="J185" s="12" t="n">
        <x:v>2</x:v>
      </x:c>
      <x:c r="K185" s="19" t="n">
        <x:v>0.002713975339231919</x:v>
      </x:c>
      <x:c r="L185" s="19" t="n">
        <x:v>0</x:v>
      </x:c>
      <x:c r="M185" s="19" t="n">
        <x:v>0.0001</x:v>
      </x:c>
      <x:c r="N185" s="12" t="n">
        <x:v>16</x:v>
      </x:c>
      <x:c r="O185" s="10" t="n">
        <x:v>0.1474752426147461</x:v>
      </x:c>
      <x:c r="P185" s="22" t="n">
        <x:v>46.8006932195276</x:v>
      </x:c>
      <x:c r="Q185" s="26" t="str">
        <x:v>2009-10-01</x:v>
      </x:c>
      <x:c r="R185" s="26" t="str">
        <x:v>2014-12-31</x:v>
      </x:c>
    </x:row>
    <x:row r="186" ht="22" customHeight="1">
      <x:c r="A186" s="15" t="str">
        <x:f>"04015330"</x:f>
        <x:v>04015330</x:v>
      </x:c>
      <x:c r="B186" s="12" t="n">
        <x:v>42</x:v>
      </x:c>
      <x:c r="C186" s="12" t="n">
        <x:v>1918</x:v>
      </x:c>
      <x:c r="D186" s="10" t="n">
        <x:v>0.4079882407750469</x:v>
      </x:c>
      <x:c r="E186" s="10" t="n">
        <x:v>0.4130041164109003</x:v>
      </x:c>
      <x:c r="F186" s="17" t="n">
        <x:v>274.486487115352</x:v>
      </x:c>
      <x:c r="G186" s="17" t="n">
        <x:v>39.74865710298071</x:v>
      </x:c>
      <x:c r="H186" s="17" t="n">
        <x:v>-9.8195550911976</x:v>
      </x:c>
      <x:c r="I186" s="12" t="n">
        <x:v>256</x:v>
      </x:c>
      <x:c r="J186" s="12" t="n">
        <x:v>2</x:v>
      </x:c>
      <x:c r="K186" s="19" t="n">
        <x:v>0.002713975339231919</x:v>
      </x:c>
      <x:c r="L186" s="19" t="n">
        <x:v>0</x:v>
      </x:c>
      <x:c r="M186" s="19" t="n">
        <x:v>0.0001</x:v>
      </x:c>
      <x:c r="N186" s="12" t="n">
        <x:v>6</x:v>
      </x:c>
      <x:c r="O186" s="10" t="n">
        <x:v>0.2173614203929901</x:v>
      </x:c>
      <x:c r="P186" s="22" t="n">
        <x:v>46.93587380554527</x:v>
      </x:c>
      <x:c r="Q186" s="26" t="str">
        <x:v>2009-10-01</x:v>
      </x:c>
      <x:c r="R186" s="26" t="str">
        <x:v>2014-12-31</x:v>
      </x:c>
    </x:row>
    <x:row r="187" ht="22" customHeight="1">
      <x:c r="A187" s="15" t="str">
        <x:f>"04024430"</x:f>
        <x:v>04024430</x:v>
      </x:c>
      <x:c r="B187" s="12" t="n">
        <x:v>42</x:v>
      </x:c>
      <x:c r="C187" s="12" t="n">
        <x:v>1918</x:v>
      </x:c>
      <x:c r="D187" s="10" t="n">
        <x:v>0.7150348708470656</x:v>
      </x:c>
      <x:c r="E187" s="10" t="n">
        <x:v>0.6122285737218857</x:v>
      </x:c>
      <x:c r="F187" s="17" t="n">
        <x:v>534.7227088675178</x:v>
      </x:c>
      <x:c r="G187" s="17" t="n">
        <x:v>106.88365554246089</x:v>
      </x:c>
      <x:c r="H187" s="17" t="n">
        <x:v>-68.38611332035454</x:v>
      </x:c>
      <x:c r="I187" s="12" t="n">
        <x:v>256</x:v>
      </x:c>
      <x:c r="J187" s="12" t="n">
        <x:v>2</x:v>
      </x:c>
      <x:c r="K187" s="19" t="n">
        <x:v>0.002713975339231919</x:v>
      </x:c>
      <x:c r="L187" s="19" t="n">
        <x:v>0</x:v>
      </x:c>
      <x:c r="M187" s="19" t="n">
        <x:v>0.0001</x:v>
      </x:c>
      <x:c r="N187" s="12" t="n">
        <x:v>10</x:v>
      </x:c>
      <x:c r="O187" s="10" t="n">
        <x:v>0.08123717457056046</x:v>
      </x:c>
      <x:c r="P187" s="22" t="n">
        <x:v>46.94590649660677</x:v>
      </x:c>
      <x:c r="Q187" s="26" t="str">
        <x:v>2009-10-01</x:v>
      </x:c>
      <x:c r="R187" s="26" t="str">
        <x:v>2014-12-31</x:v>
      </x:c>
    </x:row>
    <x:row r="188" ht="22" customHeight="1">
      <x:c r="A188" s="15" t="str">
        <x:f>"04027000"</x:f>
        <x:v>04027000</x:v>
      </x:c>
      <x:c r="B188" s="12" t="n">
        <x:v>42</x:v>
      </x:c>
      <x:c r="C188" s="12" t="n">
        <x:v>1918</x:v>
      </x:c>
      <x:c r="D188" s="10" t="n">
        <x:v>0.8725205436833154</x:v>
      </x:c>
      <x:c r="E188" s="10" t="n">
        <x:v>0.8254321785878997</x:v>
      </x:c>
      <x:c r="F188" s="17" t="n">
        <x:v>420.91220954949034</x:v>
      </x:c>
      <x:c r="G188" s="17" t="n">
        <x:v>141.2117094296142</x:v>
      </x:c>
      <x:c r="H188" s="17" t="n">
        <x:v>-31.131647135557873</x:v>
      </x:c>
      <x:c r="I188" s="12" t="n">
        <x:v>256</x:v>
      </x:c>
      <x:c r="J188" s="12" t="n">
        <x:v>2</x:v>
      </x:c>
      <x:c r="K188" s="19" t="n">
        <x:v>0.002713975339231919</x:v>
      </x:c>
      <x:c r="L188" s="19" t="n">
        <x:v>0</x:v>
      </x:c>
      <x:c r="M188" s="19" t="n">
        <x:v>0.0001</x:v>
      </x:c>
      <x:c r="N188" s="12" t="n">
        <x:v>11</x:v>
      </x:c>
      <x:c r="O188" s="10" t="n">
        <x:v>0.061482805758714676</x:v>
      </x:c>
      <x:c r="P188" s="22" t="n">
        <x:v>46.99592661019415</x:v>
      </x:c>
      <x:c r="Q188" s="26" t="str">
        <x:v>2009-10-01</x:v>
      </x:c>
      <x:c r="R188" s="26" t="str">
        <x:v>2014-12-31</x:v>
      </x:c>
    </x:row>
    <x:row r="189" ht="22" customHeight="1">
      <x:c r="A189" s="15" t="str">
        <x:f>"04040500"</x:f>
        <x:v>04040500</x:v>
      </x:c>
      <x:c r="B189" s="12" t="n">
        <x:v>42</x:v>
      </x:c>
      <x:c r="C189" s="12" t="n">
        <x:v>1918</x:v>
      </x:c>
      <x:c r="D189" s="10" t="n">
        <x:v>0.9584992891709664</x:v>
      </x:c>
      <x:c r="E189" s="10" t="n">
        <x:v>0.9607371958239127</x:v>
      </x:c>
      <x:c r="F189" s="17" t="n">
        <x:v>56.91459036262268</x:v>
      </x:c>
      <x:c r="G189" s="17" t="n">
        <x:v>23.244338739520337</x:v>
      </x:c>
      <x:c r="H189" s="17" t="n">
        <x:v>-4.706654094994786</x:v>
      </x:c>
      <x:c r="I189" s="12" t="n">
        <x:v>256</x:v>
      </x:c>
      <x:c r="J189" s="12" t="n">
        <x:v>2</x:v>
      </x:c>
      <x:c r="K189" s="19" t="n">
        <x:v>0.002713975339231919</x:v>
      </x:c>
      <x:c r="L189" s="19" t="n">
        <x:v>0</x:v>
      </x:c>
      <x:c r="M189" s="19" t="n">
        <x:v>0.0001</x:v>
      </x:c>
      <x:c r="N189" s="12" t="n">
        <x:v>14</x:v>
      </x:c>
      <x:c r="O189" s="10" t="n">
        <x:v>0.03273205831646919</x:v>
      </x:c>
      <x:c r="P189" s="22" t="n">
        <x:v>47.07095918059349</x:v>
      </x:c>
      <x:c r="Q189" s="26" t="str">
        <x:v>2009-10-01</x:v>
      </x:c>
      <x:c r="R189" s="26" t="str">
        <x:v>2014-12-31</x:v>
      </x:c>
    </x:row>
    <x:row r="190" ht="22" customHeight="1">
      <x:c r="A190" s="15" t="str">
        <x:f>"04043050"</x:f>
        <x:v>04043050</x:v>
      </x:c>
      <x:c r="B190" s="12" t="n">
        <x:v>42</x:v>
      </x:c>
      <x:c r="C190" s="12" t="n">
        <x:v>1918</x:v>
      </x:c>
      <x:c r="D190" s="10" t="n">
        <x:v>0.823487851749387</x:v>
      </x:c>
      <x:c r="E190" s="10" t="n">
        <x:v>0.8356662204203066</x:v>
      </x:c>
      <x:c r="F190" s="17" t="n">
        <x:v>34.83350885112504</x:v>
      </x:c>
      <x:c r="G190" s="17" t="n">
        <x:v>11.650140798644422</x:v>
      </x:c>
      <x:c r="H190" s="17" t="n">
        <x:v>-0.9821226226277371</x:v>
      </x:c>
      <x:c r="I190" s="12" t="n">
        <x:v>256</x:v>
      </x:c>
      <x:c r="J190" s="12" t="n">
        <x:v>2</x:v>
      </x:c>
      <x:c r="K190" s="19" t="n">
        <x:v>0.002713975339231919</x:v>
      </x:c>
      <x:c r="L190" s="19" t="n">
        <x:v>0</x:v>
      </x:c>
      <x:c r="M190" s="19" t="n">
        <x:v>0.0001</x:v>
      </x:c>
      <x:c r="N190" s="12" t="n">
        <x:v>14</x:v>
      </x:c>
      <x:c r="O190" s="10" t="n">
        <x:v>0.08483041822910309</x:v>
      </x:c>
      <x:c r="P190" s="22" t="n">
        <x:v>47.09363536257297</x:v>
      </x:c>
      <x:c r="Q190" s="26" t="str">
        <x:v>2009-10-01</x:v>
      </x:c>
      <x:c r="R190" s="26" t="str">
        <x:v>2014-12-31</x:v>
      </x:c>
    </x:row>
    <x:row r="191" ht="22" customHeight="1">
      <x:c r="A191" s="15" t="str">
        <x:f>"04045500"</x:f>
        <x:v>04045500</x:v>
      </x:c>
      <x:c r="B191" s="12" t="n">
        <x:v>42</x:v>
      </x:c>
      <x:c r="C191" s="12" t="n">
        <x:v>1918</x:v>
      </x:c>
      <x:c r="D191" s="10" t="n">
        <x:v>0.9976257090191776</x:v>
      </x:c>
      <x:c r="E191" s="10" t="n">
        <x:v>0.9909499763156877</x:v>
      </x:c>
      <x:c r="F191" s="17" t="n">
        <x:v>41.27935429236997</x:v>
      </x:c>
      <x:c r="G191" s="17" t="n">
        <x:v>22.679030729927003</x:v>
      </x:c>
      <x:c r="H191" s="17" t="n">
        <x:v>-4.151425693430653</x:v>
      </x:c>
      <x:c r="I191" s="12" t="n">
        <x:v>256</x:v>
      </x:c>
      <x:c r="J191" s="12" t="n">
        <x:v>2</x:v>
      </x:c>
      <x:c r="K191" s="19" t="n">
        <x:v>0.002713975339231919</x:v>
      </x:c>
      <x:c r="L191" s="19" t="n">
        <x:v>0</x:v>
      </x:c>
      <x:c r="M191" s="19" t="n">
        <x:v>0.0001</x:v>
      </x:c>
      <x:c r="N191" s="12" t="n">
        <x:v>29</x:v>
      </x:c>
      <x:c r="O191" s="10" t="n">
        <x:v>0.0015226551331579685</x:v>
      </x:c>
      <x:c r="P191" s="22" t="n">
        <x:v>47.06767788901925</x:v>
      </x:c>
      <x:c r="Q191" s="26" t="str">
        <x:v>2009-10-01</x:v>
      </x:c>
      <x:c r="R191" s="26" t="str">
        <x:v>2014-12-31</x:v>
      </x:c>
    </x:row>
    <x:row r="192" ht="22" customHeight="1">
      <x:c r="A192" s="15" t="str">
        <x:f>"04056500"</x:f>
        <x:v>04056500</x:v>
      </x:c>
      <x:c r="B192" s="12" t="n">
        <x:v>42</x:v>
      </x:c>
      <x:c r="C192" s="12" t="n">
        <x:v>1918</x:v>
      </x:c>
      <x:c r="D192" s="10" t="n">
        <x:v>0.995576597496117</x:v>
      </x:c>
      <x:c r="E192" s="10" t="n">
        <x:v>0.9880475791507889</x:v>
      </x:c>
      <x:c r="F192" s="17" t="n">
        <x:v>74.50285397040169</x:v>
      </x:c>
      <x:c r="G192" s="17" t="n">
        <x:v>40.790191720542225</x:v>
      </x:c>
      <x:c r="H192" s="17" t="n">
        <x:v>12.980831167883197</x:v>
      </x:c>
      <x:c r="I192" s="12" t="n">
        <x:v>256</x:v>
      </x:c>
      <x:c r="J192" s="12" t="n">
        <x:v>2</x:v>
      </x:c>
      <x:c r="K192" s="19" t="n">
        <x:v>0.002713975339231919</x:v>
      </x:c>
      <x:c r="L192" s="19" t="n">
        <x:v>0</x:v>
      </x:c>
      <x:c r="M192" s="19" t="n">
        <x:v>0.0001</x:v>
      </x:c>
      <x:c r="N192" s="12" t="n">
        <x:v>29</x:v>
      </x:c>
      <x:c r="O192" s="10" t="n">
        <x:v>0.0022364642936736345</x:v>
      </x:c>
      <x:c r="P192" s="22" t="n">
        <x:v>47.21745108719915</x:v>
      </x:c>
      <x:c r="Q192" s="26" t="str">
        <x:v>2009-10-01</x:v>
      </x:c>
      <x:c r="R192" s="26" t="str">
        <x:v>2014-12-31</x:v>
      </x:c>
    </x:row>
    <x:row r="193" ht="22" customHeight="1">
      <x:c r="A193" s="15" t="str">
        <x:f>"04057510"</x:f>
        <x:v>04057510</x:v>
      </x:c>
      <x:c r="B193" s="12" t="n">
        <x:v>42</x:v>
      </x:c>
      <x:c r="C193" s="12" t="n">
        <x:v>1918</x:v>
      </x:c>
      <x:c r="D193" s="10" t="n">
        <x:v>0.9510110294161248</x:v>
      </x:c>
      <x:c r="E193" s="10" t="n">
        <x:v>0.9542033012529356</x:v>
      </x:c>
      <x:c r="F193" s="17" t="n">
        <x:v>34.296952613670896</x:v>
      </x:c>
      <x:c r="G193" s="17" t="n">
        <x:v>13.712537077163711</x:v>
      </x:c>
      <x:c r="H193" s="17" t="n">
        <x:v>-1.4089838133472383</x:v>
      </x:c>
      <x:c r="I193" s="12" t="n">
        <x:v>256</x:v>
      </x:c>
      <x:c r="J193" s="12" t="n">
        <x:v>2</x:v>
      </x:c>
      <x:c r="K193" s="19" t="n">
        <x:v>0.002713975339231919</x:v>
      </x:c>
      <x:c r="L193" s="19" t="n">
        <x:v>0</x:v>
      </x:c>
      <x:c r="M193" s="19" t="n">
        <x:v>0.0001</x:v>
      </x:c>
      <x:c r="N193" s="12" t="n">
        <x:v>14</x:v>
      </x:c>
      <x:c r="O193" s="10" t="n">
        <x:v>0.02076679840683937</x:v>
      </x:c>
      <x:c r="P193" s="22" t="n">
        <x:v>47.23081764485687</x:v>
      </x:c>
      <x:c r="Q193" s="26" t="str">
        <x:v>2009-10-01</x:v>
      </x:c>
      <x:c r="R193" s="26" t="str">
        <x:v>2014-12-31</x:v>
      </x:c>
    </x:row>
    <x:row r="194" ht="22" customHeight="1">
      <x:c r="A194" s="15" t="str">
        <x:f>"04057800"</x:f>
        <x:v>04057800</x:v>
      </x:c>
      <x:c r="B194" s="12" t="n">
        <x:v>42</x:v>
      </x:c>
      <x:c r="C194" s="12" t="n">
        <x:v>1918</x:v>
      </x:c>
      <x:c r="D194" s="10" t="n">
        <x:v>0.9470407450134746</x:v>
      </x:c>
      <x:c r="E194" s="10" t="n">
        <x:v>0.9243754358322557</x:v>
      </x:c>
      <x:c r="F194" s="17" t="n">
        <x:v>16.759807558485758</x:v>
      </x:c>
      <x:c r="G194" s="17" t="n">
        <x:v>6.86070830954119</x:v>
      </x:c>
      <x:c r="H194" s="17" t="n">
        <x:v>-1.7875614040145986</x:v>
      </x:c>
      <x:c r="I194" s="12" t="n">
        <x:v>256</x:v>
      </x:c>
      <x:c r="J194" s="12" t="n">
        <x:v>2</x:v>
      </x:c>
      <x:c r="K194" s="19" t="n">
        <x:v>0.002713975339231919</x:v>
      </x:c>
      <x:c r="L194" s="19" t="n">
        <x:v>0</x:v>
      </x:c>
      <x:c r="M194" s="19" t="n">
        <x:v>0.0001</x:v>
      </x:c>
      <x:c r="N194" s="12" t="n">
        <x:v>19</x:v>
      </x:c>
      <x:c r="O194" s="10" t="n">
        <x:v>0.023113399744033813</x:v>
      </x:c>
      <x:c r="P194" s="22" t="n">
        <x:v>47.218964379280806</x:v>
      </x:c>
      <x:c r="Q194" s="26" t="str">
        <x:v>2009-10-01</x:v>
      </x:c>
      <x:c r="R194" s="26" t="str">
        <x:v>2014-12-31</x:v>
      </x:c>
    </x:row>
    <x:row r="195" ht="22" customHeight="1">
      <x:c r="A195" s="15" t="str">
        <x:f>"04059500"</x:f>
        <x:v>04059500</x:v>
      </x:c>
      <x:c r="B195" s="12" t="n">
        <x:v>42</x:v>
      </x:c>
      <x:c r="C195" s="12" t="n">
        <x:v>1918</x:v>
      </x:c>
      <x:c r="D195" s="10" t="n">
        <x:v>0.9584593603312778</x:v>
      </x:c>
      <x:c r="E195" s="10" t="n">
        <x:v>0.9734009652790395</x:v>
      </x:c>
      <x:c r="F195" s="17" t="n">
        <x:v>82.19167467958417</x:v>
      </x:c>
      <x:c r="G195" s="17" t="n">
        <x:v>27.281167951616265</x:v>
      </x:c>
      <x:c r="H195" s="17" t="n">
        <x:v>-4.086898822314912</x:v>
      </x:c>
      <x:c r="I195" s="12" t="n">
        <x:v>256</x:v>
      </x:c>
      <x:c r="J195" s="12" t="n">
        <x:v>2</x:v>
      </x:c>
      <x:c r="K195" s="19" t="n">
        <x:v>0.002713975339231919</x:v>
      </x:c>
      <x:c r="L195" s="19" t="n">
        <x:v>0</x:v>
      </x:c>
      <x:c r="M195" s="19" t="n">
        <x:v>0.0001</x:v>
      </x:c>
      <x:c r="N195" s="12" t="n">
        <x:v>13</x:v>
      </x:c>
      <x:c r="O195" s="10" t="n">
        <x:v>0.009734846651554108</x:v>
      </x:c>
      <x:c r="P195" s="22" t="n">
        <x:v>47.19783682376146</x:v>
      </x:c>
      <x:c r="Q195" s="26" t="str">
        <x:v>2009-10-01</x:v>
      </x:c>
      <x:c r="R195" s="26" t="str">
        <x:v>2014-12-31</x:v>
      </x:c>
    </x:row>
    <x:row r="196" ht="22" customHeight="1">
      <x:c r="A196" s="15" t="str">
        <x:f>"04063700"</x:f>
        <x:v>04063700</x:v>
      </x:c>
      <x:c r="B196" s="12" t="n">
        <x:v>42</x:v>
      </x:c>
      <x:c r="C196" s="12" t="n">
        <x:v>1918</x:v>
      </x:c>
      <x:c r="D196" s="10" t="n">
        <x:v>0.9836867142761054</x:v>
      </x:c>
      <x:c r="E196" s="10" t="n">
        <x:v>0.9814134147861886</x:v>
      </x:c>
      <x:c r="F196" s="17" t="n">
        <x:v>12.424948064529397</x:v>
      </x:c>
      <x:c r="G196" s="17" t="n">
        <x:v>6.578168287278415</x:v>
      </x:c>
      <x:c r="H196" s="17" t="n">
        <x:v>-0.30606014233576617</x:v>
      </x:c>
      <x:c r="I196" s="12" t="n">
        <x:v>256</x:v>
      </x:c>
      <x:c r="J196" s="12" t="n">
        <x:v>2</x:v>
      </x:c>
      <x:c r="K196" s="19" t="n">
        <x:v>0.002713975339231919</x:v>
      </x:c>
      <x:c r="L196" s="19" t="n">
        <x:v>0</x:v>
      </x:c>
      <x:c r="M196" s="19" t="n">
        <x:v>0.0001</x:v>
      </x:c>
      <x:c r="N196" s="12" t="n">
        <x:v>23</x:v>
      </x:c>
      <x:c r="O196" s="10" t="n">
        <x:v>0.012499716132879257</x:v>
      </x:c>
      <x:c r="P196" s="22" t="n">
        <x:v>47.21148543059826</x:v>
      </x:c>
      <x:c r="Q196" s="26" t="str">
        <x:v>2009-10-01</x:v>
      </x:c>
      <x:c r="R196" s="26" t="str">
        <x:v>2014-12-31</x:v>
      </x:c>
    </x:row>
    <x:row r="197" ht="22" customHeight="1">
      <x:c r="A197" s="15" t="str">
        <x:f>"04105700"</x:f>
        <x:v>04105700</x:v>
      </x:c>
      <x:c r="B197" s="12" t="n">
        <x:v>42</x:v>
      </x:c>
      <x:c r="C197" s="12" t="n">
        <x:v>1918</x:v>
      </x:c>
      <x:c r="D197" s="10" t="n">
        <x:v>0.8698127803525318</x:v>
      </x:c>
      <x:c r="E197" s="10" t="n">
        <x:v>0.8813078696369496</x:v>
      </x:c>
      <x:c r="F197" s="17" t="n">
        <x:v>6.996906480671824</x:v>
      </x:c>
      <x:c r="G197" s="17" t="n">
        <x:v>3.7905701282586026</x:v>
      </x:c>
      <x:c r="H197" s="17" t="n">
        <x:v>-0.41762070490093856</x:v>
      </x:c>
      <x:c r="I197" s="12" t="n">
        <x:v>256</x:v>
      </x:c>
      <x:c r="J197" s="12" t="n">
        <x:v>2</x:v>
      </x:c>
      <x:c r="K197" s="19" t="n">
        <x:v>0.002713975339231919</x:v>
      </x:c>
      <x:c r="L197" s="19" t="n">
        <x:v>0</x:v>
      </x:c>
      <x:c r="M197" s="19" t="n">
        <x:v>0.0001</x:v>
      </x:c>
      <x:c r="N197" s="12" t="n">
        <x:v>17</x:v>
      </x:c>
      <x:c r="O197" s="10" t="n">
        <x:v>0.18267150223255157</x:v>
      </x:c>
      <x:c r="P197" s="22" t="n">
        <x:v>47.218230347149074</x:v>
      </x:c>
      <x:c r="Q197" s="26" t="str">
        <x:v>2009-10-01</x:v>
      </x:c>
      <x:c r="R197" s="26" t="str">
        <x:v>2014-12-31</x:v>
      </x:c>
    </x:row>
    <x:row r="198" ht="22" customHeight="1">
      <x:c r="A198" s="15" t="str">
        <x:f>"04122200"</x:f>
        <x:v>04122200</x:v>
      </x:c>
      <x:c r="B198" s="12" t="n">
        <x:v>42</x:v>
      </x:c>
      <x:c r="C198" s="12" t="n">
        <x:v>1918</x:v>
      </x:c>
      <x:c r="D198" s="10" t="n">
        <x:v>0.9126779254659647</x:v>
      </x:c>
      <x:c r="E198" s="10" t="n">
        <x:v>0.8810216431497061</x:v>
      </x:c>
      <x:c r="F198" s="17" t="n">
        <x:v>76.87692603487176</x:v>
      </x:c>
      <x:c r="G198" s="17" t="n">
        <x:v>28.234554927007302</x:v>
      </x:c>
      <x:c r="H198" s="17" t="n">
        <x:v>-1.2607691918665282</x:v>
      </x:c>
      <x:c r="I198" s="12" t="n">
        <x:v>256</x:v>
      </x:c>
      <x:c r="J198" s="12" t="n">
        <x:v>2</x:v>
      </x:c>
      <x:c r="K198" s="19" t="n">
        <x:v>0.002713975339231919</x:v>
      </x:c>
      <x:c r="L198" s="19" t="n">
        <x:v>0</x:v>
      </x:c>
      <x:c r="M198" s="19" t="n">
        <x:v>0.0001</x:v>
      </x:c>
      <x:c r="N198" s="12" t="n">
        <x:v>8</x:v>
      </x:c>
      <x:c r="O198" s="10" t="n">
        <x:v>0.030424246564507484</x:v>
      </x:c>
      <x:c r="P198" s="22" t="n">
        <x:v>47.20347222965211</x:v>
      </x:c>
      <x:c r="Q198" s="26" t="str">
        <x:v>2009-10-01</x:v>
      </x:c>
      <x:c r="R198" s="26" t="str">
        <x:v>2014-12-31</x:v>
      </x:c>
    </x:row>
    <x:row r="199" ht="22" customHeight="1">
      <x:c r="A199" s="15" t="str">
        <x:f>"04122500"</x:f>
        <x:v>04122500</x:v>
      </x:c>
      <x:c r="B199" s="12" t="n">
        <x:v>42</x:v>
      </x:c>
      <x:c r="C199" s="12" t="n">
        <x:v>1918</x:v>
      </x:c>
      <x:c r="D199" s="10" t="n">
        <x:v>0.984677570239587</x:v>
      </x:c>
      <x:c r="E199" s="10" t="n">
        <x:v>0.9920458351381717</x:v>
      </x:c>
      <x:c r="F199" s="17" t="n">
        <x:v>45.613861183328964</x:v>
      </x:c>
      <x:c r="G199" s="17" t="n">
        <x:v>28.722445328467153</x:v>
      </x:c>
      <x:c r="H199" s="17" t="n">
        <x:v>-0.9454505839416073</x:v>
      </x:c>
      <x:c r="I199" s="12" t="n">
        <x:v>256</x:v>
      </x:c>
      <x:c r="J199" s="12" t="n">
        <x:v>2</x:v>
      </x:c>
      <x:c r="K199" s="19" t="n">
        <x:v>0.002713975339231919</x:v>
      </x:c>
      <x:c r="L199" s="19" t="n">
        <x:v>0</x:v>
      </x:c>
      <x:c r="M199" s="19" t="n">
        <x:v>0.0001</x:v>
      </x:c>
      <x:c r="N199" s="12" t="n">
        <x:v>27</x:v>
      </x:c>
      <x:c r="O199" s="10" t="n">
        <x:v>0.0322829894721508</x:v>
      </x:c>
      <x:c r="P199" s="22" t="n">
        <x:v>47.01124046370387</x:v>
      </x:c>
      <x:c r="Q199" s="26" t="str">
        <x:v>2009-10-01</x:v>
      </x:c>
      <x:c r="R199" s="26" t="str">
        <x:v>2014-12-31</x:v>
      </x:c>
    </x:row>
    <x:row r="200" ht="22" customHeight="1">
      <x:c r="A200" s="15" t="str">
        <x:f>"04124000"</x:f>
        <x:v>04124000</x:v>
      </x:c>
      <x:c r="B200" s="12" t="n">
        <x:v>42</x:v>
      </x:c>
      <x:c r="C200" s="12" t="n">
        <x:v>1918</x:v>
      </x:c>
      <x:c r="D200" s="10" t="n">
        <x:v>0.9628472856052439</x:v>
      </x:c>
      <x:c r="E200" s="10" t="n">
        <x:v>0.9539163126041613</x:v>
      </x:c>
      <x:c r="F200" s="17" t="n">
        <x:v>63.030115454757535</x:v>
      </x:c>
      <x:c r="G200" s="17" t="n">
        <x:v>33.906593388946824</x:v>
      </x:c>
      <x:c r="H200" s="17" t="n">
        <x:v>-9.58401728884256</x:v>
      </x:c>
      <x:c r="I200" s="12" t="n">
        <x:v>256</x:v>
      </x:c>
      <x:c r="J200" s="12" t="n">
        <x:v>2</x:v>
      </x:c>
      <x:c r="K200" s="19" t="n">
        <x:v>0.002713975339231919</x:v>
      </x:c>
      <x:c r="L200" s="19" t="n">
        <x:v>0</x:v>
      </x:c>
      <x:c r="M200" s="19" t="n">
        <x:v>0.0001</x:v>
      </x:c>
      <x:c r="N200" s="12" t="n">
        <x:v>8</x:v>
      </x:c>
      <x:c r="O200" s="10" t="n">
        <x:v>0.05240420252084732</x:v>
      </x:c>
      <x:c r="P200" s="22" t="n">
        <x:v>46.73307765368372</x:v>
      </x:c>
      <x:c r="Q200" s="26" t="str">
        <x:v>2009-10-01</x:v>
      </x:c>
      <x:c r="R200" s="26" t="str">
        <x:v>2014-12-31</x:v>
      </x:c>
    </x:row>
    <x:row r="201" ht="22" customHeight="1">
      <x:c r="A201" s="15" t="str">
        <x:f>"04127997"</x:f>
        <x:v>04127997</x:v>
      </x:c>
      <x:c r="B201" s="12" t="n">
        <x:v>42</x:v>
      </x:c>
      <x:c r="C201" s="12" t="n">
        <x:v>1918</x:v>
      </x:c>
      <x:c r="D201" s="10" t="n">
        <x:v>0.7593965762228536</x:v>
      </x:c>
      <x:c r="E201" s="10" t="n">
        <x:v>0.7934078563845505</x:v>
      </x:c>
      <x:c r="F201" s="17" t="n">
        <x:v>32.84885542240739</x:v>
      </x:c>
      <x:c r="G201" s="17" t="n">
        <x:v>16.413909551616268</x:v>
      </x:c>
      <x:c r="H201" s="17" t="n">
        <x:v>1.658721220020855</x:v>
      </x:c>
      <x:c r="I201" s="12" t="n">
        <x:v>256</x:v>
      </x:c>
      <x:c r="J201" s="12" t="n">
        <x:v>2</x:v>
      </x:c>
      <x:c r="K201" s="19" t="n">
        <x:v>0.002713975339231919</x:v>
      </x:c>
      <x:c r="L201" s="19" t="n">
        <x:v>0</x:v>
      </x:c>
      <x:c r="M201" s="19" t="n">
        <x:v>0.0001</x:v>
      </x:c>
      <x:c r="N201" s="12" t="n">
        <x:v>12</x:v>
      </x:c>
      <x:c r="O201" s="10" t="n">
        <x:v>0.19361338019371033</x:v>
      </x:c>
      <x:c r="P201" s="22" t="n">
        <x:v>46.92222959082574</x:v>
      </x:c>
      <x:c r="Q201" s="26" t="str">
        <x:v>2009-10-01</x:v>
      </x:c>
      <x:c r="R201" s="26" t="str">
        <x:v>2014-12-31</x:v>
      </x:c>
    </x:row>
    <x:row r="202" ht="22" customHeight="1">
      <x:c r="A202" s="15" t="str">
        <x:f>"04185000"</x:f>
        <x:v>04185000</x:v>
      </x:c>
      <x:c r="B202" s="12" t="n">
        <x:v>42</x:v>
      </x:c>
      <x:c r="C202" s="12" t="n">
        <x:v>1918</x:v>
      </x:c>
      <x:c r="D202" s="10" t="n">
        <x:v>0.9541660949118507</x:v>
      </x:c>
      <x:c r="E202" s="10" t="n">
        <x:v>0.9756118385349974</x:v>
      </x:c>
      <x:c r="F202" s="17" t="n">
        <x:v>129.56722009526962</x:v>
      </x:c>
      <x:c r="G202" s="17" t="n">
        <x:v>55.548972976554744</x:v>
      </x:c>
      <x:c r="H202" s="17" t="n">
        <x:v>2.437780185593326</x:v>
      </x:c>
      <x:c r="I202" s="12" t="n">
        <x:v>256</x:v>
      </x:c>
      <x:c r="J202" s="12" t="n">
        <x:v>2</x:v>
      </x:c>
      <x:c r="K202" s="19" t="n">
        <x:v>0.002713975339231919</x:v>
      </x:c>
      <x:c r="L202" s="19" t="n">
        <x:v>0</x:v>
      </x:c>
      <x:c r="M202" s="19" t="n">
        <x:v>0.0001</x:v>
      </x:c>
      <x:c r="N202" s="12" t="n">
        <x:v>2</x:v>
      </x:c>
      <x:c r="O202" s="10" t="n">
        <x:v>0.061358608305454254</x:v>
      </x:c>
      <x:c r="P202" s="22" t="n">
        <x:v>47.09955926705152</x:v>
      </x:c>
      <x:c r="Q202" s="26" t="str">
        <x:v>2009-10-01</x:v>
      </x:c>
      <x:c r="R202" s="26" t="str">
        <x:v>2014-12-31</x:v>
      </x:c>
    </x:row>
    <x:row r="203" ht="22" customHeight="1">
      <x:c r="A203" s="15" t="str">
        <x:f>"04196800"</x:f>
        <x:v>04196800</x:v>
      </x:c>
      <x:c r="B203" s="12" t="n">
        <x:v>42</x:v>
      </x:c>
      <x:c r="C203" s="12" t="n">
        <x:v>1911</x:v>
      </x:c>
      <x:c r="D203" s="10" t="n">
        <x:v>0.894764053760079</x:v>
      </x:c>
      <x:c r="E203" s="10" t="n">
        <x:v>0.8180458860940683</x:v>
      </x:c>
      <x:c r="F203" s="17" t="n">
        <x:v>195.21357202587245</x:v>
      </x:c>
      <x:c r="G203" s="17" t="n">
        <x:v>77.7435955565777</x:v>
      </x:c>
      <x:c r="H203" s="17" t="n">
        <x:v>-21.30661207346939</x:v>
      </x:c>
      <x:c r="I203" s="12" t="n">
        <x:v>256</x:v>
      </x:c>
      <x:c r="J203" s="12" t="n">
        <x:v>2</x:v>
      </x:c>
      <x:c r="K203" s="19" t="n">
        <x:v>0.002713975339231919</x:v>
      </x:c>
      <x:c r="L203" s="19" t="n">
        <x:v>0</x:v>
      </x:c>
      <x:c r="M203" s="19" t="n">
        <x:v>0.0001</x:v>
      </x:c>
      <x:c r="N203" s="12" t="n">
        <x:v>13</x:v>
      </x:c>
      <x:c r="O203" s="10" t="n">
        <x:v>0.28301742672920227</x:v>
      </x:c>
      <x:c r="P203" s="22" t="n">
        <x:v>47.035935344174504</x:v>
      </x:c>
      <x:c r="Q203" s="26" t="str">
        <x:v>2009-08-21</x:v>
      </x:c>
      <x:c r="R203" s="26" t="str">
        <x:v>2014-11-13</x:v>
      </x:c>
    </x:row>
    <x:row r="204" ht="22" customHeight="1">
      <x:c r="A204" s="15" t="str">
        <x:f>"04197100"</x:f>
        <x:v>04197100</x:v>
      </x:c>
      <x:c r="B204" s="12" t="n">
        <x:v>42</x:v>
      </x:c>
      <x:c r="C204" s="12" t="n">
        <x:v>1918</x:v>
      </x:c>
      <x:c r="D204" s="10" t="n">
        <x:v>0.7542036308120397</x:v>
      </x:c>
      <x:c r="E204" s="10" t="n">
        <x:v>0.8180739819719252</x:v>
      </x:c>
      <x:c r="F204" s="17" t="n">
        <x:v>188.2383493987813</x:v>
      </x:c>
      <x:c r="G204" s="17" t="n">
        <x:v>70.68316380175027</x:v>
      </x:c>
      <x:c r="H204" s="17" t="n">
        <x:v>0.9824186171235666</x:v>
      </x:c>
      <x:c r="I204" s="12" t="n">
        <x:v>256</x:v>
      </x:c>
      <x:c r="J204" s="12" t="n">
        <x:v>2</x:v>
      </x:c>
      <x:c r="K204" s="19" t="n">
        <x:v>0.002713975339231919</x:v>
      </x:c>
      <x:c r="L204" s="19" t="n">
        <x:v>0</x:v>
      </x:c>
      <x:c r="M204" s="19" t="n">
        <x:v>0.0001</x:v>
      </x:c>
      <x:c r="N204" s="12" t="n">
        <x:v>20</x:v>
      </x:c>
      <x:c r="O204" s="10" t="n">
        <x:v>0.48696884512901306</x:v>
      </x:c>
      <x:c r="P204" s="22" t="n">
        <x:v>47.033543639816344</x:v>
      </x:c>
      <x:c r="Q204" s="26" t="str">
        <x:v>2009-10-01</x:v>
      </x:c>
      <x:c r="R204" s="26" t="str">
        <x:v>2014-12-31</x:v>
      </x:c>
    </x:row>
    <x:row r="205" ht="22" customHeight="1">
      <x:c r="A205" s="15" t="str">
        <x:f>"04213000"</x:f>
        <x:v>04213000</x:v>
      </x:c>
      <x:c r="B205" s="12" t="n">
        <x:v>42</x:v>
      </x:c>
      <x:c r="C205" s="12" t="n">
        <x:v>1918</x:v>
      </x:c>
      <x:c r="D205" s="10" t="n">
        <x:v>0.7173730825404248</x:v>
      </x:c>
      <x:c r="E205" s="10" t="n">
        <x:v>0.7726822204735306</x:v>
      </x:c>
      <x:c r="F205" s="17" t="n">
        <x:v>268.88025371059643</x:v>
      </x:c>
      <x:c r="G205" s="17" t="n">
        <x:v>140.4606269433403</x:v>
      </x:c>
      <x:c r="H205" s="17" t="n">
        <x:v>33.27841496875568</x:v>
      </x:c>
      <x:c r="I205" s="12" t="n">
        <x:v>256</x:v>
      </x:c>
      <x:c r="J205" s="12" t="n">
        <x:v>2</x:v>
      </x:c>
      <x:c r="K205" s="19" t="n">
        <x:v>0.002713975339231919</x:v>
      </x:c>
      <x:c r="L205" s="19" t="n">
        <x:v>0</x:v>
      </x:c>
      <x:c r="M205" s="19" t="n">
        <x:v>0.0001</x:v>
      </x:c>
      <x:c r="N205" s="12" t="n">
        <x:v>6</x:v>
      </x:c>
      <x:c r="O205" s="10" t="n">
        <x:v>0.34256431460380554</x:v>
      </x:c>
      <x:c r="P205" s="22" t="n">
        <x:v>47.17759633809328</x:v>
      </x:c>
      <x:c r="Q205" s="26" t="str">
        <x:v>2009-10-01</x:v>
      </x:c>
      <x:c r="R205" s="26" t="str">
        <x:v>2014-12-31</x:v>
      </x:c>
    </x:row>
    <x:row r="206" ht="22" customHeight="1">
      <x:c r="A206" s="15" t="str">
        <x:f>"04216418"</x:f>
        <x:v>04216418</x:v>
      </x:c>
      <x:c r="B206" s="12" t="n">
        <x:v>42</x:v>
      </x:c>
      <x:c r="C206" s="12" t="n">
        <x:v>1918</x:v>
      </x:c>
      <x:c r="D206" s="10" t="n">
        <x:v>0.46445601864346997</x:v>
      </x:c>
      <x:c r="E206" s="10" t="n">
        <x:v>0.5650716137015976</x:v>
      </x:c>
      <x:c r="F206" s="17" t="n">
        <x:v>132.4390008011323</x:v>
      </x:c>
      <x:c r="G206" s="17" t="n">
        <x:v>56.31183744562045</x:v>
      </x:c>
      <x:c r="H206" s="17" t="n">
        <x:v>6.293869119238791</x:v>
      </x:c>
      <x:c r="I206" s="12" t="n">
        <x:v>256</x:v>
      </x:c>
      <x:c r="J206" s="12" t="n">
        <x:v>2</x:v>
      </x:c>
      <x:c r="K206" s="19" t="n">
        <x:v>0.002713975339231919</x:v>
      </x:c>
      <x:c r="L206" s="19" t="n">
        <x:v>0</x:v>
      </x:c>
      <x:c r="M206" s="19" t="n">
        <x:v>0.0001</x:v>
      </x:c>
      <x:c r="N206" s="12" t="n">
        <x:v>9</x:v>
      </x:c>
      <x:c r="O206" s="10" t="n">
        <x:v>0.635160505771637</x:v>
      </x:c>
      <x:c r="P206" s="22" t="n">
        <x:v>47.11576952878386</x:v>
      </x:c>
      <x:c r="Q206" s="26" t="str">
        <x:v>2009-10-01</x:v>
      </x:c>
      <x:c r="R206" s="26" t="str">
        <x:v>2014-12-31</x:v>
      </x:c>
    </x:row>
    <x:row r="207" ht="22" customHeight="1">
      <x:c r="A207" s="15" t="str">
        <x:f>"04221000"</x:f>
        <x:v>04221000</x:v>
      </x:c>
      <x:c r="B207" s="12" t="n">
        <x:v>42</x:v>
      </x:c>
      <x:c r="C207" s="12" t="n">
        <x:v>1918</x:v>
      </x:c>
      <x:c r="D207" s="10" t="n">
        <x:v>0.5667632877324964</x:v>
      </x:c>
      <x:c r="E207" s="10" t="n">
        <x:v>0.6692754022428067</x:v>
      </x:c>
      <x:c r="F207" s="17" t="n">
        <x:v>384.76961201454753</x:v>
      </x:c>
      <x:c r="G207" s="17" t="n">
        <x:v>149.2453366374244</x:v>
      </x:c>
      <x:c r="H207" s="17" t="n">
        <x:v>18.9772195617414</x:v>
      </x:c>
      <x:c r="I207" s="12" t="n">
        <x:v>256</x:v>
      </x:c>
      <x:c r="J207" s="12" t="n">
        <x:v>2</x:v>
      </x:c>
      <x:c r="K207" s="19" t="n">
        <x:v>0.002713975339231919</x:v>
      </x:c>
      <x:c r="L207" s="19" t="n">
        <x:v>0</x:v>
      </x:c>
      <x:c r="M207" s="19" t="n">
        <x:v>0.0001</x:v>
      </x:c>
      <x:c r="N207" s="12" t="n">
        <x:v>11</x:v>
      </x:c>
      <x:c r="O207" s="10" t="n">
        <x:v>0.3812045753002167</x:v>
      </x:c>
      <x:c r="P207" s="22" t="n">
        <x:v>47.18377291131765</x:v>
      </x:c>
      <x:c r="Q207" s="26" t="str">
        <x:v>2009-10-01</x:v>
      </x:c>
      <x:c r="R207" s="26" t="str">
        <x:v>2014-12-31</x:v>
      </x:c>
    </x:row>
    <x:row r="208" ht="22" customHeight="1">
      <x:c r="A208" s="15" t="str">
        <x:f>"04224775"</x:f>
        <x:v>04224775</x:v>
      </x:c>
      <x:c r="B208" s="12" t="n">
        <x:v>42</x:v>
      </x:c>
      <x:c r="C208" s="12" t="n">
        <x:v>1918</x:v>
      </x:c>
      <x:c r="D208" s="10" t="n">
        <x:v>0.4904249718123812</x:v>
      </x:c>
      <x:c r="E208" s="10" t="n">
        <x:v>0.5929202886708995</x:v>
      </x:c>
      <x:c r="F208" s="17" t="n">
        <x:v>97.23762093755604</x:v>
      </x:c>
      <x:c r="G208" s="17" t="n">
        <x:v>30.887743165823778</x:v>
      </x:c>
      <x:c r="H208" s="17" t="n">
        <x:v>-7.50862349116267</x:v>
      </x:c>
      <x:c r="I208" s="12" t="n">
        <x:v>256</x:v>
      </x:c>
      <x:c r="J208" s="12" t="n">
        <x:v>2</x:v>
      </x:c>
      <x:c r="K208" s="19" t="n">
        <x:v>0.002713975339231919</x:v>
      </x:c>
      <x:c r="L208" s="19" t="n">
        <x:v>0</x:v>
      </x:c>
      <x:c r="M208" s="19" t="n">
        <x:v>0.0001</x:v>
      </x:c>
      <x:c r="N208" s="12" t="n">
        <x:v>5</x:v>
      </x:c>
      <x:c r="O208" s="10" t="n">
        <x:v>0.5378484725952148</x:v>
      </x:c>
      <x:c r="P208" s="22" t="n">
        <x:v>47.174853118136525</x:v>
      </x:c>
      <x:c r="Q208" s="26" t="str">
        <x:v>2009-10-01</x:v>
      </x:c>
      <x:c r="R208" s="26" t="str">
        <x:v>2014-12-31</x:v>
      </x:c>
    </x:row>
    <x:row r="209" ht="22" customHeight="1">
      <x:c r="A209" s="15" t="str">
        <x:f>"04256000"</x:f>
        <x:v>04256000</x:v>
      </x:c>
      <x:c r="B209" s="12" t="n">
        <x:v>42</x:v>
      </x:c>
      <x:c r="C209" s="12" t="n">
        <x:v>1918</x:v>
      </x:c>
      <x:c r="D209" s="10" t="n">
        <x:v>0.7892179217436338</x:v>
      </x:c>
      <x:c r="E209" s="10" t="n">
        <x:v>0.8623876468606634</x:v>
      </x:c>
      <x:c r="F209" s="17" t="n">
        <x:v>108.16181318956751</x:v>
      </x:c>
      <x:c r="G209" s="17" t="n">
        <x:v>43.81063328154327</x:v>
      </x:c>
      <x:c r="H209" s="17" t="n">
        <x:v>-3.6297043576642354</x:v>
      </x:c>
      <x:c r="I209" s="12" t="n">
        <x:v>256</x:v>
      </x:c>
      <x:c r="J209" s="12" t="n">
        <x:v>2</x:v>
      </x:c>
      <x:c r="K209" s="19" t="n">
        <x:v>0.002713975339231919</x:v>
      </x:c>
      <x:c r="L209" s="19" t="n">
        <x:v>0</x:v>
      </x:c>
      <x:c r="M209" s="19" t="n">
        <x:v>0.0001</x:v>
      </x:c>
      <x:c r="N209" s="12" t="n">
        <x:v>11</x:v>
      </x:c>
      <x:c r="O209" s="10" t="n">
        <x:v>0.18262383341789246</x:v>
      </x:c>
      <x:c r="P209" s="22" t="n">
        <x:v>47.189688907936215</x:v>
      </x:c>
      <x:c r="Q209" s="26" t="str">
        <x:v>2009-10-01</x:v>
      </x:c>
      <x:c r="R209" s="26" t="str">
        <x:v>2014-12-31</x:v>
      </x:c>
    </x:row>
    <x:row r="210" ht="22" customHeight="1">
      <x:c r="A210" s="15" t="str">
        <x:f>"04296000"</x:f>
        <x:v>04296000</x:v>
      </x:c>
      <x:c r="B210" s="12" t="n">
        <x:v>42</x:v>
      </x:c>
      <x:c r="C210" s="12" t="n">
        <x:v>1918</x:v>
      </x:c>
      <x:c r="D210" s="10" t="n">
        <x:v>0.7878480622047268</x:v>
      </x:c>
      <x:c r="E210" s="10" t="n">
        <x:v>0.7939565923453586</x:v>
      </x:c>
      <x:c r="F210" s="17" t="n">
        <x:v>140.86762463994444</x:v>
      </x:c>
      <x:c r="G210" s="17" t="n">
        <x:v>57.716155572940565</x:v>
      </x:c>
      <x:c r="H210" s="17" t="n">
        <x:v>-6.864763045307612</x:v>
      </x:c>
      <x:c r="I210" s="12" t="n">
        <x:v>256</x:v>
      </x:c>
      <x:c r="J210" s="12" t="n">
        <x:v>2</x:v>
      </x:c>
      <x:c r="K210" s="19" t="n">
        <x:v>0.002713975339231919</x:v>
      </x:c>
      <x:c r="L210" s="19" t="n">
        <x:v>0</x:v>
      </x:c>
      <x:c r="M210" s="19" t="n">
        <x:v>0.0001</x:v>
      </x:c>
      <x:c r="N210" s="12" t="n">
        <x:v>3</x:v>
      </x:c>
      <x:c r="O210" s="10" t="n">
        <x:v>0.19468526542186737</x:v>
      </x:c>
      <x:c r="P210" s="22" t="n">
        <x:v>47.19879812281579</x:v>
      </x:c>
      <x:c r="Q210" s="26" t="str">
        <x:v>2009-10-01</x:v>
      </x:c>
      <x:c r="R210" s="26" t="str">
        <x:v>2014-12-31</x:v>
      </x:c>
    </x:row>
    <x:row r="211" ht="22" customHeight="1">
      <x:c r="A211" s="15" t="str">
        <x:f>"05056000"</x:f>
        <x:v>05056000</x:v>
      </x:c>
      <x:c r="B211" s="12" t="n">
        <x:v>42</x:v>
      </x:c>
      <x:c r="C211" s="12" t="n">
        <x:v>1918</x:v>
      </x:c>
      <x:c r="D211" s="10" t="n">
        <x:v>0.9535089732149319</x:v>
      </x:c>
      <x:c r="E211" s="10" t="n">
        <x:v>0.8967378660039351</x:v>
      </x:c>
      <x:c r="F211" s="17" t="n">
        <x:v>112.53016027892349</x:v>
      </x:c>
      <x:c r="G211" s="17" t="n">
        <x:v>27.198649165067778</x:v>
      </x:c>
      <x:c r="H211" s="17" t="n">
        <x:v>-15.273374946298226</x:v>
      </x:c>
      <x:c r="I211" s="12" t="n">
        <x:v>256</x:v>
      </x:c>
      <x:c r="J211" s="12" t="n">
        <x:v>2</x:v>
      </x:c>
      <x:c r="K211" s="19" t="n">
        <x:v>0.002713975339231919</x:v>
      </x:c>
      <x:c r="L211" s="19" t="n">
        <x:v>0</x:v>
      </x:c>
      <x:c r="M211" s="19" t="n">
        <x:v>0.0001</x:v>
      </x:c>
      <x:c r="N211" s="12" t="n">
        <x:v>28</x:v>
      </x:c>
      <x:c r="O211" s="10" t="n">
        <x:v>0.03373080492019653</x:v>
      </x:c>
      <x:c r="P211" s="22" t="n">
        <x:v>47.17253492213786</x:v>
      </x:c>
      <x:c r="Q211" s="26" t="str">
        <x:v>2009-10-01</x:v>
      </x:c>
      <x:c r="R211" s="26" t="str">
        <x:v>2014-12-31</x:v>
      </x:c>
    </x:row>
    <x:row r="212" ht="22" customHeight="1">
      <x:c r="A212" s="15" t="str">
        <x:f>"05057000"</x:f>
        <x:v>05057000</x:v>
      </x:c>
      <x:c r="B212" s="12" t="n">
        <x:v>42</x:v>
      </x:c>
      <x:c r="C212" s="12" t="n">
        <x:v>1918</x:v>
      </x:c>
      <x:c r="D212" s="10" t="n">
        <x:v>0.9684062484658801</x:v>
      </x:c>
      <x:c r="E212" s="10" t="n">
        <x:v>0.9425000352752756</x:v>
      </x:c>
      <x:c r="F212" s="17" t="n">
        <x:v>126.38571962503848</x:v>
      </x:c>
      <x:c r="G212" s="17" t="n">
        <x:v>37.270458728493224</x:v>
      </x:c>
      <x:c r="H212" s="17" t="n">
        <x:v>-19.746893595020854</x:v>
      </x:c>
      <x:c r="I212" s="12" t="n">
        <x:v>256</x:v>
      </x:c>
      <x:c r="J212" s="12" t="n">
        <x:v>2</x:v>
      </x:c>
      <x:c r="K212" s="19" t="n">
        <x:v>0.002713975339231919</x:v>
      </x:c>
      <x:c r="L212" s="19" t="n">
        <x:v>0</x:v>
      </x:c>
      <x:c r="M212" s="19" t="n">
        <x:v>0.0001</x:v>
      </x:c>
      <x:c r="N212" s="12" t="n">
        <x:v>14</x:v>
      </x:c>
      <x:c r="O212" s="10" t="n">
        <x:v>0.018846048042178154</x:v>
      </x:c>
      <x:c r="P212" s="22" t="n">
        <x:v>47.18316814675927</x:v>
      </x:c>
      <x:c r="Q212" s="26" t="str">
        <x:v>2009-10-01</x:v>
      </x:c>
      <x:c r="R212" s="26" t="str">
        <x:v>2014-12-31</x:v>
      </x:c>
    </x:row>
    <x:row r="213" ht="22" customHeight="1">
      <x:c r="A213" s="15" t="str">
        <x:f>"05057200"</x:f>
        <x:v>05057200</x:v>
      </x:c>
      <x:c r="B213" s="12" t="n">
        <x:v>42</x:v>
      </x:c>
      <x:c r="C213" s="12" t="n">
        <x:v>1918</x:v>
      </x:c>
      <x:c r="D213" s="10" t="n">
        <x:v>0.9101346244012446</x:v>
      </x:c>
      <x:c r="E213" s="10" t="n">
        <x:v>0.9066306967827369</x:v>
      </x:c>
      <x:c r="F213" s="17" t="n">
        <x:v>76.85701935207078</x:v>
      </x:c>
      <x:c r="G213" s="17" t="n">
        <x:v>17.41176360229406</x:v>
      </x:c>
      <x:c r="H213" s="17" t="n">
        <x:v>-3.230828157559959</x:v>
      </x:c>
      <x:c r="I213" s="12" t="n">
        <x:v>256</x:v>
      </x:c>
      <x:c r="J213" s="12" t="n">
        <x:v>2</x:v>
      </x:c>
      <x:c r="K213" s="19" t="n">
        <x:v>0.002713975339231919</x:v>
      </x:c>
      <x:c r="L213" s="19" t="n">
        <x:v>0</x:v>
      </x:c>
      <x:c r="M213" s="19" t="n">
        <x:v>0.0001</x:v>
      </x:c>
      <x:c r="N213" s="12" t="n">
        <x:v>15</x:v>
      </x:c>
      <x:c r="O213" s="10" t="n">
        <x:v>0.16737842559814453</x:v>
      </x:c>
      <x:c r="P213" s="22" t="n">
        <x:v>46.90983517561108</x:v>
      </x:c>
      <x:c r="Q213" s="26" t="str">
        <x:v>2009-10-01</x:v>
      </x:c>
      <x:c r="R213" s="26" t="str">
        <x:v>2014-12-31</x:v>
      </x:c>
    </x:row>
    <x:row r="214" ht="22" customHeight="1">
      <x:c r="A214" s="15" t="str">
        <x:f>"05120500"</x:f>
        <x:v>05120500</x:v>
      </x:c>
      <x:c r="B214" s="12" t="n">
        <x:v>42</x:v>
      </x:c>
      <x:c r="C214" s="12" t="n">
        <x:v>1918</x:v>
      </x:c>
      <x:c r="D214" s="10" t="n">
        <x:v>0.9529288252679763</x:v>
      </x:c>
      <x:c r="E214" s="10" t="n">
        <x:v>0.8412801019560845</x:v>
      </x:c>
      <x:c r="F214" s="17" t="n">
        <x:v>27.615322258249975</x:v>
      </x:c>
      <x:c r="G214" s="17" t="n">
        <x:v>7.789938939710115</x:v>
      </x:c>
      <x:c r="H214" s="17" t="n">
        <x:v>-3.985177798750782</x:v>
      </x:c>
      <x:c r="I214" s="12" t="n">
        <x:v>256</x:v>
      </x:c>
      <x:c r="J214" s="12" t="n">
        <x:v>2</x:v>
      </x:c>
      <x:c r="K214" s="19" t="n">
        <x:v>0.002713975339231919</x:v>
      </x:c>
      <x:c r="L214" s="19" t="n">
        <x:v>0</x:v>
      </x:c>
      <x:c r="M214" s="19" t="n">
        <x:v>0.0001</x:v>
      </x:c>
      <x:c r="N214" s="12" t="n">
        <x:v>22</x:v>
      </x:c>
      <x:c r="O214" s="10" t="n">
        <x:v>0.21909622848033905</x:v>
      </x:c>
      <x:c r="P214" s="22" t="n">
        <x:v>46.96007137745619</x:v>
      </x:c>
      <x:c r="Q214" s="26" t="str">
        <x:v>2009-10-01</x:v>
      </x:c>
      <x:c r="R214" s="26" t="str">
        <x:v>2014-12-31</x:v>
      </x:c>
    </x:row>
    <x:row r="215" ht="22" customHeight="1">
      <x:c r="A215" s="15" t="str">
        <x:f>"05123400"</x:f>
        <x:v>05123400</x:v>
      </x:c>
      <x:c r="B215" s="12" t="n">
        <x:v>42</x:v>
      </x:c>
      <x:c r="C215" s="12" t="n">
        <x:v>1918</x:v>
      </x:c>
      <x:c r="D215" s="10" t="n">
        <x:v>0.9748730857445309</x:v>
      </x:c>
      <x:c r="E215" s="10" t="n">
        <x:v>0.9213392725710372</x:v>
      </x:c>
      <x:c r="F215" s="17" t="n">
        <x:v>43.90575615241911</x:v>
      </x:c>
      <x:c r="G215" s="17" t="n">
        <x:v>11.489115577080272</x:v>
      </x:c>
      <x:c r="H215" s="17" t="n">
        <x:v>-7.60341267033735</x:v>
      </x:c>
      <x:c r="I215" s="12" t="n">
        <x:v>256</x:v>
      </x:c>
      <x:c r="J215" s="12" t="n">
        <x:v>2</x:v>
      </x:c>
      <x:c r="K215" s="19" t="n">
        <x:v>0.002713975339231919</x:v>
      </x:c>
      <x:c r="L215" s="19" t="n">
        <x:v>0</x:v>
      </x:c>
      <x:c r="M215" s="19" t="n">
        <x:v>0.0001</x:v>
      </x:c>
      <x:c r="N215" s="12" t="n">
        <x:v>24</x:v>
      </x:c>
      <x:c r="O215" s="10" t="n">
        <x:v>0.03348417207598686</x:v>
      </x:c>
      <x:c r="P215" s="22" t="n">
        <x:v>46.95268338639289</x:v>
      </x:c>
      <x:c r="Q215" s="26" t="str">
        <x:v>2009-10-01</x:v>
      </x:c>
      <x:c r="R215" s="26" t="str">
        <x:v>2014-12-31</x:v>
      </x:c>
    </x:row>
    <x:row r="216" ht="22" customHeight="1">
      <x:c r="A216" s="15" t="str">
        <x:f>"05129115"</x:f>
        <x:v>05129115</x:v>
      </x:c>
      <x:c r="B216" s="12" t="n">
        <x:v>42</x:v>
      </x:c>
      <x:c r="C216" s="12" t="n">
        <x:v>1918</x:v>
      </x:c>
      <x:c r="D216" s="10" t="n">
        <x:v>0.9957591466185031</x:v>
      </x:c>
      <x:c r="E216" s="10" t="n">
        <x:v>0.9807578477834835</x:v>
      </x:c>
      <x:c r="F216" s="17" t="n">
        <x:v>44.044852017238135</x:v>
      </x:c>
      <x:c r="G216" s="17" t="n">
        <x:v>18.042364011470283</x:v>
      </x:c>
      <x:c r="H216" s="17" t="n">
        <x:v>-4.163959901981229</x:v>
      </x:c>
      <x:c r="I216" s="12" t="n">
        <x:v>256</x:v>
      </x:c>
      <x:c r="J216" s="12" t="n">
        <x:v>2</x:v>
      </x:c>
      <x:c r="K216" s="19" t="n">
        <x:v>0.002713975339231919</x:v>
      </x:c>
      <x:c r="L216" s="19" t="n">
        <x:v>0</x:v>
      </x:c>
      <x:c r="M216" s="19" t="n">
        <x:v>0.0001</x:v>
      </x:c>
      <x:c r="N216" s="12" t="n">
        <x:v>30</x:v>
      </x:c>
      <x:c r="O216" s="10" t="n">
        <x:v>0.0038709009531885386</x:v>
      </x:c>
      <x:c r="P216" s="22" t="n">
        <x:v>47.00972650386393</x:v>
      </x:c>
      <x:c r="Q216" s="26" t="str">
        <x:v>2009-10-01</x:v>
      </x:c>
      <x:c r="R216" s="26" t="str">
        <x:v>2014-12-31</x:v>
      </x:c>
    </x:row>
    <x:row r="217" ht="22" customHeight="1">
      <x:c r="A217" s="15" t="str">
        <x:f>"05131500"</x:f>
        <x:v>05131500</x:v>
      </x:c>
      <x:c r="B217" s="12" t="n">
        <x:v>42</x:v>
      </x:c>
      <x:c r="C217" s="12" t="n">
        <x:v>1918</x:v>
      </x:c>
      <x:c r="D217" s="10" t="n">
        <x:v>0.9820582902458946</x:v>
      </x:c>
      <x:c r="E217" s="10" t="n">
        <x:v>0.9727029867065338</x:v>
      </x:c>
      <x:c r="F217" s="17" t="n">
        <x:v>261.30133306937523</x:v>
      </x:c>
      <x:c r="G217" s="17" t="n">
        <x:v>95.11787166006258</x:v>
      </x:c>
      <x:c r="H217" s="17" t="n">
        <x:v>12.364915208550576</x:v>
      </x:c>
      <x:c r="I217" s="12" t="n">
        <x:v>256</x:v>
      </x:c>
      <x:c r="J217" s="12" t="n">
        <x:v>2</x:v>
      </x:c>
      <x:c r="K217" s="19" t="n">
        <x:v>0.002713975339231919</x:v>
      </x:c>
      <x:c r="L217" s="19" t="n">
        <x:v>0</x:v>
      </x:c>
      <x:c r="M217" s="19" t="n">
        <x:v>0.0001</x:v>
      </x:c>
      <x:c r="N217" s="12" t="n">
        <x:v>26</x:v>
      </x:c>
      <x:c r="O217" s="10" t="n">
        <x:v>0.018227793276309967</x:v>
      </x:c>
      <x:c r="P217" s="22" t="n">
        <x:v>47.02069002762437</x:v>
      </x:c>
      <x:c r="Q217" s="26" t="str">
        <x:v>2009-10-01</x:v>
      </x:c>
      <x:c r="R217" s="26" t="str">
        <x:v>2014-12-31</x:v>
      </x:c>
    </x:row>
    <x:row r="218" ht="22" customHeight="1">
      <x:c r="A218" s="15" t="str">
        <x:f>"05291000"</x:f>
        <x:v>05291000</x:v>
      </x:c>
      <x:c r="B218" s="12" t="n">
        <x:v>42</x:v>
      </x:c>
      <x:c r="C218" s="12" t="n">
        <x:v>1918</x:v>
      </x:c>
      <x:c r="D218" s="10" t="n">
        <x:v>0.8048796025254212</x:v>
      </x:c>
      <x:c r="E218" s="10" t="n">
        <x:v>0.8533176288891741</x:v>
      </x:c>
      <x:c r="F218" s="17" t="n">
        <x:v>164.05206610050712</x:v>
      </x:c>
      <x:c r="G218" s="17" t="n">
        <x:v>41.98447190476538</x:v>
      </x:c>
      <x:c r="H218" s="17" t="n">
        <x:v>2.4774904258915535</x:v>
      </x:c>
      <x:c r="I218" s="12" t="n">
        <x:v>256</x:v>
      </x:c>
      <x:c r="J218" s="12" t="n">
        <x:v>2</x:v>
      </x:c>
      <x:c r="K218" s="19" t="n">
        <x:v>0.002713975339231919</x:v>
      </x:c>
      <x:c r="L218" s="19" t="n">
        <x:v>0</x:v>
      </x:c>
      <x:c r="M218" s="19" t="n">
        <x:v>0.0001</x:v>
      </x:c>
      <x:c r="N218" s="12" t="n">
        <x:v>15</x:v>
      </x:c>
      <x:c r="O218" s="10" t="n">
        <x:v>0.21165259182453156</x:v>
      </x:c>
      <x:c r="P218" s="22" t="n">
        <x:v>47.08775458205491</x:v>
      </x:c>
      <x:c r="Q218" s="26" t="str">
        <x:v>2009-10-01</x:v>
      </x:c>
      <x:c r="R218" s="26" t="str">
        <x:v>2014-12-31</x:v>
      </x:c>
    </x:row>
    <x:row r="219" ht="22" customHeight="1">
      <x:c r="A219" s="15" t="str">
        <x:f>"05362000"</x:f>
        <x:v>05362000</x:v>
      </x:c>
      <x:c r="B219" s="12" t="n">
        <x:v>42</x:v>
      </x:c>
      <x:c r="C219" s="12" t="n">
        <x:v>1918</x:v>
      </x:c>
      <x:c r="D219" s="10" t="n">
        <x:v>0.8884750005473424</x:v>
      </x:c>
      <x:c r="E219" s="10" t="n">
        <x:v>0.8458789868055081</x:v>
      </x:c>
      <x:c r="F219" s="17" t="n">
        <x:v>378.48488430215156</x:v>
      </x:c>
      <x:c r="G219" s="17" t="n">
        <x:v>131.92892628164753</x:v>
      </x:c>
      <x:c r="H219" s="17" t="n">
        <x:v>-47.96341487288842</x:v>
      </x:c>
      <x:c r="I219" s="12" t="n">
        <x:v>256</x:v>
      </x:c>
      <x:c r="J219" s="12" t="n">
        <x:v>2</x:v>
      </x:c>
      <x:c r="K219" s="19" t="n">
        <x:v>0.002713975339231919</x:v>
      </x:c>
      <x:c r="L219" s="19" t="n">
        <x:v>0</x:v>
      </x:c>
      <x:c r="M219" s="19" t="n">
        <x:v>0.0001</x:v>
      </x:c>
      <x:c r="N219" s="12" t="n">
        <x:v>10</x:v>
      </x:c>
      <x:c r="O219" s="10" t="n">
        <x:v>0.02746719680726528</x:v>
      </x:c>
      <x:c r="P219" s="22" t="n">
        <x:v>47.072567160241306</x:v>
      </x:c>
      <x:c r="Q219" s="26" t="str">
        <x:v>2009-10-01</x:v>
      </x:c>
      <x:c r="R219" s="26" t="str">
        <x:v>2014-12-31</x:v>
      </x:c>
    </x:row>
    <x:row r="220" ht="22" customHeight="1">
      <x:c r="A220" s="15" t="str">
        <x:f>"05393500"</x:f>
        <x:v>05393500</x:v>
      </x:c>
      <x:c r="B220" s="12" t="n">
        <x:v>42</x:v>
      </x:c>
      <x:c r="C220" s="12" t="n">
        <x:v>1918</x:v>
      </x:c>
      <x:c r="D220" s="10" t="n">
        <x:v>0.8246013721266854</x:v>
      </x:c>
      <x:c r="E220" s="10" t="n">
        <x:v>0.8625396657499306</x:v>
      </x:c>
      <x:c r="F220" s="17" t="n">
        <x:v>81.36985941015405</x:v>
      </x:c>
      <x:c r="G220" s="17" t="n">
        <x:v>25.717475651475496</x:v>
      </x:c>
      <x:c r="H220" s="17" t="n">
        <x:v>-2.2603435174817523</x:v>
      </x:c>
      <x:c r="I220" s="12" t="n">
        <x:v>256</x:v>
      </x:c>
      <x:c r="J220" s="12" t="n">
        <x:v>2</x:v>
      </x:c>
      <x:c r="K220" s="19" t="n">
        <x:v>0.002713975339231919</x:v>
      </x:c>
      <x:c r="L220" s="19" t="n">
        <x:v>0</x:v>
      </x:c>
      <x:c r="M220" s="19" t="n">
        <x:v>0.0001</x:v>
      </x:c>
      <x:c r="N220" s="12" t="n">
        <x:v>8</x:v>
      </x:c>
      <x:c r="O220" s="10" t="n">
        <x:v>0.03708978742361069</x:v>
      </x:c>
      <x:c r="P220" s="22" t="n">
        <x:v>47.14456485025585</x:v>
      </x:c>
      <x:c r="Q220" s="26" t="str">
        <x:v>2009-10-01</x:v>
      </x:c>
      <x:c r="R220" s="26" t="str">
        <x:v>2014-12-31</x:v>
      </x:c>
    </x:row>
    <x:row r="221" ht="22" customHeight="1">
      <x:c r="A221" s="15" t="str">
        <x:f>"05399500"</x:f>
        <x:v>05399500</x:v>
      </x:c>
      <x:c r="B221" s="12" t="n">
        <x:v>42</x:v>
      </x:c>
      <x:c r="C221" s="12" t="n">
        <x:v>1917</x:v>
      </x:c>
      <x:c r="D221" s="10" t="n">
        <x:v>0.62573722213235</x:v>
      </x:c>
      <x:c r="E221" s="10" t="n">
        <x:v>0.6690083713034782</x:v>
      </x:c>
      <x:c r="F221" s="17" t="n">
        <x:v>384.57165469349155</x:v>
      </x:c>
      <x:c r="G221" s="17" t="n">
        <x:v>104.89953993245695</x:v>
      </x:c>
      <x:c r="H221" s="17" t="n">
        <x:v>-17.821437457548253</x:v>
      </x:c>
      <x:c r="I221" s="12" t="n">
        <x:v>256</x:v>
      </x:c>
      <x:c r="J221" s="12" t="n">
        <x:v>2</x:v>
      </x:c>
      <x:c r="K221" s="19" t="n">
        <x:v>0.002713975339231919</x:v>
      </x:c>
      <x:c r="L221" s="19" t="n">
        <x:v>0</x:v>
      </x:c>
      <x:c r="M221" s="19" t="n">
        <x:v>0.0001</x:v>
      </x:c>
      <x:c r="N221" s="12" t="n">
        <x:v>14</x:v>
      </x:c>
      <x:c r="O221" s="10" t="n">
        <x:v>0.0742616057395935</x:v>
      </x:c>
      <x:c r="P221" s="22" t="n">
        <x:v>47.20445301476866</x:v>
      </x:c>
      <x:c r="Q221" s="26" t="str">
        <x:v>2009-09-28</x:v>
      </x:c>
      <x:c r="R221" s="26" t="str">
        <x:v>2014-12-27</x:v>
      </x:c>
    </x:row>
    <x:row r="222" ht="22" customHeight="1">
      <x:c r="A222" s="15" t="str">
        <x:f>"05408000"</x:f>
        <x:v>05408000</x:v>
      </x:c>
      <x:c r="B222" s="12" t="n">
        <x:v>42</x:v>
      </x:c>
      <x:c r="C222" s="12" t="n">
        <x:v>1918</x:v>
      </x:c>
      <x:c r="D222" s="10" t="n">
        <x:v>0.43691726643353723</x:v>
      </x:c>
      <x:c r="E222" s="10" t="n">
        <x:v>0.6812166014918968</x:v>
      </x:c>
      <x:c r="F222" s="17" t="n">
        <x:v>124.23894632947969</x:v>
      </x:c>
      <x:c r="G222" s="17" t="n">
        <x:v>46.9568209358707</x:v>
      </x:c>
      <x:c r="H222" s="17" t="n">
        <x:v>15.329669360271115</x:v>
      </x:c>
      <x:c r="I222" s="12" t="n">
        <x:v>256</x:v>
      </x:c>
      <x:c r="J222" s="12" t="n">
        <x:v>2</x:v>
      </x:c>
      <x:c r="K222" s="19" t="n">
        <x:v>0.002713975339231919</x:v>
      </x:c>
      <x:c r="L222" s="19" t="n">
        <x:v>0</x:v>
      </x:c>
      <x:c r="M222" s="19" t="n">
        <x:v>0.0001</x:v>
      </x:c>
      <x:c r="N222" s="12" t="n">
        <x:v>7</x:v>
      </x:c>
      <x:c r="O222" s="10" t="n">
        <x:v>3.877525568008423</x:v>
      </x:c>
      <x:c r="P222" s="22" t="n">
        <x:v>47.161078305915</x:v>
      </x:c>
      <x:c r="Q222" s="26" t="str">
        <x:v>2009-10-01</x:v>
      </x:c>
      <x:c r="R222" s="26" t="str">
        <x:v>2014-12-31</x:v>
      </x:c>
    </x:row>
    <x:row r="223" ht="22" customHeight="1">
      <x:c r="A223" s="15" t="str">
        <x:f>"05412500"</x:f>
        <x:v>05412500</x:v>
      </x:c>
      <x:c r="B223" s="12" t="n">
        <x:v>42</x:v>
      </x:c>
      <x:c r="C223" s="12" t="n">
        <x:v>1918</x:v>
      </x:c>
      <x:c r="D223" s="10" t="n">
        <x:v>0.7907096200270954</x:v>
      </x:c>
      <x:c r="E223" s="10" t="n">
        <x:v>0.8941968663715482</x:v>
      </x:c>
      <x:c r="F223" s="17" t="n">
        <x:v>923.658288656038</x:v>
      </x:c>
      <x:c r="G223" s="17" t="n">
        <x:v>277.075115770073</x:v>
      </x:c>
      <x:c r="H223" s="17" t="n">
        <x:v>27.111254866006263</x:v>
      </x:c>
      <x:c r="I223" s="12" t="n">
        <x:v>256</x:v>
      </x:c>
      <x:c r="J223" s="12" t="n">
        <x:v>2</x:v>
      </x:c>
      <x:c r="K223" s="19" t="n">
        <x:v>0.002713975339231919</x:v>
      </x:c>
      <x:c r="L223" s="19" t="n">
        <x:v>0</x:v>
      </x:c>
      <x:c r="M223" s="19" t="n">
        <x:v>0.0001</x:v>
      </x:c>
      <x:c r="N223" s="12" t="n">
        <x:v>21</x:v>
      </x:c>
      <x:c r="O223" s="10" t="n">
        <x:v>0.3327781558036804</x:v>
      </x:c>
      <x:c r="P223" s="22" t="n">
        <x:v>47.18567752931267</x:v>
      </x:c>
      <x:c r="Q223" s="26" t="str">
        <x:v>2009-10-01</x:v>
      </x:c>
      <x:c r="R223" s="26" t="str">
        <x:v>2014-12-31</x:v>
      </x:c>
    </x:row>
    <x:row r="224" ht="22" customHeight="1">
      <x:c r="A224" s="15" t="str">
        <x:f>"05413500"</x:f>
        <x:v>05413500</x:v>
      </x:c>
      <x:c r="B224" s="12" t="n">
        <x:v>42</x:v>
      </x:c>
      <x:c r="C224" s="12" t="n">
        <x:v>1918</x:v>
      </x:c>
      <x:c r="D224" s="10" t="n">
        <x:v>0.4584754344349379</x:v>
      </x:c>
      <x:c r="E224" s="10" t="n">
        <x:v>0.5089404173529362</x:v>
      </x:c>
      <x:c r="F224" s="17" t="n">
        <x:v>164.31594124524213</x:v>
      </x:c>
      <x:c r="G224" s="17" t="n">
        <x:v>42.8998260995829</x:v>
      </x:c>
      <x:c r="H224" s="17" t="n">
        <x:v>-2.969633958811261</x:v>
      </x:c>
      <x:c r="I224" s="12" t="n">
        <x:v>256</x:v>
      </x:c>
      <x:c r="J224" s="12" t="n">
        <x:v>2</x:v>
      </x:c>
      <x:c r="K224" s="19" t="n">
        <x:v>0.002713975339231919</x:v>
      </x:c>
      <x:c r="L224" s="19" t="n">
        <x:v>0</x:v>
      </x:c>
      <x:c r="M224" s="19" t="n">
        <x:v>0.0001</x:v>
      </x:c>
      <x:c r="N224" s="12" t="n">
        <x:v>5</x:v>
      </x:c>
      <x:c r="O224" s="10" t="n">
        <x:v>2.143533229827881</x:v>
      </x:c>
      <x:c r="P224" s="22" t="n">
        <x:v>47.16044940054417</x:v>
      </x:c>
      <x:c r="Q224" s="26" t="str">
        <x:v>2009-10-01</x:v>
      </x:c>
      <x:c r="R224" s="26" t="str">
        <x:v>2014-12-31</x:v>
      </x:c>
    </x:row>
    <x:row r="225" ht="22" customHeight="1">
      <x:c r="A225" s="15" t="str">
        <x:f>"05414000"</x:f>
        <x:v>05414000</x:v>
      </x:c>
      <x:c r="B225" s="12" t="n">
        <x:v>42</x:v>
      </x:c>
      <x:c r="C225" s="12" t="n">
        <x:v>1918</x:v>
      </x:c>
      <x:c r="D225" s="10" t="n">
        <x:v>0.429274175199196</x:v>
      </x:c>
      <x:c r="E225" s="10" t="n">
        <x:v>0.5670611054285448</x:v>
      </x:c>
      <x:c r="F225" s="17" t="n">
        <x:v>88.07580880249493</x:v>
      </x:c>
      <x:c r="G225" s="17" t="n">
        <x:v>20.784439042231494</x:v>
      </x:c>
      <x:c r="H225" s="17" t="n">
        <x:v>-4.898386567778937</x:v>
      </x:c>
      <x:c r="I225" s="12" t="n">
        <x:v>256</x:v>
      </x:c>
      <x:c r="J225" s="12" t="n">
        <x:v>2</x:v>
      </x:c>
      <x:c r="K225" s="19" t="n">
        <x:v>0.002713975339231919</x:v>
      </x:c>
      <x:c r="L225" s="19" t="n">
        <x:v>0</x:v>
      </x:c>
      <x:c r="M225" s="19" t="n">
        <x:v>0.0001</x:v>
      </x:c>
      <x:c r="N225" s="12" t="n">
        <x:v>28</x:v>
      </x:c>
      <x:c r="O225" s="10" t="n">
        <x:v>2.4705333709716797</x:v>
      </x:c>
      <x:c r="P225" s="22" t="n">
        <x:v>47.1962812198326</x:v>
      </x:c>
      <x:c r="Q225" s="26" t="str">
        <x:v>2009-10-01</x:v>
      </x:c>
      <x:c r="R225" s="26" t="str">
        <x:v>2014-12-31</x:v>
      </x:c>
    </x:row>
    <x:row r="226" ht="22" customHeight="1">
      <x:c r="A226" s="15" t="str">
        <x:f>"05444000"</x:f>
        <x:v>05444000</x:v>
      </x:c>
      <x:c r="B226" s="12" t="n">
        <x:v>42</x:v>
      </x:c>
      <x:c r="C226" s="12" t="n">
        <x:v>1918</x:v>
      </x:c>
      <x:c r="D226" s="10" t="n">
        <x:v>0.4678430928226983</x:v>
      </x:c>
      <x:c r="E226" s="10" t="n">
        <x:v>0.6174623573655372</x:v>
      </x:c>
      <x:c r="F226" s="17" t="n">
        <x:v>134.28171396247936</x:v>
      </x:c>
      <x:c r="G226" s="17" t="n">
        <x:v>30.80264415307612</x:v>
      </x:c>
      <x:c r="H226" s="17" t="n">
        <x:v>-5.9659573720542225</x:v>
      </x:c>
      <x:c r="I226" s="12" t="n">
        <x:v>256</x:v>
      </x:c>
      <x:c r="J226" s="12" t="n">
        <x:v>2</x:v>
      </x:c>
      <x:c r="K226" s="19" t="n">
        <x:v>0.002713975339231919</x:v>
      </x:c>
      <x:c r="L226" s="19" t="n">
        <x:v>0</x:v>
      </x:c>
      <x:c r="M226" s="19" t="n">
        <x:v>0.0001</x:v>
      </x:c>
      <x:c r="N226" s="12" t="n">
        <x:v>30</x:v>
      </x:c>
      <x:c r="O226" s="10" t="n">
        <x:v>0.4152810573577881</x:v>
      </x:c>
      <x:c r="P226" s="22" t="n">
        <x:v>47.19470245670527</x:v>
      </x:c>
      <x:c r="Q226" s="26" t="str">
        <x:v>2009-10-01</x:v>
      </x:c>
      <x:c r="R226" s="26" t="str">
        <x:v>2014-12-31</x:v>
      </x:c>
    </x:row>
    <x:row r="227" ht="22" customHeight="1">
      <x:c r="A227" s="15" t="str">
        <x:f>"05454000"</x:f>
        <x:v>05454000</x:v>
      </x:c>
      <x:c r="B227" s="12" t="n">
        <x:v>42</x:v>
      </x:c>
      <x:c r="C227" s="12" t="n">
        <x:v>1918</x:v>
      </x:c>
      <x:c r="D227" s="10" t="n">
        <x:v>0.2711669754160112</x:v>
      </x:c>
      <x:c r="E227" s="10" t="n">
        <x:v>0.2152441885310621</x:v>
      </x:c>
      <x:c r="F227" s="17" t="n">
        <x:v>67.73446197383798</x:v>
      </x:c>
      <x:c r="G227" s="17" t="n">
        <x:v>13.951435735251302</x:v>
      </x:c>
      <x:c r="H227" s="17" t="n">
        <x:v>-3.267142850075078</x:v>
      </x:c>
      <x:c r="I227" s="12" t="n">
        <x:v>256</x:v>
      </x:c>
      <x:c r="J227" s="12" t="n">
        <x:v>2</x:v>
      </x:c>
      <x:c r="K227" s="19" t="n">
        <x:v>0.002713975339231919</x:v>
      </x:c>
      <x:c r="L227" s="19" t="n">
        <x:v>0</x:v>
      </x:c>
      <x:c r="M227" s="19" t="n">
        <x:v>0.0001</x:v>
      </x:c>
      <x:c r="N227" s="12" t="n">
        <x:v>2</x:v>
      </x:c>
      <x:c r="O227" s="10" t="n">
        <x:v>0.6829206347465515</x:v>
      </x:c>
      <x:c r="P227" s="22" t="n">
        <x:v>47.08879251591861</x:v>
      </x:c>
      <x:c r="Q227" s="26" t="str">
        <x:v>2009-10-01</x:v>
      </x:c>
      <x:c r="R227" s="26" t="str">
        <x:v>2014-12-31</x:v>
      </x:c>
    </x:row>
    <x:row r="228" ht="22" customHeight="1">
      <x:c r="A228" s="15" t="str">
        <x:f>"05458000"</x:f>
        <x:v>05458000</x:v>
      </x:c>
      <x:c r="B228" s="12" t="n">
        <x:v>42</x:v>
      </x:c>
      <x:c r="C228" s="12" t="n">
        <x:v>1918</x:v>
      </x:c>
      <x:c r="D228" s="10" t="n">
        <x:v>0.7515134240251682</x:v>
      </x:c>
      <x:c r="E228" s="10" t="n">
        <x:v>0.8064350401619562</x:v>
      </x:c>
      <x:c r="F228" s="17" t="n">
        <x:v>261.4610039391512</x:v>
      </x:c>
      <x:c r="G228" s="17" t="n">
        <x:v>70.97591708015642</x:v>
      </x:c>
      <x:c r="H228" s="17" t="n">
        <x:v>-3.4617362873514055</x:v>
      </x:c>
      <x:c r="I228" s="12" t="n">
        <x:v>256</x:v>
      </x:c>
      <x:c r="J228" s="12" t="n">
        <x:v>2</x:v>
      </x:c>
      <x:c r="K228" s="19" t="n">
        <x:v>0.002713975339231919</x:v>
      </x:c>
      <x:c r="L228" s="19" t="n">
        <x:v>0</x:v>
      </x:c>
      <x:c r="M228" s="19" t="n">
        <x:v>0.0001</x:v>
      </x:c>
      <x:c r="N228" s="12" t="n">
        <x:v>13</x:v>
      </x:c>
      <x:c r="O228" s="10" t="n">
        <x:v>0.998723566532135</x:v>
      </x:c>
      <x:c r="P228" s="22" t="n">
        <x:v>47.05594300292432</x:v>
      </x:c>
      <x:c r="Q228" s="26" t="str">
        <x:v>2009-10-01</x:v>
      </x:c>
      <x:c r="R228" s="26" t="str">
        <x:v>2014-12-31</x:v>
      </x:c>
    </x:row>
    <x:row r="229" ht="22" customHeight="1">
      <x:c r="A229" s="15" t="str">
        <x:f>"05466500"</x:f>
        <x:v>05466500</x:v>
      </x:c>
      <x:c r="B229" s="12" t="n">
        <x:v>42</x:v>
      </x:c>
      <x:c r="C229" s="12" t="n">
        <x:v>1918</x:v>
      </x:c>
      <x:c r="D229" s="10" t="n">
        <x:v>0.8525393927711196</x:v>
      </x:c>
      <x:c r="E229" s="10" t="n">
        <x:v>0.838712453672589</x:v>
      </x:c>
      <x:c r="F229" s="17" t="n">
        <x:v>295.6864214377186</x:v>
      </x:c>
      <x:c r="G229" s="17" t="n">
        <x:v>107.60715629019813</x:v>
      </x:c>
      <x:c r="H229" s="17" t="n">
        <x:v>-30.335600989363922</x:v>
      </x:c>
      <x:c r="I229" s="12" t="n">
        <x:v>256</x:v>
      </x:c>
      <x:c r="J229" s="12" t="n">
        <x:v>2</x:v>
      </x:c>
      <x:c r="K229" s="19" t="n">
        <x:v>0.002713975339231919</x:v>
      </x:c>
      <x:c r="L229" s="19" t="n">
        <x:v>0</x:v>
      </x:c>
      <x:c r="M229" s="19" t="n">
        <x:v>0.0001</x:v>
      </x:c>
      <x:c r="N229" s="12" t="n">
        <x:v>23</x:v>
      </x:c>
      <x:c r="O229" s="10" t="n">
        <x:v>0.18310335278511047</x:v>
      </x:c>
      <x:c r="P229" s="22" t="n">
        <x:v>47.00291718263179</x:v>
      </x:c>
      <x:c r="Q229" s="26" t="str">
        <x:v>2009-10-01</x:v>
      </x:c>
      <x:c r="R229" s="26" t="str">
        <x:v>2014-12-31</x:v>
      </x:c>
    </x:row>
    <x:row r="230" ht="22" customHeight="1">
      <x:c r="A230" s="15" t="str">
        <x:f>"05487980"</x:f>
        <x:v>05487980</x:v>
      </x:c>
      <x:c r="B230" s="12" t="n">
        <x:v>42</x:v>
      </x:c>
      <x:c r="C230" s="12" t="n">
        <x:v>1918</x:v>
      </x:c>
      <x:c r="D230" s="10" t="n">
        <x:v>0.5151991880808293</x:v>
      </x:c>
      <x:c r="E230" s="10" t="n">
        <x:v>0.5702285648775034</x:v>
      </x:c>
      <x:c r="F230" s="17" t="n">
        <x:v>703.48611566029</x:v>
      </x:c>
      <x:c r="G230" s="17" t="n">
        <x:v>229.98898154736185</x:v>
      </x:c>
      <x:c r="H230" s="17" t="n">
        <x:v>-30.337636414139723</x:v>
      </x:c>
      <x:c r="I230" s="12" t="n">
        <x:v>256</x:v>
      </x:c>
      <x:c r="J230" s="12" t="n">
        <x:v>2</x:v>
      </x:c>
      <x:c r="K230" s="19" t="n">
        <x:v>0.002713975339231919</x:v>
      </x:c>
      <x:c r="L230" s="19" t="n">
        <x:v>0</x:v>
      </x:c>
      <x:c r="M230" s="19" t="n">
        <x:v>0.0001</x:v>
      </x:c>
      <x:c r="N230" s="12" t="n">
        <x:v>6</x:v>
      </x:c>
      <x:c r="O230" s="10" t="n">
        <x:v>0.6646732687950134</x:v>
      </x:c>
      <x:c r="P230" s="22" t="n">
        <x:v>46.95780734717846</x:v>
      </x:c>
      <x:c r="Q230" s="26" t="str">
        <x:v>2009-10-01</x:v>
      </x:c>
      <x:c r="R230" s="26" t="str">
        <x:v>2014-12-31</x:v>
      </x:c>
    </x:row>
    <x:row r="231" ht="22" customHeight="1">
      <x:c r="A231" s="15" t="str">
        <x:f>"05489000"</x:f>
        <x:v>05489000</x:v>
      </x:c>
      <x:c r="B231" s="12" t="n">
        <x:v>42</x:v>
      </x:c>
      <x:c r="C231" s="12" t="n">
        <x:v>1918</x:v>
      </x:c>
      <x:c r="D231" s="10" t="n">
        <x:v>0.4258791229926705</x:v>
      </x:c>
      <x:c r="E231" s="10" t="n">
        <x:v>0.42707391034898434</x:v>
      </x:c>
      <x:c r="F231" s="17" t="n">
        <x:v>1150.290323014133</x:v>
      </x:c>
      <x:c r="G231" s="17" t="n">
        <x:v>341.21036861775815</x:v>
      </x:c>
      <x:c r="H231" s="17" t="n">
        <x:v>-57.776519165432745</x:v>
      </x:c>
      <x:c r="I231" s="12" t="n">
        <x:v>256</x:v>
      </x:c>
      <x:c r="J231" s="12" t="n">
        <x:v>2</x:v>
      </x:c>
      <x:c r="K231" s="19" t="n">
        <x:v>0.002713975339231919</x:v>
      </x:c>
      <x:c r="L231" s="19" t="n">
        <x:v>0</x:v>
      </x:c>
      <x:c r="M231" s="19" t="n">
        <x:v>0.0001</x:v>
      </x:c>
      <x:c r="N231" s="12" t="n">
        <x:v>7</x:v>
      </x:c>
      <x:c r="O231" s="10" t="n">
        <x:v>0.7804169654846191</x:v>
      </x:c>
      <x:c r="P231" s="22" t="n">
        <x:v>47.029896206222475</x:v>
      </x:c>
      <x:c r="Q231" s="26" t="str">
        <x:v>2009-10-01</x:v>
      </x:c>
      <x:c r="R231" s="26" t="str">
        <x:v>2014-12-31</x:v>
      </x:c>
    </x:row>
    <x:row r="232" ht="22" customHeight="1">
      <x:c r="A232" s="15" t="str">
        <x:f>"05495000"</x:f>
        <x:v>05495000</x:v>
      </x:c>
      <x:c r="B232" s="12" t="n">
        <x:v>42</x:v>
      </x:c>
      <x:c r="C232" s="12" t="n">
        <x:v>1918</x:v>
      </x:c>
      <x:c r="D232" s="10" t="n">
        <x:v>0.6150956377093901</x:v>
      </x:c>
      <x:c r="E232" s="10" t="n">
        <x:v>0.5833442162779956</x:v>
      </x:c>
      <x:c r="F232" s="17" t="n">
        <x:v>965.7627191284763</x:v>
      </x:c>
      <x:c r="G232" s="17" t="n">
        <x:v>296.749619776195</x:v>
      </x:c>
      <x:c r="H232" s="17" t="n">
        <x:v>-104.21508354737331</x:v>
      </x:c>
      <x:c r="I232" s="12" t="n">
        <x:v>256</x:v>
      </x:c>
      <x:c r="J232" s="12" t="n">
        <x:v>2</x:v>
      </x:c>
      <x:c r="K232" s="19" t="n">
        <x:v>0.002713975339231919</x:v>
      </x:c>
      <x:c r="L232" s="19" t="n">
        <x:v>0</x:v>
      </x:c>
      <x:c r="M232" s="19" t="n">
        <x:v>0.0001</x:v>
      </x:c>
      <x:c r="N232" s="12" t="n">
        <x:v>4</x:v>
      </x:c>
      <x:c r="O232" s="10" t="n">
        <x:v>0.3157753050327301</x:v>
      </x:c>
      <x:c r="P232" s="22" t="n">
        <x:v>47.02945026382804</x:v>
      </x:c>
      <x:c r="Q232" s="26" t="str">
        <x:v>2009-10-01</x:v>
      </x:c>
      <x:c r="R232" s="26" t="str">
        <x:v>2014-12-31</x:v>
      </x:c>
    </x:row>
    <x:row r="233" ht="22" customHeight="1">
      <x:c r="A233" s="15" t="str">
        <x:f>"05495500"</x:f>
        <x:v>05495500</x:v>
      </x:c>
      <x:c r="B233" s="12" t="n">
        <x:v>42</x:v>
      </x:c>
      <x:c r="C233" s="12" t="n">
        <x:v>1918</x:v>
      </x:c>
      <x:c r="D233" s="10" t="n">
        <x:v>0.4643580706182374</x:v>
      </x:c>
      <x:c r="E233" s="10" t="n">
        <x:v>0.43550197124014645</x:v>
      </x:c>
      <x:c r="F233" s="17" t="n">
        <x:v>1025.1116496227462</x:v>
      </x:c>
      <x:c r="G233" s="17" t="n">
        <x:v>274.8145735112805</x:v>
      </x:c>
      <x:c r="H233" s="17" t="n">
        <x:v>-68.07330955708342</x:v>
      </x:c>
      <x:c r="I233" s="12" t="n">
        <x:v>256</x:v>
      </x:c>
      <x:c r="J233" s="12" t="n">
        <x:v>2</x:v>
      </x:c>
      <x:c r="K233" s="19" t="n">
        <x:v>0.002713975339231919</x:v>
      </x:c>
      <x:c r="L233" s="19" t="n">
        <x:v>0</x:v>
      </x:c>
      <x:c r="M233" s="19" t="n">
        <x:v>0.0001</x:v>
      </x:c>
      <x:c r="N233" s="12" t="n">
        <x:v>8</x:v>
      </x:c>
      <x:c r="O233" s="10" t="n">
        <x:v>0.3720337450504303</x:v>
      </x:c>
      <x:c r="P233" s="22" t="n">
        <x:v>47.208588464185596</x:v>
      </x:c>
      <x:c r="Q233" s="26" t="str">
        <x:v>2009-10-01</x:v>
      </x:c>
      <x:c r="R233" s="26" t="str">
        <x:v>2014-12-31</x:v>
      </x:c>
    </x:row>
    <x:row r="234" ht="22" customHeight="1">
      <x:c r="A234" s="15" t="str">
        <x:f>"05501000"</x:f>
        <x:v>05501000</x:v>
      </x:c>
      <x:c r="B234" s="12" t="n">
        <x:v>42</x:v>
      </x:c>
      <x:c r="C234" s="12" t="n">
        <x:v>1918</x:v>
      </x:c>
      <x:c r="D234" s="10" t="n">
        <x:v>0.300042106558016</x:v>
      </x:c>
      <x:c r="E234" s="10" t="n">
        <x:v>0.2930690386205611</x:v>
      </x:c>
      <x:c r="F234" s="17" t="n">
        <x:v>1058.6940339476669</x:v>
      </x:c>
      <x:c r="G234" s="17" t="n">
        <x:v>269.7099486055839</x:v>
      </x:c>
      <x:c r="H234" s="17" t="n">
        <x:v>-77.76232827430135</x:v>
      </x:c>
      <x:c r="I234" s="12" t="n">
        <x:v>256</x:v>
      </x:c>
      <x:c r="J234" s="12" t="n">
        <x:v>2</x:v>
      </x:c>
      <x:c r="K234" s="19" t="n">
        <x:v>0.002713975339231919</x:v>
      </x:c>
      <x:c r="L234" s="19" t="n">
        <x:v>0</x:v>
      </x:c>
      <x:c r="M234" s="19" t="n">
        <x:v>0.0001</x:v>
      </x:c>
      <x:c r="N234" s="12" t="n">
        <x:v>8</x:v>
      </x:c>
      <x:c r="O234" s="10" t="n">
        <x:v>0.7120636105537415</x:v>
      </x:c>
      <x:c r="P234" s="22" t="n">
        <x:v>47.21732577588409</x:v>
      </x:c>
      <x:c r="Q234" s="26" t="str">
        <x:v>2009-10-01</x:v>
      </x:c>
      <x:c r="R234" s="26" t="str">
        <x:v>2014-12-31</x:v>
      </x:c>
    </x:row>
    <x:row r="235" ht="22" customHeight="1">
      <x:c r="A235" s="15" t="str">
        <x:f>"05503800"</x:f>
        <x:v>05503800</x:v>
      </x:c>
      <x:c r="B235" s="12" t="n">
        <x:v>42</x:v>
      </x:c>
      <x:c r="C235" s="12" t="n">
        <x:v>1918</x:v>
      </x:c>
      <x:c r="D235" s="10" t="n">
        <x:v>0.3405071352211747</x:v>
      </x:c>
      <x:c r="E235" s="10" t="n">
        <x:v>0.37197027645049086</x:v>
      </x:c>
      <x:c r="F235" s="17" t="n">
        <x:v>223.81835210272692</x:v>
      </x:c>
      <x:c r="G235" s="17" t="n">
        <x:v>59.010263928352664</x:v>
      </x:c>
      <x:c r="H235" s="17" t="n">
        <x:v>-15.513799475039063</x:v>
      </x:c>
      <x:c r="I235" s="12" t="n">
        <x:v>256</x:v>
      </x:c>
      <x:c r="J235" s="12" t="n">
        <x:v>2</x:v>
      </x:c>
      <x:c r="K235" s="19" t="n">
        <x:v>0.002713975339231919</x:v>
      </x:c>
      <x:c r="L235" s="19" t="n">
        <x:v>0</x:v>
      </x:c>
      <x:c r="M235" s="19" t="n">
        <x:v>0.0001</x:v>
      </x:c>
      <x:c r="N235" s="12" t="n">
        <x:v>2</x:v>
      </x:c>
      <x:c r="O235" s="10" t="n">
        <x:v>0.6682230234146118</x:v>
      </x:c>
      <x:c r="P235" s="22" t="n">
        <x:v>47.19971999339759</x:v>
      </x:c>
      <x:c r="Q235" s="26" t="str">
        <x:v>2009-10-01</x:v>
      </x:c>
      <x:c r="R235" s="26" t="str">
        <x:v>2014-12-31</x:v>
      </x:c>
    </x:row>
    <x:row r="236" ht="22" customHeight="1">
      <x:c r="A236" s="15" t="str">
        <x:f>"05507600"</x:f>
        <x:v>05507600</x:v>
      </x:c>
      <x:c r="B236" s="12" t="n">
        <x:v>42</x:v>
      </x:c>
      <x:c r="C236" s="12" t="n">
        <x:v>1918</x:v>
      </x:c>
      <x:c r="D236" s="10" t="n">
        <x:v>0.2324545756219384</x:v>
      </x:c>
      <x:c r="E236" s="10" t="n">
        <x:v>0.23251901791119656</x:v>
      </x:c>
      <x:c r="F236" s="17" t="n">
        <x:v>342.3180781521009</x:v>
      </x:c>
      <x:c r="G236" s="17" t="n">
        <x:v>98.19335652966423</x:v>
      </x:c>
      <x:c r="H236" s="17" t="n">
        <x:v>-17.896271570723673</x:v>
      </x:c>
      <x:c r="I236" s="12" t="n">
        <x:v>256</x:v>
      </x:c>
      <x:c r="J236" s="12" t="n">
        <x:v>2</x:v>
      </x:c>
      <x:c r="K236" s="19" t="n">
        <x:v>0.002713975339231919</x:v>
      </x:c>
      <x:c r="L236" s="19" t="n">
        <x:v>0</x:v>
      </x:c>
      <x:c r="M236" s="19" t="n">
        <x:v>0.0001</x:v>
      </x:c>
      <x:c r="N236" s="12" t="n">
        <x:v>7</x:v>
      </x:c>
      <x:c r="O236" s="10" t="n">
        <x:v>1.4783881902694702</x:v>
      </x:c>
      <x:c r="P236" s="22" t="n">
        <x:v>47.16741441190243</x:v>
      </x:c>
      <x:c r="Q236" s="26" t="str">
        <x:v>2009-10-01</x:v>
      </x:c>
      <x:c r="R236" s="26" t="str">
        <x:v>2014-12-31</x:v>
      </x:c>
    </x:row>
    <x:row r="237" ht="22" customHeight="1">
      <x:c r="A237" s="15" t="str">
        <x:f>"05508805"</x:f>
        <x:v>05508805</x:v>
      </x:c>
      <x:c r="B237" s="12" t="n">
        <x:v>42</x:v>
      </x:c>
      <x:c r="C237" s="12" t="n">
        <x:v>1918</x:v>
      </x:c>
      <x:c r="D237" s="10" t="n">
        <x:v>0.022644038899103158</x:v>
      </x:c>
      <x:c r="E237" s="10" t="n">
        <x:v>0.3042902418122918</x:v>
      </x:c>
      <x:c r="F237" s="17" t="n">
        <x:v>652.5234927041547</x:v>
      </x:c>
      <x:c r="G237" s="17" t="n">
        <x:v>185.72499191415122</x:v>
      </x:c>
      <x:c r="H237" s="17" t="n">
        <x:v>-2.0721871744369116</x:v>
      </x:c>
      <x:c r="I237" s="12" t="n">
        <x:v>256</x:v>
      </x:c>
      <x:c r="J237" s="12" t="n">
        <x:v>2</x:v>
      </x:c>
      <x:c r="K237" s="19" t="n">
        <x:v>0.002713975339231919</x:v>
      </x:c>
      <x:c r="L237" s="19" t="n">
        <x:v>0</x:v>
      </x:c>
      <x:c r="M237" s="19" t="n">
        <x:v>0.0001</x:v>
      </x:c>
      <x:c r="N237" s="12" t="n">
        <x:v>25</x:v>
      </x:c>
      <x:c r="O237" s="10" t="n">
        <x:v>0.8025109171867371</x:v>
      </x:c>
      <x:c r="P237" s="22" t="n">
        <x:v>47.21933488268405</x:v>
      </x:c>
      <x:c r="Q237" s="26" t="str">
        <x:v>2009-10-01</x:v>
      </x:c>
      <x:c r="R237" s="26" t="str">
        <x:v>2014-12-31</x:v>
      </x:c>
    </x:row>
    <x:row r="238" ht="22" customHeight="1">
      <x:c r="A238" s="15" t="str">
        <x:f>"05514500"</x:f>
        <x:v>05514500</x:v>
      </x:c>
      <x:c r="B238" s="12" t="n">
        <x:v>42</x:v>
      </x:c>
      <x:c r="C238" s="12" t="n">
        <x:v>1918</x:v>
      </x:c>
      <x:c r="D238" s="10" t="n">
        <x:v>0.308932695210152</x:v>
      </x:c>
      <x:c r="E238" s="10" t="n">
        <x:v>0.42803875633892563</x:v>
      </x:c>
      <x:c r="F238" s="17" t="n">
        <x:v>2256.390497294023</x:v>
      </x:c>
      <x:c r="G238" s="17" t="n">
        <x:v>616.0896340665851</x:v>
      </x:c>
      <x:c r="H238" s="17" t="n">
        <x:v>-179.94204236794056</x:v>
      </x:c>
      <x:c r="I238" s="12" t="n">
        <x:v>256</x:v>
      </x:c>
      <x:c r="J238" s="12" t="n">
        <x:v>2</x:v>
      </x:c>
      <x:c r="K238" s="19" t="n">
        <x:v>0.002713975339231919</x:v>
      </x:c>
      <x:c r="L238" s="19" t="n">
        <x:v>0</x:v>
      </x:c>
      <x:c r="M238" s="19" t="n">
        <x:v>0.0001</x:v>
      </x:c>
      <x:c r="N238" s="12" t="n">
        <x:v>13</x:v>
      </x:c>
      <x:c r="O238" s="10" t="n">
        <x:v>0.3137825131416321</x:v>
      </x:c>
      <x:c r="P238" s="22" t="n">
        <x:v>47.130950580351055</x:v>
      </x:c>
      <x:c r="Q238" s="26" t="str">
        <x:v>2009-10-01</x:v>
      </x:c>
      <x:c r="R238" s="26" t="str">
        <x:v>2014-12-31</x:v>
      </x:c>
    </x:row>
    <x:row r="239" ht="22" customHeight="1">
      <x:c r="A239" s="15" t="str">
        <x:f>"05525500"</x:f>
        <x:v>05525500</x:v>
      </x:c>
      <x:c r="B239" s="12" t="n">
        <x:v>42</x:v>
      </x:c>
      <x:c r="C239" s="12" t="n">
        <x:v>1918</x:v>
      </x:c>
      <x:c r="D239" s="10" t="n">
        <x:v>0.7649222651121993</x:v>
      </x:c>
      <x:c r="E239" s="10" t="n">
        <x:v>0.8685165946851848</x:v>
      </x:c>
      <x:c r="F239" s="17" t="n">
        <x:v>345.2987028970353</x:v>
      </x:c>
      <x:c r="G239" s="17" t="n">
        <x:v>139.64004756818562</x:v>
      </x:c>
      <x:c r="H239" s="17" t="n">
        <x:v>16.983349120031285</x:v>
      </x:c>
      <x:c r="I239" s="12" t="n">
        <x:v>256</x:v>
      </x:c>
      <x:c r="J239" s="12" t="n">
        <x:v>2</x:v>
      </x:c>
      <x:c r="K239" s="19" t="n">
        <x:v>0.002713975339231919</x:v>
      </x:c>
      <x:c r="L239" s="19" t="n">
        <x:v>0</x:v>
      </x:c>
      <x:c r="M239" s="19" t="n">
        <x:v>0.0001</x:v>
      </x:c>
      <x:c r="N239" s="12" t="n">
        <x:v>23</x:v>
      </x:c>
      <x:c r="O239" s="10" t="n">
        <x:v>0.23678864538669586</x:v>
      </x:c>
      <x:c r="P239" s="22" t="n">
        <x:v>47.223190147429705</x:v>
      </x:c>
      <x:c r="Q239" s="26" t="str">
        <x:v>2009-10-01</x:v>
      </x:c>
      <x:c r="R239" s="26" t="str">
        <x:v>2014-12-31</x:v>
      </x:c>
    </x:row>
    <x:row r="240" ht="22" customHeight="1">
      <x:c r="A240" s="15" t="str">
        <x:f>"05556500"</x:f>
        <x:v>05556500</x:v>
      </x:c>
      <x:c r="B240" s="12" t="n">
        <x:v>42</x:v>
      </x:c>
      <x:c r="C240" s="12" t="n">
        <x:v>1918</x:v>
      </x:c>
      <x:c r="D240" s="10" t="n">
        <x:v>0.6073758949708487</x:v>
      </x:c>
      <x:c r="E240" s="10" t="n">
        <x:v>0.6955557923542541</x:v>
      </x:c>
      <x:c r="F240" s="17" t="n">
        <x:v>233.50311891555916</x:v>
      </x:c>
      <x:c r="G240" s="17" t="n">
        <x:v>66.30568043998854</x:v>
      </x:c>
      <x:c r="H240" s="17" t="n">
        <x:v>-1.9790184292064625</x:v>
      </x:c>
      <x:c r="I240" s="12" t="n">
        <x:v>256</x:v>
      </x:c>
      <x:c r="J240" s="12" t="n">
        <x:v>2</x:v>
      </x:c>
      <x:c r="K240" s="19" t="n">
        <x:v>0.002713975339231919</x:v>
      </x:c>
      <x:c r="L240" s="19" t="n">
        <x:v>0</x:v>
      </x:c>
      <x:c r="M240" s="19" t="n">
        <x:v>0.0001</x:v>
      </x:c>
      <x:c r="N240" s="12" t="n">
        <x:v>19</x:v>
      </x:c>
      <x:c r="O240" s="10" t="n">
        <x:v>0.7469519376754761</x:v>
      </x:c>
      <x:c r="P240" s="22" t="n">
        <x:v>47.20688632968813</x:v>
      </x:c>
      <x:c r="Q240" s="26" t="str">
        <x:v>2009-10-01</x:v>
      </x:c>
      <x:c r="R240" s="26" t="str">
        <x:v>2014-12-31</x:v>
      </x:c>
    </x:row>
    <x:row r="241" ht="22" customHeight="1">
      <x:c r="A241" s="15" t="str">
        <x:f>"05584500"</x:f>
        <x:v>05584500</x:v>
      </x:c>
      <x:c r="B241" s="12" t="n">
        <x:v>42</x:v>
      </x:c>
      <x:c r="C241" s="12" t="n">
        <x:v>1918</x:v>
      </x:c>
      <x:c r="D241" s="10" t="n">
        <x:v>0.858393152241509</x:v>
      </x:c>
      <x:c r="E241" s="10" t="n">
        <x:v>0.7645809394194627</x:v>
      </x:c>
      <x:c r="F241" s="17" t="n">
        <x:v>696.3498837843053</x:v>
      </x:c>
      <x:c r="G241" s="17" t="n">
        <x:v>223.80056725784976</x:v>
      </x:c>
      <x:c r="H241" s="17" t="n">
        <x:v>-117.87502234637945</x:v>
      </x:c>
      <x:c r="I241" s="12" t="n">
        <x:v>256</x:v>
      </x:c>
      <x:c r="J241" s="12" t="n">
        <x:v>2</x:v>
      </x:c>
      <x:c r="K241" s="19" t="n">
        <x:v>0.002713975339231919</x:v>
      </x:c>
      <x:c r="L241" s="19" t="n">
        <x:v>0</x:v>
      </x:c>
      <x:c r="M241" s="19" t="n">
        <x:v>0.0001</x:v>
      </x:c>
      <x:c r="N241" s="12" t="n">
        <x:v>14</x:v>
      </x:c>
      <x:c r="O241" s="10" t="n">
        <x:v>0.10594122856855392</x:v>
      </x:c>
      <x:c r="P241" s="22" t="n">
        <x:v>46.73193720635027</x:v>
      </x:c>
      <x:c r="Q241" s="26" t="str">
        <x:v>2009-10-01</x:v>
      </x:c>
      <x:c r="R241" s="26" t="str">
        <x:v>2014-12-31</x:v>
      </x:c>
    </x:row>
    <x:row r="242" ht="22" customHeight="1">
      <x:c r="A242" s="15" t="str">
        <x:f>"05585000"</x:f>
        <x:v>05585000</x:v>
      </x:c>
      <x:c r="B242" s="12" t="n">
        <x:v>42</x:v>
      </x:c>
      <x:c r="C242" s="12" t="n">
        <x:v>1918</x:v>
      </x:c>
      <x:c r="D242" s="10" t="n">
        <x:v>0.919796778015737</x:v>
      </x:c>
      <x:c r="E242" s="10" t="n">
        <x:v>0.8772365447673656</x:v>
      </x:c>
      <x:c r="F242" s="17" t="n">
        <x:v>799.2430509251732</x:v>
      </x:c>
      <x:c r="G242" s="17" t="n">
        <x:v>305.3423409295881</x:v>
      </x:c>
      <x:c r="H242" s="17" t="n">
        <x:v>-83.26435663699165</x:v>
      </x:c>
      <x:c r="I242" s="12" t="n">
        <x:v>256</x:v>
      </x:c>
      <x:c r="J242" s="12" t="n">
        <x:v>2</x:v>
      </x:c>
      <x:c r="K242" s="19" t="n">
        <x:v>0.002713975339231919</x:v>
      </x:c>
      <x:c r="L242" s="19" t="n">
        <x:v>0</x:v>
      </x:c>
      <x:c r="M242" s="19" t="n">
        <x:v>0.0001</x:v>
      </x:c>
      <x:c r="N242" s="12" t="n">
        <x:v>16</x:v>
      </x:c>
      <x:c r="O242" s="10" t="n">
        <x:v>0.06508638709783554</x:v>
      </x:c>
      <x:c r="P242" s="22" t="n">
        <x:v>46.859020456671715</x:v>
      </x:c>
      <x:c r="Q242" s="26" t="str">
        <x:v>2009-10-01</x:v>
      </x:c>
      <x:c r="R242" s="26" t="str">
        <x:v>2014-12-31</x:v>
      </x:c>
    </x:row>
    <x:row r="243" ht="22" customHeight="1">
      <x:c r="A243" s="15" t="str">
        <x:f>"05591550"</x:f>
        <x:v>05591550</x:v>
      </x:c>
      <x:c r="B243" s="12" t="n">
        <x:v>42</x:v>
      </x:c>
      <x:c r="C243" s="12" t="n">
        <x:v>1911</x:v>
      </x:c>
      <x:c r="D243" s="10" t="n">
        <x:v>0.419042225992879</x:v>
      </x:c>
      <x:c r="E243" s="10" t="n">
        <x:v>0.5475320869761866</x:v>
      </x:c>
      <x:c r="F243" s="17" t="n">
        <x:v>70.07078044144544</x:v>
      </x:c>
      <x:c r="G243" s="17" t="n">
        <x:v>20.391315527674987</x:v>
      </x:c>
      <x:c r="H243" s="17" t="n">
        <x:v>-1.4499182496896392</x:v>
      </x:c>
      <x:c r="I243" s="12" t="n">
        <x:v>256</x:v>
      </x:c>
      <x:c r="J243" s="12" t="n">
        <x:v>2</x:v>
      </x:c>
      <x:c r="K243" s="19" t="n">
        <x:v>0.002713975339231919</x:v>
      </x:c>
      <x:c r="L243" s="19" t="n">
        <x:v>0</x:v>
      </x:c>
      <x:c r="M243" s="19" t="n">
        <x:v>0.0001</x:v>
      </x:c>
      <x:c r="N243" s="12" t="n">
        <x:v>10</x:v>
      </x:c>
      <x:c r="O243" s="10" t="n">
        <x:v>1.3153302669525146</x:v>
      </x:c>
      <x:c r="P243" s="22" t="n">
        <x:v>47.08107208739966</x:v>
      </x:c>
      <x:c r="Q243" s="26" t="str">
        <x:v>2009-10-08</x:v>
      </x:c>
      <x:c r="R243" s="26" t="str">
        <x:v>2014-12-31</x:v>
      </x:c>
    </x:row>
    <x:row r="244" ht="22" customHeight="1">
      <x:c r="A244" s="15" t="str">
        <x:f>"05592050"</x:f>
        <x:v>05592050</x:v>
      </x:c>
      <x:c r="B244" s="12" t="n">
        <x:v>42</x:v>
      </x:c>
      <x:c r="C244" s="12" t="n">
        <x:v>1918</x:v>
      </x:c>
      <x:c r="D244" s="10" t="n">
        <x:v>0.42250882349623653</x:v>
      </x:c>
      <x:c r="E244" s="10" t="n">
        <x:v>0.4142139524789401</x:v>
      </x:c>
      <x:c r="F244" s="17" t="n">
        <x:v>171.05782777317617</x:v>
      </x:c>
      <x:c r="G244" s="17" t="n">
        <x:v>72.36258671404067</x:v>
      </x:c>
      <x:c r="H244" s="17" t="n">
        <x:v>26.033973234641287</x:v>
      </x:c>
      <x:c r="I244" s="12" t="n">
        <x:v>256</x:v>
      </x:c>
      <x:c r="J244" s="12" t="n">
        <x:v>2</x:v>
      </x:c>
      <x:c r="K244" s="19" t="n">
        <x:v>0.002713975339231919</x:v>
      </x:c>
      <x:c r="L244" s="19" t="n">
        <x:v>0</x:v>
      </x:c>
      <x:c r="M244" s="19" t="n">
        <x:v>0.0001</x:v>
      </x:c>
      <x:c r="N244" s="12" t="n">
        <x:v>3</x:v>
      </x:c>
      <x:c r="O244" s="10" t="n">
        <x:v>0.37725257873535156</x:v>
      </x:c>
      <x:c r="P244" s="22" t="n">
        <x:v>46.989730877801776</x:v>
      </x:c>
      <x:c r="Q244" s="26" t="str">
        <x:v>2009-10-01</x:v>
      </x:c>
      <x:c r="R244" s="26" t="str">
        <x:v>2014-12-31</x:v>
      </x:c>
    </x:row>
    <x:row r="245" ht="22" customHeight="1">
      <x:c r="A245" s="15" t="str">
        <x:f>"05593575"</x:f>
        <x:v>05593575</x:v>
      </x:c>
      <x:c r="B245" s="12" t="n">
        <x:v>42</x:v>
      </x:c>
      <x:c r="C245" s="12" t="n">
        <x:v>1918</x:v>
      </x:c>
      <x:c r="D245" s="10" t="n">
        <x:v>0.29180933573553114</x:v>
      </x:c>
      <x:c r="E245" s="10" t="n">
        <x:v>0.4290801535729637</x:v>
      </x:c>
      <x:c r="F245" s="17" t="n">
        <x:v>311.37357313807667</x:v>
      </x:c>
      <x:c r="G245" s="17" t="n">
        <x:v>106.52466964272367</x:v>
      </x:c>
      <x:c r="H245" s="17" t="n">
        <x:v>6.561647283474456</x:v>
      </x:c>
      <x:c r="I245" s="12" t="n">
        <x:v>256</x:v>
      </x:c>
      <x:c r="J245" s="12" t="n">
        <x:v>2</x:v>
      </x:c>
      <x:c r="K245" s="19" t="n">
        <x:v>0.002713975339231919</x:v>
      </x:c>
      <x:c r="L245" s="19" t="n">
        <x:v>0</x:v>
      </x:c>
      <x:c r="M245" s="19" t="n">
        <x:v>0.0001</x:v>
      </x:c>
      <x:c r="N245" s="12" t="n">
        <x:v>14</x:v>
      </x:c>
      <x:c r="O245" s="10" t="n">
        <x:v>0.5409448742866516</x:v>
      </x:c>
      <x:c r="P245" s="22" t="n">
        <x:v>47.09866620320827</x:v>
      </x:c>
      <x:c r="Q245" s="26" t="str">
        <x:v>2009-10-01</x:v>
      </x:c>
      <x:c r="R245" s="26" t="str">
        <x:v>2014-12-31</x:v>
      </x:c>
    </x:row>
    <x:row r="246" ht="22" customHeight="1">
      <x:c r="A246" s="15" t="str">
        <x:f>"05593900"</x:f>
        <x:v>05593900</x:v>
      </x:c>
      <x:c r="B246" s="12" t="n">
        <x:v>42</x:v>
      </x:c>
      <x:c r="C246" s="12" t="n">
        <x:v>1918</x:v>
      </x:c>
      <x:c r="D246" s="10" t="n">
        <x:v>0.22893443033606842</x:v>
      </x:c>
      <x:c r="E246" s="10" t="n">
        <x:v>0.4033468369925842</x:v>
      </x:c>
      <x:c r="F246" s="17" t="n">
        <x:v>162.82001515102075</x:v>
      </x:c>
      <x:c r="G246" s="17" t="n">
        <x:v>59.27877686494423</x:v>
      </x:c>
      <x:c r="H246" s="17" t="n">
        <x:v>-6.413964551778502</x:v>
      </x:c>
      <x:c r="I246" s="12" t="n">
        <x:v>256</x:v>
      </x:c>
      <x:c r="J246" s="12" t="n">
        <x:v>2</x:v>
      </x:c>
      <x:c r="K246" s="19" t="n">
        <x:v>0.002713975339231919</x:v>
      </x:c>
      <x:c r="L246" s="19" t="n">
        <x:v>0</x:v>
      </x:c>
      <x:c r="M246" s="19" t="n">
        <x:v>0.0001</x:v>
      </x:c>
      <x:c r="N246" s="12" t="n">
        <x:v>12</x:v>
      </x:c>
      <x:c r="O246" s="10" t="n">
        <x:v>0.9304255247116089</x:v>
      </x:c>
      <x:c r="P246" s="22" t="n">
        <x:v>47.18348366301507</x:v>
      </x:c>
      <x:c r="Q246" s="26" t="str">
        <x:v>2009-10-01</x:v>
      </x:c>
      <x:c r="R246" s="26" t="str">
        <x:v>2014-12-31</x:v>
      </x:c>
    </x:row>
    <x:row r="247" ht="22" customHeight="1">
      <x:c r="A247" s="15" t="str">
        <x:f>"05595730"</x:f>
        <x:v>05595730</x:v>
      </x:c>
      <x:c r="B247" s="12" t="n">
        <x:v>42</x:v>
      </x:c>
      <x:c r="C247" s="12" t="n">
        <x:v>1918</x:v>
      </x:c>
      <x:c r="D247" s="10" t="n">
        <x:v>0.3148155905946878</x:v>
      </x:c>
      <x:c r="E247" s="10" t="n">
        <x:v>0.5211092163335135</x:v>
      </x:c>
      <x:c r="F247" s="17" t="n">
        <x:v>336.18336870509626</x:v>
      </x:c>
      <x:c r="G247" s="17" t="n">
        <x:v>106.69769111402941</x:v>
      </x:c>
      <x:c r="H247" s="17" t="n">
        <x:v>-8.699723051776244</x:v>
      </x:c>
      <x:c r="I247" s="12" t="n">
        <x:v>256</x:v>
      </x:c>
      <x:c r="J247" s="12" t="n">
        <x:v>2</x:v>
      </x:c>
      <x:c r="K247" s="19" t="n">
        <x:v>0.002713975339231919</x:v>
      </x:c>
      <x:c r="L247" s="19" t="n">
        <x:v>0</x:v>
      </x:c>
      <x:c r="M247" s="19" t="n">
        <x:v>0.0001</x:v>
      </x:c>
      <x:c r="N247" s="12" t="n">
        <x:v>8</x:v>
      </x:c>
      <x:c r="O247" s="10" t="n">
        <x:v>0.6724239587783813</x:v>
      </x:c>
      <x:c r="P247" s="22" t="n">
        <x:v>47.20739262551069</x:v>
      </x:c>
      <x:c r="Q247" s="26" t="str">
        <x:v>2009-10-01</x:v>
      </x:c>
      <x:c r="R247" s="26" t="str">
        <x:v>2014-12-31</x:v>
      </x:c>
    </x:row>
    <x:row r="248" ht="22" customHeight="1">
      <x:c r="A248" s="15" t="str">
        <x:f>"06191500"</x:f>
        <x:v>06191500</x:v>
      </x:c>
      <x:c r="B248" s="12" t="n">
        <x:v>42</x:v>
      </x:c>
      <x:c r="C248" s="12" t="n">
        <x:v>1918</x:v>
      </x:c>
      <x:c r="D248" s="10" t="n">
        <x:v>0.9929040543264339</x:v>
      </x:c>
      <x:c r="E248" s="10" t="n">
        <x:v>0.9938578233941031</x:v>
      </x:c>
      <x:c r="F248" s="17" t="n">
        <x:v>362.77902463795243</x:v>
      </x:c>
      <x:c r="G248" s="17" t="n">
        <x:v>161.30240891032327</x:v>
      </x:c>
      <x:c r="H248" s="17" t="n">
        <x:v>-15.892275333680914</x:v>
      </x:c>
      <x:c r="I248" s="12" t="n">
        <x:v>256</x:v>
      </x:c>
      <x:c r="J248" s="12" t="n">
        <x:v>2</x:v>
      </x:c>
      <x:c r="K248" s="19" t="n">
        <x:v>0.002713975339231919</x:v>
      </x:c>
      <x:c r="L248" s="19" t="n">
        <x:v>0</x:v>
      </x:c>
      <x:c r="M248" s="19" t="n">
        <x:v>0.0001</x:v>
      </x:c>
      <x:c r="N248" s="12" t="n">
        <x:v>20</x:v>
      </x:c>
      <x:c r="O248" s="10" t="n">
        <x:v>0.0038967037107795477</x:v>
      </x:c>
      <x:c r="P248" s="22" t="n">
        <x:v>47.242559171281755</x:v>
      </x:c>
      <x:c r="Q248" s="26" t="str">
        <x:v>2009-10-01</x:v>
      </x:c>
      <x:c r="R248" s="26" t="str">
        <x:v>2014-12-31</x:v>
      </x:c>
    </x:row>
    <x:row r="249" ht="22" customHeight="1">
      <x:c r="A249" s="15" t="str">
        <x:f>"06224000"</x:f>
        <x:v>06224000</x:v>
      </x:c>
      <x:c r="B249" s="12" t="n">
        <x:v>42</x:v>
      </x:c>
      <x:c r="C249" s="12" t="n">
        <x:v>1918</x:v>
      </x:c>
      <x:c r="D249" s="10" t="n">
        <x:v>0.9788849503314319</x:v>
      </x:c>
      <x:c r="E249" s="10" t="n">
        <x:v>0.9723029705235634</x:v>
      </x:c>
      <x:c r="F249" s="17" t="n">
        <x:v>61.191896373355696</x:v>
      </x:c>
      <x:c r="G249" s="17" t="n">
        <x:v>22.841408090354538</x:v>
      </x:c>
      <x:c r="H249" s="17" t="n">
        <x:v>0.8040499117309698</x:v>
      </x:c>
      <x:c r="I249" s="12" t="n">
        <x:v>256</x:v>
      </x:c>
      <x:c r="J249" s="12" t="n">
        <x:v>2</x:v>
      </x:c>
      <x:c r="K249" s="19" t="n">
        <x:v>0.002713975339231919</x:v>
      </x:c>
      <x:c r="L249" s="19" t="n">
        <x:v>0</x:v>
      </x:c>
      <x:c r="M249" s="19" t="n">
        <x:v>0.0001</x:v>
      </x:c>
      <x:c r="N249" s="12" t="n">
        <x:v>20</x:v>
      </x:c>
      <x:c r="O249" s="10" t="n">
        <x:v>0.006276922300457954</x:v>
      </x:c>
      <x:c r="P249" s="22" t="n">
        <x:v>47.222072433680296</x:v>
      </x:c>
      <x:c r="Q249" s="26" t="str">
        <x:v>2009-10-01</x:v>
      </x:c>
      <x:c r="R249" s="26" t="str">
        <x:v>2014-12-31</x:v>
      </x:c>
    </x:row>
    <x:row r="250" ht="22" customHeight="1">
      <x:c r="A250" s="15" t="str">
        <x:f>"06278300"</x:f>
        <x:v>06278300</x:v>
      </x:c>
      <x:c r="B250" s="12" t="n">
        <x:v>42</x:v>
      </x:c>
      <x:c r="C250" s="12" t="n">
        <x:v>1918</x:v>
      </x:c>
      <x:c r="D250" s="10" t="n">
        <x:v>0.9216499978841141</x:v>
      </x:c>
      <x:c r="E250" s="10" t="n">
        <x:v>0.8874342685937864</x:v>
      </x:c>
      <x:c r="F250" s="17" t="n">
        <x:v>23.754624101504454</x:v>
      </x:c>
      <x:c r="G250" s="17" t="n">
        <x:v>6.999924690450965</x:v>
      </x:c>
      <x:c r="H250" s="17" t="n">
        <x:v>-2.4064720973331335</x:v>
      </x:c>
      <x:c r="I250" s="12" t="n">
        <x:v>256</x:v>
      </x:c>
      <x:c r="J250" s="12" t="n">
        <x:v>2</x:v>
      </x:c>
      <x:c r="K250" s="19" t="n">
        <x:v>0.002713975339231919</x:v>
      </x:c>
      <x:c r="L250" s="19" t="n">
        <x:v>0</x:v>
      </x:c>
      <x:c r="M250" s="19" t="n">
        <x:v>0.0001</x:v>
      </x:c>
      <x:c r="N250" s="12" t="n">
        <x:v>23</x:v>
      </x:c>
      <x:c r="O250" s="10" t="n">
        <x:v>0.042485013604164124</x:v>
      </x:c>
      <x:c r="P250" s="22" t="n">
        <x:v>47.27858315221965</x:v>
      </x:c>
      <x:c r="Q250" s="26" t="str">
        <x:v>2009-10-01</x:v>
      </x:c>
      <x:c r="R250" s="26" t="str">
        <x:v>2014-12-31</x:v>
      </x:c>
    </x:row>
    <x:row r="251" ht="22" customHeight="1">
      <x:c r="A251" s="15" t="str">
        <x:f>"06280300"</x:f>
        <x:v>06280300</x:v>
      </x:c>
      <x:c r="B251" s="12" t="n">
        <x:v>42</x:v>
      </x:c>
      <x:c r="C251" s="12" t="n">
        <x:v>1918</x:v>
      </x:c>
      <x:c r="D251" s="10" t="n">
        <x:v>0.983824860380412</x:v>
      </x:c>
      <x:c r="E251" s="10" t="n">
        <x:v>0.9807554422595348</x:v>
      </x:c>
      <x:c r="F251" s="17" t="n">
        <x:v>94.0741299296566</x:v>
      </x:c>
      <x:c r="G251" s="17" t="n">
        <x:v>41.60079678832117</x:v>
      </x:c>
      <x:c r="H251" s="17" t="n">
        <x:v>-0.8681733117831092</x:v>
      </x:c>
      <x:c r="I251" s="12" t="n">
        <x:v>256</x:v>
      </x:c>
      <x:c r="J251" s="12" t="n">
        <x:v>2</x:v>
      </x:c>
      <x:c r="K251" s="19" t="n">
        <x:v>0.002713975339231919</x:v>
      </x:c>
      <x:c r="L251" s="19" t="n">
        <x:v>0</x:v>
      </x:c>
      <x:c r="M251" s="19" t="n">
        <x:v>0.0001</x:v>
      </x:c>
      <x:c r="N251" s="12" t="n">
        <x:v>14</x:v>
      </x:c>
      <x:c r="O251" s="10" t="n">
        <x:v>0.013783017173409462</x:v>
      </x:c>
      <x:c r="P251" s="22" t="n">
        <x:v>47.2619224190712</x:v>
      </x:c>
      <x:c r="Q251" s="26" t="str">
        <x:v>2009-10-01</x:v>
      </x:c>
      <x:c r="R251" s="26" t="str">
        <x:v>2014-12-31</x:v>
      </x:c>
    </x:row>
    <x:row r="252" ht="22" customHeight="1">
      <x:c r="A252" s="15" t="str">
        <x:f>"06289000"</x:f>
        <x:v>06289000</x:v>
      </x:c>
      <x:c r="B252" s="12" t="n">
        <x:v>42</x:v>
      </x:c>
      <x:c r="C252" s="12" t="n">
        <x:v>1918</x:v>
      </x:c>
      <x:c r="D252" s="10" t="n">
        <x:v>0.9757081583470707</x:v>
      </x:c>
      <x:c r="E252" s="10" t="n">
        <x:v>0.9160552761973636</x:v>
      </x:c>
      <x:c r="F252" s="17" t="n">
        <x:v>34.934602944954115</x:v>
      </x:c>
      <x:c r="G252" s="17" t="n">
        <x:v>11.95391243430657</x:v>
      </x:c>
      <x:c r="H252" s="17" t="n">
        <x:v>-7.217392250782066</x:v>
      </x:c>
      <x:c r="I252" s="12" t="n">
        <x:v>256</x:v>
      </x:c>
      <x:c r="J252" s="12" t="n">
        <x:v>2</x:v>
      </x:c>
      <x:c r="K252" s="19" t="n">
        <x:v>0.002713975339231919</x:v>
      </x:c>
      <x:c r="L252" s="19" t="n">
        <x:v>0</x:v>
      </x:c>
      <x:c r="M252" s="19" t="n">
        <x:v>0.0001</x:v>
      </x:c>
      <x:c r="N252" s="12" t="n">
        <x:v>11</x:v>
      </x:c>
      <x:c r="O252" s="10" t="n">
        <x:v>0.022010663524270058</x:v>
      </x:c>
      <x:c r="P252" s="22" t="n">
        <x:v>47.288147552870214</x:v>
      </x:c>
      <x:c r="Q252" s="26" t="str">
        <x:v>2009-10-01</x:v>
      </x:c>
      <x:c r="R252" s="26" t="str">
        <x:v>2014-12-31</x:v>
      </x:c>
    </x:row>
    <x:row r="253" ht="22" customHeight="1">
      <x:c r="A253" s="15" t="str">
        <x:f>"06311000"</x:f>
        <x:v>06311000</x:v>
      </x:c>
      <x:c r="B253" s="12" t="n">
        <x:v>42</x:v>
      </x:c>
      <x:c r="C253" s="12" t="n">
        <x:v>1918</x:v>
      </x:c>
      <x:c r="D253" s="10" t="n">
        <x:v>0.9405751209456523</x:v>
      </x:c>
      <x:c r="E253" s="10" t="n">
        <x:v>0.904304743554472</x:v>
      </x:c>
      <x:c r="F253" s="17" t="n">
        <x:v>9.18692643287839</x:v>
      </x:c>
      <x:c r="G253" s="17" t="n">
        <x:v>3.0134895911522417</x:v>
      </x:c>
      <x:c r="H253" s="17" t="n">
        <x:v>0.07075052525026068</x:v>
      </x:c>
      <x:c r="I253" s="12" t="n">
        <x:v>256</x:v>
      </x:c>
      <x:c r="J253" s="12" t="n">
        <x:v>2</x:v>
      </x:c>
      <x:c r="K253" s="19" t="n">
        <x:v>0.002713975339231919</x:v>
      </x:c>
      <x:c r="L253" s="19" t="n">
        <x:v>0</x:v>
      </x:c>
      <x:c r="M253" s="19" t="n">
        <x:v>0.0001</x:v>
      </x:c>
      <x:c r="N253" s="12" t="n">
        <x:v>2</x:v>
      </x:c>
      <x:c r="O253" s="10" t="n">
        <x:v>0.09730691462755203</x:v>
      </x:c>
      <x:c r="P253" s="22" t="n">
        <x:v>47.26678084395826</x:v>
      </x:c>
      <x:c r="Q253" s="26" t="str">
        <x:v>2009-10-01</x:v>
      </x:c>
      <x:c r="R253" s="26" t="str">
        <x:v>2014-12-31</x:v>
      </x:c>
    </x:row>
    <x:row r="254" ht="22" customHeight="1">
      <x:c r="A254" s="15" t="str">
        <x:f>"06332515"</x:f>
        <x:v>06332515</x:v>
      </x:c>
      <x:c r="B254" s="12" t="n">
        <x:v>42</x:v>
      </x:c>
      <x:c r="C254" s="12" t="n">
        <x:v>1918</x:v>
      </x:c>
      <x:c r="D254" s="10" t="n">
        <x:v>0.5248009056817126</x:v>
      </x:c>
      <x:c r="E254" s="10" t="n">
        <x:v>0.4590275963313851</x:v>
      </x:c>
      <x:c r="F254" s="17" t="n">
        <x:v>17.362889166043427</x:v>
      </x:c>
      <x:c r="G254" s="17" t="n">
        <x:v>4.421157015067258</x:v>
      </x:c>
      <x:c r="H254" s="17" t="n">
        <x:v>-1.7434817839515118</x:v>
      </x:c>
      <x:c r="I254" s="12" t="n">
        <x:v>256</x:v>
      </x:c>
      <x:c r="J254" s="12" t="n">
        <x:v>2</x:v>
      </x:c>
      <x:c r="K254" s="19" t="n">
        <x:v>0.002713975339231919</x:v>
      </x:c>
      <x:c r="L254" s="19" t="n">
        <x:v>0</x:v>
      </x:c>
      <x:c r="M254" s="19" t="n">
        <x:v>0.0001</x:v>
      </x:c>
      <x:c r="N254" s="12" t="n">
        <x:v>16</x:v>
      </x:c>
      <x:c r="O254" s="10" t="n">
        <x:v>0.047013550996780396</x:v>
      </x:c>
      <x:c r="P254" s="22" t="n">
        <x:v>47.28467891830951</x:v>
      </x:c>
      <x:c r="Q254" s="26" t="str">
        <x:v>2009-10-01</x:v>
      </x:c>
      <x:c r="R254" s="26" t="str">
        <x:v>2014-12-31</x:v>
      </x:c>
    </x:row>
    <x:row r="255" ht="22" customHeight="1">
      <x:c r="A255" s="15" t="str">
        <x:f>"06339100"</x:f>
        <x:v>06339100</x:v>
      </x:c>
      <x:c r="B255" s="12" t="n">
        <x:v>42</x:v>
      </x:c>
      <x:c r="C255" s="12" t="n">
        <x:v>1918</x:v>
      </x:c>
      <x:c r="D255" s="10" t="n">
        <x:v>0.7025759438359943</x:v>
      </x:c>
      <x:c r="E255" s="10" t="n">
        <x:v>0.6834688001918726</x:v>
      </x:c>
      <x:c r="F255" s="17" t="n">
        <x:v>49.73088833344099</x:v>
      </x:c>
      <x:c r="G255" s="17" t="n">
        <x:v>11.921899768801774</x:v>
      </x:c>
      <x:c r="H255" s="17" t="n">
        <x:v>-3.894729420292909</x:v>
      </x:c>
      <x:c r="I255" s="12" t="n">
        <x:v>256</x:v>
      </x:c>
      <x:c r="J255" s="12" t="n">
        <x:v>2</x:v>
      </x:c>
      <x:c r="K255" s="19" t="n">
        <x:v>0.002713975339231919</x:v>
      </x:c>
      <x:c r="L255" s="19" t="n">
        <x:v>0</x:v>
      </x:c>
      <x:c r="M255" s="19" t="n">
        <x:v>0.0001</x:v>
      </x:c>
      <x:c r="N255" s="12" t="n">
        <x:v>20</x:v>
      </x:c>
      <x:c r="O255" s="10" t="n">
        <x:v>0.08424600958824158</x:v>
      </x:c>
      <x:c r="P255" s="22" t="n">
        <x:v>47.07993635907769</x:v>
      </x:c>
      <x:c r="Q255" s="26" t="str">
        <x:v>2009-10-01</x:v>
      </x:c>
      <x:c r="R255" s="26" t="str">
        <x:v>2014-12-31</x:v>
      </x:c>
    </x:row>
    <x:row r="256" ht="22" customHeight="1">
      <x:c r="A256" s="15" t="str">
        <x:f>"06339500"</x:f>
        <x:v>06339500</x:v>
      </x:c>
      <x:c r="B256" s="12" t="n">
        <x:v>42</x:v>
      </x:c>
      <x:c r="C256" s="12" t="n">
        <x:v>1918</x:v>
      </x:c>
      <x:c r="D256" s="10" t="n">
        <x:v>0.8497187075073271</x:v>
      </x:c>
      <x:c r="E256" s="10" t="n">
        <x:v>0.9029646044981531</x:v>
      </x:c>
      <x:c r="F256" s="17" t="n">
        <x:v>165.75432246527373</x:v>
      </x:c>
      <x:c r="G256" s="17" t="n">
        <x:v>42.76246770583941</x:v>
      </x:c>
      <x:c r="H256" s="17" t="n">
        <x:v>-4.948962384462982</x:v>
      </x:c>
      <x:c r="I256" s="12" t="n">
        <x:v>256</x:v>
      </x:c>
      <x:c r="J256" s="12" t="n">
        <x:v>2</x:v>
      </x:c>
      <x:c r="K256" s="19" t="n">
        <x:v>0.002713975339231919</x:v>
      </x:c>
      <x:c r="L256" s="19" t="n">
        <x:v>0</x:v>
      </x:c>
      <x:c r="M256" s="19" t="n">
        <x:v>0.0001</x:v>
      </x:c>
      <x:c r="N256" s="12" t="n">
        <x:v>23</x:v>
      </x:c>
      <x:c r="O256" s="10" t="n">
        <x:v>0.5327746272087097</x:v>
      </x:c>
      <x:c r="P256" s="22" t="n">
        <x:v>47.16382179129869</x:v>
      </x:c>
      <x:c r="Q256" s="26" t="str">
        <x:v>2009-10-01</x:v>
      </x:c>
      <x:c r="R256" s="26" t="str">
        <x:v>2014-12-31</x:v>
      </x:c>
    </x:row>
    <x:row r="257" ht="22" customHeight="1">
      <x:c r="A257" s="15" t="str">
        <x:f>"06344600"</x:f>
        <x:v>06344600</x:v>
      </x:c>
      <x:c r="B257" s="12" t="n">
        <x:v>42</x:v>
      </x:c>
      <x:c r="C257" s="12" t="n">
        <x:v>1918</x:v>
      </x:c>
      <x:c r="D257" s="10" t="n">
        <x:v>0.5862786407754218</x:v>
      </x:c>
      <x:c r="E257" s="10" t="n">
        <x:v>0.43582148137768817</x:v>
      </x:c>
      <x:c r="F257" s="17" t="n">
        <x:v>78.67807585380065</x:v>
      </x:c>
      <x:c r="G257" s="17" t="n">
        <x:v>14.869286652470228</x:v>
      </x:c>
      <x:c r="H257" s="17" t="n">
        <x:v>-6.0640638060896235</x:v>
      </x:c>
      <x:c r="I257" s="12" t="n">
        <x:v>256</x:v>
      </x:c>
      <x:c r="J257" s="12" t="n">
        <x:v>2</x:v>
      </x:c>
      <x:c r="K257" s="19" t="n">
        <x:v>0.002713975339231919</x:v>
      </x:c>
      <x:c r="L257" s="19" t="n">
        <x:v>0</x:v>
      </x:c>
      <x:c r="M257" s="19" t="n">
        <x:v>0.0001</x:v>
      </x:c>
      <x:c r="N257" s="12" t="n">
        <x:v>6</x:v>
      </x:c>
      <x:c r="O257" s="10" t="n">
        <x:v>0.09202305972576141</x:v>
      </x:c>
      <x:c r="P257" s="22" t="n">
        <x:v>47.254962855018675</x:v>
      </x:c>
      <x:c r="Q257" s="26" t="str">
        <x:v>2009-10-01</x:v>
      </x:c>
      <x:c r="R257" s="26" t="str">
        <x:v>2014-12-31</x:v>
      </x:c>
    </x:row>
    <x:row r="258" ht="22" customHeight="1">
      <x:c r="A258" s="15" t="str">
        <x:f>"06350000"</x:f>
        <x:v>06350000</x:v>
      </x:c>
      <x:c r="B258" s="12" t="n">
        <x:v>42</x:v>
      </x:c>
      <x:c r="C258" s="12" t="n">
        <x:v>1918</x:v>
      </x:c>
      <x:c r="D258" s="10" t="n">
        <x:v>0.7577933738875995</x:v>
      </x:c>
      <x:c r="E258" s="10" t="n">
        <x:v>0.7483688885620335</x:v>
      </x:c>
      <x:c r="F258" s="17" t="n">
        <x:v>103.18289114176329</x:v>
      </x:c>
      <x:c r="G258" s="17" t="n">
        <x:v>28.370496582226277</x:v>
      </x:c>
      <x:c r="H258" s="17" t="n">
        <x:v>7.764363877419186</x:v>
      </x:c>
      <x:c r="I258" s="12" t="n">
        <x:v>256</x:v>
      </x:c>
      <x:c r="J258" s="12" t="n">
        <x:v>2</x:v>
      </x:c>
      <x:c r="K258" s="19" t="n">
        <x:v>0.002713975339231919</x:v>
      </x:c>
      <x:c r="L258" s="19" t="n">
        <x:v>0</x:v>
      </x:c>
      <x:c r="M258" s="19" t="n">
        <x:v>0.0001</x:v>
      </x:c>
      <x:c r="N258" s="12" t="n">
        <x:v>18</x:v>
      </x:c>
      <x:c r="O258" s="10" t="n">
        <x:v>0.3679684102535248</x:v>
      </x:c>
      <x:c r="P258" s="22" t="n">
        <x:v>47.22463026177138</x:v>
      </x:c>
      <x:c r="Q258" s="26" t="str">
        <x:v>2009-10-01</x:v>
      </x:c>
      <x:c r="R258" s="26" t="str">
        <x:v>2014-12-31</x:v>
      </x:c>
    </x:row>
    <x:row r="259" ht="22" customHeight="1">
      <x:c r="A259" s="15" t="str">
        <x:f>"06352000"</x:f>
        <x:v>06352000</x:v>
      </x:c>
      <x:c r="B259" s="12" t="n">
        <x:v>42</x:v>
      </x:c>
      <x:c r="C259" s="12" t="n">
        <x:v>1918</x:v>
      </x:c>
      <x:c r="D259" s="10" t="n">
        <x:v>0.6370136189929797</x:v>
      </x:c>
      <x:c r="E259" s="10" t="n">
        <x:v>0.6187625092432267</x:v>
      </x:c>
      <x:c r="F259" s="17" t="n">
        <x:v>122.029992633702</x:v>
      </x:c>
      <x:c r="G259" s="17" t="n">
        <x:v>22.322512048529976</x:v>
      </x:c>
      <x:c r="H259" s="17" t="n">
        <x:v>1.8325410992281022</x:v>
      </x:c>
      <x:c r="I259" s="12" t="n">
        <x:v>256</x:v>
      </x:c>
      <x:c r="J259" s="12" t="n">
        <x:v>2</x:v>
      </x:c>
      <x:c r="K259" s="19" t="n">
        <x:v>0.002713975339231919</x:v>
      </x:c>
      <x:c r="L259" s="19" t="n">
        <x:v>0</x:v>
      </x:c>
      <x:c r="M259" s="19" t="n">
        <x:v>0.0001</x:v>
      </x:c>
      <x:c r="N259" s="12" t="n">
        <x:v>27</x:v>
      </x:c>
      <x:c r="O259" s="10" t="n">
        <x:v>0.4589225649833679</x:v>
      </x:c>
      <x:c r="P259" s="22" t="n">
        <x:v>47.21943059749901</x:v>
      </x:c>
      <x:c r="Q259" s="26" t="str">
        <x:v>2009-10-01</x:v>
      </x:c>
      <x:c r="R259" s="26" t="str">
        <x:v>2014-12-31</x:v>
      </x:c>
    </x:row>
    <x:row r="260" ht="22" customHeight="1">
      <x:c r="A260" s="15" t="str">
        <x:f>"06353000"</x:f>
        <x:v>06353000</x:v>
      </x:c>
      <x:c r="B260" s="12" t="n">
        <x:v>42</x:v>
      </x:c>
      <x:c r="C260" s="12" t="n">
        <x:v>1918</x:v>
      </x:c>
      <x:c r="D260" s="10" t="n">
        <x:v>0.9138705756749455</x:v>
      </x:c>
      <x:c r="E260" s="10" t="n">
        <x:v>0.9356296411741805</x:v>
      </x:c>
      <x:c r="F260" s="17" t="n">
        <x:v>114.78626101340238</x:v>
      </x:c>
      <x:c r="G260" s="17" t="n">
        <x:v>38.43266957650417</x:v>
      </x:c>
      <x:c r="H260" s="17" t="n">
        <x:v>6.175375748438478</x:v>
      </x:c>
      <x:c r="I260" s="12" t="n">
        <x:v>256</x:v>
      </x:c>
      <x:c r="J260" s="12" t="n">
        <x:v>2</x:v>
      </x:c>
      <x:c r="K260" s="19" t="n">
        <x:v>0.002713975339231919</x:v>
      </x:c>
      <x:c r="L260" s="19" t="n">
        <x:v>0</x:v>
      </x:c>
      <x:c r="M260" s="19" t="n">
        <x:v>0.0001</x:v>
      </x:c>
      <x:c r="N260" s="12" t="n">
        <x:v>27</x:v>
      </x:c>
      <x:c r="O260" s="10" t="n">
        <x:v>0.1416005939245224</x:v>
      </x:c>
      <x:c r="P260" s="22" t="n">
        <x:v>47.30446387268603</x:v>
      </x:c>
      <x:c r="Q260" s="26" t="str">
        <x:v>2009-10-01</x:v>
      </x:c>
      <x:c r="R260" s="26" t="str">
        <x:v>2014-12-31</x:v>
      </x:c>
    </x:row>
    <x:row r="261" ht="22" customHeight="1">
      <x:c r="A261" s="15" t="str">
        <x:f>"06354000"</x:f>
        <x:v>06354000</x:v>
      </x:c>
      <x:c r="B261" s="12" t="n">
        <x:v>42</x:v>
      </x:c>
      <x:c r="C261" s="12" t="n">
        <x:v>1918</x:v>
      </x:c>
      <x:c r="D261" s="10" t="n">
        <x:v>0.9135676702899224</x:v>
      </x:c>
      <x:c r="E261" s="10" t="n">
        <x:v>0.8604589476921775</x:v>
      </x:c>
      <x:c r="F261" s="17" t="n">
        <x:v>306.2937721570599</x:v>
      </x:c>
      <x:c r="G261" s="17" t="n">
        <x:v>95.89806221019396</x:v>
      </x:c>
      <x:c r="H261" s="17" t="n">
        <x:v>-46.7991528817268</x:v>
      </x:c>
      <x:c r="I261" s="12" t="n">
        <x:v>256</x:v>
      </x:c>
      <x:c r="J261" s="12" t="n">
        <x:v>2</x:v>
      </x:c>
      <x:c r="K261" s="19" t="n">
        <x:v>0.002713975339231919</x:v>
      </x:c>
      <x:c r="L261" s="19" t="n">
        <x:v>0</x:v>
      </x:c>
      <x:c r="M261" s="19" t="n">
        <x:v>0.0001</x:v>
      </x:c>
      <x:c r="N261" s="12" t="n">
        <x:v>10</x:v>
      </x:c>
      <x:c r="O261" s="10" t="n">
        <x:v>0.22101883590221405</x:v>
      </x:c>
      <x:c r="P261" s="22" t="n">
        <x:v>47.38435180578381</x:v>
      </x:c>
      <x:c r="Q261" s="26" t="str">
        <x:v>2009-10-01</x:v>
      </x:c>
      <x:c r="R261" s="26" t="str">
        <x:v>2014-12-31</x:v>
      </x:c>
    </x:row>
    <x:row r="262" ht="22" customHeight="1">
      <x:c r="A262" s="15" t="str">
        <x:f>"06360500"</x:f>
        <x:v>06360500</x:v>
      </x:c>
      <x:c r="B262" s="12" t="n">
        <x:v>42</x:v>
      </x:c>
      <x:c r="C262" s="12" t="n">
        <x:v>1918</x:v>
      </x:c>
      <x:c r="D262" s="10" t="n">
        <x:v>0.8726052497667373</x:v>
      </x:c>
      <x:c r="E262" s="10" t="n">
        <x:v>0.9363887558396072</x:v>
      </x:c>
      <x:c r="F262" s="17" t="n">
        <x:v>681.9593108914381</x:v>
      </x:c>
      <x:c r="G262" s="17" t="n">
        <x:v>184.4152242350987</x:v>
      </x:c>
      <x:c r="H262" s="17" t="n">
        <x:v>-1.160692550260321</x:v>
      </x:c>
      <x:c r="I262" s="12" t="n">
        <x:v>256</x:v>
      </x:c>
      <x:c r="J262" s="12" t="n">
        <x:v>2</x:v>
      </x:c>
      <x:c r="K262" s="19" t="n">
        <x:v>0.002713975339231919</x:v>
      </x:c>
      <x:c r="L262" s="19" t="n">
        <x:v>0</x:v>
      </x:c>
      <x:c r="M262" s="19" t="n">
        <x:v>0.0001</x:v>
      </x:c>
      <x:c r="N262" s="12" t="n">
        <x:v>14</x:v>
      </x:c>
      <x:c r="O262" s="10" t="n">
        <x:v>0.20045052468776703</x:v>
      </x:c>
      <x:c r="P262" s="22" t="n">
        <x:v>47.393558212555945</x:v>
      </x:c>
      <x:c r="Q262" s="26" t="str">
        <x:v>2009-10-01</x:v>
      </x:c>
      <x:c r="R262" s="26" t="str">
        <x:v>2014-12-31</x:v>
      </x:c>
    </x:row>
    <x:row r="263" ht="22" customHeight="1">
      <x:c r="A263" s="15" t="str">
        <x:f>"06404000"</x:f>
        <x:v>06404000</x:v>
      </x:c>
      <x:c r="B263" s="12" t="n">
        <x:v>42</x:v>
      </x:c>
      <x:c r="C263" s="12" t="n">
        <x:v>1918</x:v>
      </x:c>
      <x:c r="D263" s="10" t="n">
        <x:v>0.5191121435287471</x:v>
      </x:c>
      <x:c r="E263" s="10" t="n">
        <x:v>0.7483213583357899</x:v>
      </x:c>
      <x:c r="F263" s="17" t="n">
        <x:v>21.972806874864858</x:v>
      </x:c>
      <x:c r="G263" s="17" t="n">
        <x:v>4.472587175546404</x:v>
      </x:c>
      <x:c r="H263" s="17" t="n">
        <x:v>-0.4997377754869656</x:v>
      </x:c>
      <x:c r="I263" s="12" t="n">
        <x:v>256</x:v>
      </x:c>
      <x:c r="J263" s="12" t="n">
        <x:v>2</x:v>
      </x:c>
      <x:c r="K263" s="19" t="n">
        <x:v>0.002713975339231919</x:v>
      </x:c>
      <x:c r="L263" s="19" t="n">
        <x:v>0</x:v>
      </x:c>
      <x:c r="M263" s="19" t="n">
        <x:v>0.0001</x:v>
      </x:c>
      <x:c r="N263" s="12" t="n">
        <x:v>23</x:v>
      </x:c>
      <x:c r="O263" s="10" t="n">
        <x:v>0.07326893508434296</x:v>
      </x:c>
      <x:c r="P263" s="22" t="n">
        <x:v>47.42775218375027</x:v>
      </x:c>
      <x:c r="Q263" s="26" t="str">
        <x:v>2009-10-01</x:v>
      </x:c>
      <x:c r="R263" s="26" t="str">
        <x:v>2014-12-31</x:v>
      </x:c>
    </x:row>
    <x:row r="264" ht="22" customHeight="1">
      <x:c r="A264" s="15" t="str">
        <x:f>"06406000"</x:f>
        <x:v>06406000</x:v>
      </x:c>
      <x:c r="B264" s="12" t="n">
        <x:v>42</x:v>
      </x:c>
      <x:c r="C264" s="12" t="n">
        <x:v>1918</x:v>
      </x:c>
      <x:c r="D264" s="10" t="n">
        <x:v>0.7674752504388818</x:v>
      </x:c>
      <x:c r="E264" s="10" t="n">
        <x:v>0.7088335365367457</x:v>
      </x:c>
      <x:c r="F264" s="17" t="n">
        <x:v>18.513965913975934</x:v>
      </x:c>
      <x:c r="G264" s="17" t="n">
        <x:v>4.370222456137747</x:v>
      </x:c>
      <x:c r="H264" s="17" t="n">
        <x:v>-2.4004674197456723</x:v>
      </x:c>
      <x:c r="I264" s="12" t="n">
        <x:v>256</x:v>
      </x:c>
      <x:c r="J264" s="12" t="n">
        <x:v>2</x:v>
      </x:c>
      <x:c r="K264" s="19" t="n">
        <x:v>0.002713975339231919</x:v>
      </x:c>
      <x:c r="L264" s="19" t="n">
        <x:v>0</x:v>
      </x:c>
      <x:c r="M264" s="19" t="n">
        <x:v>0.0001</x:v>
      </x:c>
      <x:c r="N264" s="12" t="n">
        <x:v>3</x:v>
      </x:c>
      <x:c r="O264" s="10" t="n">
        <x:v>0.5399624109268188</x:v>
      </x:c>
      <x:c r="P264" s="22" t="n">
        <x:v>47.29116344079375</x:v>
      </x:c>
      <x:c r="Q264" s="26" t="str">
        <x:v>2009-10-01</x:v>
      </x:c>
      <x:c r="R264" s="26" t="str">
        <x:v>2014-12-31</x:v>
      </x:c>
    </x:row>
    <x:row r="265" ht="22" customHeight="1">
      <x:c r="A265" s="15" t="str">
        <x:f>"06409000"</x:f>
        <x:v>06409000</x:v>
      </x:c>
      <x:c r="B265" s="12" t="n">
        <x:v>42</x:v>
      </x:c>
      <x:c r="C265" s="12" t="n">
        <x:v>1918</x:v>
      </x:c>
      <x:c r="D265" s="10" t="n">
        <x:v>0.8375185181064431</x:v>
      </x:c>
      <x:c r="E265" s="10" t="n">
        <x:v>0.8584908839058522</x:v>
      </x:c>
      <x:c r="F265" s="17" t="n">
        <x:v>3.326846955626408</x:v>
      </x:c>
      <x:c r="G265" s="17" t="n">
        <x:v>1.2229542094890513</x:v>
      </x:c>
      <x:c r="H265" s="17" t="n">
        <x:v>0.23388979103232532</x:v>
      </x:c>
      <x:c r="I265" s="12" t="n">
        <x:v>256</x:v>
      </x:c>
      <x:c r="J265" s="12" t="n">
        <x:v>2</x:v>
      </x:c>
      <x:c r="K265" s="19" t="n">
        <x:v>0.002713975339231919</x:v>
      </x:c>
      <x:c r="L265" s="19" t="n">
        <x:v>0</x:v>
      </x:c>
      <x:c r="M265" s="19" t="n">
        <x:v>0.0001</x:v>
      </x:c>
      <x:c r="N265" s="12" t="n">
        <x:v>15</x:v>
      </x:c>
      <x:c r="O265" s="10" t="n">
        <x:v>0.02151443250477314</x:v>
      </x:c>
      <x:c r="P265" s="22" t="n">
        <x:v>47.37796163279563</x:v>
      </x:c>
      <x:c r="Q265" s="26" t="str">
        <x:v>2009-10-01</x:v>
      </x:c>
      <x:c r="R265" s="26" t="str">
        <x:v>2014-12-31</x:v>
      </x:c>
    </x:row>
    <x:row r="266" ht="22" customHeight="1">
      <x:c r="A266" s="15" t="str">
        <x:f>"06431500"</x:f>
        <x:v>06431500</x:v>
      </x:c>
      <x:c r="B266" s="12" t="n">
        <x:v>42</x:v>
      </x:c>
      <x:c r="C266" s="12" t="n">
        <x:v>1918</x:v>
      </x:c>
      <x:c r="D266" s="10" t="n">
        <x:v>0.7482165034229468</x:v>
      </x:c>
      <x:c r="E266" s="10" t="n">
        <x:v>0.7835482535703229</x:v>
      </x:c>
      <x:c r="F266" s="17" t="n">
        <x:v>28.634682063815912</x:v>
      </x:c>
      <x:c r="G266" s="17" t="n">
        <x:v>6.413269643899896</x:v>
      </x:c>
      <x:c r="H266" s="17" t="n">
        <x:v>-3.587244208029197</x:v>
      </x:c>
      <x:c r="I266" s="12" t="n">
        <x:v>256</x:v>
      </x:c>
      <x:c r="J266" s="12" t="n">
        <x:v>2</x:v>
      </x:c>
      <x:c r="K266" s="19" t="n">
        <x:v>0.002713975339231919</x:v>
      </x:c>
      <x:c r="L266" s="19" t="n">
        <x:v>0</x:v>
      </x:c>
      <x:c r="M266" s="19" t="n">
        <x:v>0.0001</x:v>
      </x:c>
      <x:c r="N266" s="12" t="n">
        <x:v>20</x:v>
      </x:c>
      <x:c r="O266" s="10" t="n">
        <x:v>0.10048328340053558</x:v>
      </x:c>
      <x:c r="P266" s="22" t="n">
        <x:v>47.388927364721894</x:v>
      </x:c>
      <x:c r="Q266" s="26" t="str">
        <x:v>2009-10-01</x:v>
      </x:c>
      <x:c r="R266" s="26" t="str">
        <x:v>2014-12-31</x:v>
      </x:c>
    </x:row>
    <x:row r="267" ht="22" customHeight="1">
      <x:c r="A267" s="15" t="str">
        <x:f>"06447000"</x:f>
        <x:v>06447000</x:v>
      </x:c>
      <x:c r="B267" s="12" t="n">
        <x:v>42</x:v>
      </x:c>
      <x:c r="C267" s="12" t="n">
        <x:v>1918</x:v>
      </x:c>
      <x:c r="D267" s="10" t="n">
        <x:v>0.693622958932463</x:v>
      </x:c>
      <x:c r="E267" s="10" t="n">
        <x:v>0.6796359792102764</x:v>
      </x:c>
      <x:c r="F267" s="17" t="n">
        <x:v>456.3633949433938</x:v>
      </x:c>
      <x:c r="G267" s="17" t="n">
        <x:v>154.81577806793874</x:v>
      </x:c>
      <x:c r="H267" s="17" t="n">
        <x:v>-27.80471181235652</x:v>
      </x:c>
      <x:c r="I267" s="12" t="n">
        <x:v>256</x:v>
      </x:c>
      <x:c r="J267" s="12" t="n">
        <x:v>2</x:v>
      </x:c>
      <x:c r="K267" s="19" t="n">
        <x:v>0.002713975339231919</x:v>
      </x:c>
      <x:c r="L267" s="19" t="n">
        <x:v>0</x:v>
      </x:c>
      <x:c r="M267" s="19" t="n">
        <x:v>0.0001</x:v>
      </x:c>
      <x:c r="N267" s="12" t="n">
        <x:v>8</x:v>
      </x:c>
      <x:c r="O267" s="10" t="n">
        <x:v>0.25603586435317993</x:v>
      </x:c>
      <x:c r="P267" s="22" t="n">
        <x:v>47.414408104494214</x:v>
      </x:c>
      <x:c r="Q267" s="26" t="str">
        <x:v>2009-10-01</x:v>
      </x:c>
      <x:c r="R267" s="26" t="str">
        <x:v>2014-12-31</x:v>
      </x:c>
    </x:row>
    <x:row r="268" ht="22" customHeight="1">
      <x:c r="A268" s="15" t="str">
        <x:f>"06447500"</x:f>
        <x:v>06447500</x:v>
      </x:c>
      <x:c r="B268" s="12" t="n">
        <x:v>42</x:v>
      </x:c>
      <x:c r="C268" s="12" t="n">
        <x:v>1918</x:v>
      </x:c>
      <x:c r="D268" s="10" t="n">
        <x:v>0.8612486549553561</x:v>
      </x:c>
      <x:c r="E268" s="10" t="n">
        <x:v>0.9093069839268116</x:v>
      </x:c>
      <x:c r="F268" s="17" t="n">
        <x:v>9.802574667533177</x:v>
      </x:c>
      <x:c r="G268" s="17" t="n">
        <x:v>3.0709823703858183</x:v>
      </x:c>
      <x:c r="H268" s="17" t="n">
        <x:v>0.021865506256517262</x:v>
      </x:c>
      <x:c r="I268" s="12" t="n">
        <x:v>256</x:v>
      </x:c>
      <x:c r="J268" s="12" t="n">
        <x:v>2</x:v>
      </x:c>
      <x:c r="K268" s="19" t="n">
        <x:v>0.002713975339231919</x:v>
      </x:c>
      <x:c r="L268" s="19" t="n">
        <x:v>0</x:v>
      </x:c>
      <x:c r="M268" s="19" t="n">
        <x:v>0.0001</x:v>
      </x:c>
      <x:c r="N268" s="12" t="n">
        <x:v>13</x:v>
      </x:c>
      <x:c r="O268" s="10" t="n">
        <x:v>0.019292360171675682</x:v>
      </x:c>
      <x:c r="P268" s="22" t="n">
        <x:v>47.41374176926911</x:v>
      </x:c>
      <x:c r="Q268" s="26" t="str">
        <x:v>2009-10-01</x:v>
      </x:c>
      <x:c r="R268" s="26" t="str">
        <x:v>2014-12-31</x:v>
      </x:c>
    </x:row>
    <x:row r="269" ht="22" customHeight="1">
      <x:c r="A269" s="15" t="str">
        <x:f>"06450500"</x:f>
        <x:v>06450500</x:v>
      </x:c>
      <x:c r="B269" s="12" t="n">
        <x:v>42</x:v>
      </x:c>
      <x:c r="C269" s="12" t="n">
        <x:v>1918</x:v>
      </x:c>
      <x:c r="D269" s="10" t="n">
        <x:v>0.6501792141308114</x:v>
      </x:c>
      <x:c r="E269" s="10" t="n">
        <x:v>0.5893426460974313</x:v>
      </x:c>
      <x:c r="F269" s="17" t="n">
        <x:v>123.86540408442919</x:v>
      </x:c>
      <x:c r="G269" s="17" t="n">
        <x:v>27.175678998435874</x:v>
      </x:c>
      <x:c r="H269" s="17" t="n">
        <x:v>-14.76107488894682</x:v>
      </x:c>
      <x:c r="I269" s="12" t="n">
        <x:v>256</x:v>
      </x:c>
      <x:c r="J269" s="12" t="n">
        <x:v>2</x:v>
      </x:c>
      <x:c r="K269" s="19" t="n">
        <x:v>0.002713975339231919</x:v>
      </x:c>
      <x:c r="L269" s="19" t="n">
        <x:v>0</x:v>
      </x:c>
      <x:c r="M269" s="19" t="n">
        <x:v>0.0001</x:v>
      </x:c>
      <x:c r="N269" s="12" t="n">
        <x:v>5</x:v>
      </x:c>
      <x:c r="O269" s="10" t="n">
        <x:v>0.12498200684785843</x:v>
      </x:c>
      <x:c r="P269" s="22" t="n">
        <x:v>46.8008175836876</x:v>
      </x:c>
      <x:c r="Q269" s="26" t="str">
        <x:v>2009-10-01</x:v>
      </x:c>
      <x:c r="R269" s="26" t="str">
        <x:v>2014-12-31</x:v>
      </x:c>
    </x:row>
    <x:row r="270" ht="22" customHeight="1">
      <x:c r="A270" s="15" t="str">
        <x:f>"06452000"</x:f>
        <x:v>06452000</x:v>
      </x:c>
      <x:c r="B270" s="12" t="n">
        <x:v>42</x:v>
      </x:c>
      <x:c r="C270" s="12" t="n">
        <x:v>1917</x:v>
      </x:c>
      <x:c r="D270" s="10" t="n">
        <x:v>0.7792115238508385</x:v>
      </x:c>
      <x:c r="E270" s="10" t="n">
        <x:v>0.7104881136329158</x:v>
      </x:c>
      <x:c r="F270" s="17" t="n">
        <x:v>980.9455188508844</x:v>
      </x:c>
      <x:c r="G270" s="17" t="n">
        <x:v>279.3725985842932</x:v>
      </x:c>
      <x:c r="H270" s="17" t="n">
        <x:v>-75.31530665941052</x:v>
      </x:c>
      <x:c r="I270" s="12" t="n">
        <x:v>256</x:v>
      </x:c>
      <x:c r="J270" s="12" t="n">
        <x:v>2</x:v>
      </x:c>
      <x:c r="K270" s="19" t="n">
        <x:v>0.002713975339231919</x:v>
      </x:c>
      <x:c r="L270" s="19" t="n">
        <x:v>0</x:v>
      </x:c>
      <x:c r="M270" s="19" t="n">
        <x:v>0.0001</x:v>
      </x:c>
      <x:c r="N270" s="12" t="n">
        <x:v>13</x:v>
      </x:c>
      <x:c r="O270" s="10" t="n">
        <x:v>0.11084143072366714</x:v>
      </x:c>
      <x:c r="P270" s="22" t="n">
        <x:v>47.04554544016719</x:v>
      </x:c>
      <x:c r="Q270" s="26" t="str">
        <x:v>2009-09-28</x:v>
      </x:c>
      <x:c r="R270" s="26" t="str">
        <x:v>2014-12-27</x:v>
      </x:c>
    </x:row>
    <x:row r="271" ht="22" customHeight="1">
      <x:c r="A271" s="15" t="str">
        <x:f>"06453600"</x:f>
        <x:v>06453600</x:v>
      </x:c>
      <x:c r="B271" s="12" t="n">
        <x:v>42</x:v>
      </x:c>
      <x:c r="C271" s="12" t="n">
        <x:v>1918</x:v>
      </x:c>
      <x:c r="D271" s="10" t="n">
        <x:v>0.6539913757567204</x:v>
      </x:c>
      <x:c r="E271" s="10" t="n">
        <x:v>0.6248839387225825</x:v>
      </x:c>
      <x:c r="F271" s="17" t="n">
        <x:v>204.38883876617533</x:v>
      </x:c>
      <x:c r="G271" s="17" t="n">
        <x:v>39.6946148180318</x:v>
      </x:c>
      <x:c r="H271" s="17" t="n">
        <x:v>-12.29058965852294</x:v>
      </x:c>
      <x:c r="I271" s="12" t="n">
        <x:v>256</x:v>
      </x:c>
      <x:c r="J271" s="12" t="n">
        <x:v>2</x:v>
      </x:c>
      <x:c r="K271" s="19" t="n">
        <x:v>0.002713975339231919</x:v>
      </x:c>
      <x:c r="L271" s="19" t="n">
        <x:v>0</x:v>
      </x:c>
      <x:c r="M271" s="19" t="n">
        <x:v>0.0001</x:v>
      </x:c>
      <x:c r="N271" s="12" t="n">
        <x:v>13</x:v>
      </x:c>
      <x:c r="O271" s="10" t="n">
        <x:v>0.2542850375175476</x:v>
      </x:c>
      <x:c r="P271" s="22" t="n">
        <x:v>46.880569021217525</x:v>
      </x:c>
      <x:c r="Q271" s="26" t="str">
        <x:v>2009-10-01</x:v>
      </x:c>
      <x:c r="R271" s="26" t="str">
        <x:v>2014-12-31</x:v>
      </x:c>
    </x:row>
    <x:row r="272" ht="22" customHeight="1">
      <x:c r="A272" s="15" t="str">
        <x:f>"06464500"</x:f>
        <x:v>06464500</x:v>
      </x:c>
      <x:c r="B272" s="12" t="n">
        <x:v>42</x:v>
      </x:c>
      <x:c r="C272" s="12" t="n">
        <x:v>1918</x:v>
      </x:c>
      <x:c r="D272" s="10" t="n">
        <x:v>0.9604573561500257</x:v>
      </x:c>
      <x:c r="E272" s="10" t="n">
        <x:v>0.9459625562708553</x:v>
      </x:c>
      <x:c r="F272" s="17" t="n">
        <x:v>24.127991650283715</x:v>
      </x:c>
      <x:c r="G272" s="17" t="n">
        <x:v>10.342362769030238</x:v>
      </x:c>
      <x:c r="H272" s="17" t="n">
        <x:v>3.442547547966631</x:v>
      </x:c>
      <x:c r="I272" s="12" t="n">
        <x:v>256</x:v>
      </x:c>
      <x:c r="J272" s="12" t="n">
        <x:v>2</x:v>
      </x:c>
      <x:c r="K272" s="19" t="n">
        <x:v>0.002713975339231919</x:v>
      </x:c>
      <x:c r="L272" s="19" t="n">
        <x:v>0</x:v>
      </x:c>
      <x:c r="M272" s="19" t="n">
        <x:v>0.0001</x:v>
      </x:c>
      <x:c r="N272" s="12" t="n">
        <x:v>16</x:v>
      </x:c>
      <x:c r="O272" s="10" t="n">
        <x:v>0.06930355727672577</x:v>
      </x:c>
      <x:c r="P272" s="22" t="n">
        <x:v>47.039532103575766</x:v>
      </x:c>
      <x:c r="Q272" s="26" t="str">
        <x:v>2009-10-01</x:v>
      </x:c>
      <x:c r="R272" s="26" t="str">
        <x:v>2014-12-31</x:v>
      </x:c>
    </x:row>
    <x:row r="273" ht="22" customHeight="1">
      <x:c r="A273" s="15" t="str">
        <x:f>"06468170"</x:f>
        <x:v>06468170</x:v>
      </x:c>
      <x:c r="B273" s="12" t="n">
        <x:v>42</x:v>
      </x:c>
      <x:c r="C273" s="12" t="n">
        <x:v>1918</x:v>
      </x:c>
      <x:c r="D273" s="10" t="n">
        <x:v>0.9085128068282878</x:v>
      </x:c>
      <x:c r="E273" s="10" t="n">
        <x:v>0.9131064522202328</x:v>
      </x:c>
      <x:c r="F273" s="17" t="n">
        <x:v>153.33263662194298</x:v>
      </x:c>
      <x:c r="G273" s="17" t="n">
        <x:v>28.058917773414176</x:v>
      </x:c>
      <x:c r="H273" s="17" t="n">
        <x:v>0.24200343408320982</x:v>
      </x:c>
      <x:c r="I273" s="12" t="n">
        <x:v>256</x:v>
      </x:c>
      <x:c r="J273" s="12" t="n">
        <x:v>2</x:v>
      </x:c>
      <x:c r="K273" s="19" t="n">
        <x:v>0.002713975339231919</x:v>
      </x:c>
      <x:c r="L273" s="19" t="n">
        <x:v>0</x:v>
      </x:c>
      <x:c r="M273" s="19" t="n">
        <x:v>0.0001</x:v>
      </x:c>
      <x:c r="N273" s="12" t="n">
        <x:v>11</x:v>
      </x:c>
      <x:c r="O273" s="10" t="n">
        <x:v>0.4526698887348175</x:v>
      </x:c>
      <x:c r="P273" s="22" t="n">
        <x:v>47.118376387283206</x:v>
      </x:c>
      <x:c r="Q273" s="26" t="str">
        <x:v>2009-10-01</x:v>
      </x:c>
      <x:c r="R273" s="26" t="str">
        <x:v>2014-12-31</x:v>
      </x:c>
    </x:row>
    <x:row r="274" ht="22" customHeight="1">
      <x:c r="A274" s="15" t="str">
        <x:f>"06470800"</x:f>
        <x:v>06470800</x:v>
      </x:c>
      <x:c r="B274" s="12" t="n">
        <x:v>42</x:v>
      </x:c>
      <x:c r="C274" s="12" t="n">
        <x:v>1918</x:v>
      </x:c>
      <x:c r="D274" s="10" t="n">
        <x:v>0.9155006005118557</x:v>
      </x:c>
      <x:c r="E274" s="10" t="n">
        <x:v>0.8970937799093566</x:v>
      </x:c>
      <x:c r="F274" s="17" t="n">
        <x:v>48.15003270771625</x:v>
      </x:c>
      <x:c r="G274" s="17" t="n">
        <x:v>10.180072876132453</x:v>
      </x:c>
      <x:c r="H274" s="17" t="n">
        <x:v>-1.7193255506583653</x:v>
      </x:c>
      <x:c r="I274" s="12" t="n">
        <x:v>256</x:v>
      </x:c>
      <x:c r="J274" s="12" t="n">
        <x:v>2</x:v>
      </x:c>
      <x:c r="K274" s="19" t="n">
        <x:v>0.002713975339231919</x:v>
      </x:c>
      <x:c r="L274" s="19" t="n">
        <x:v>0</x:v>
      </x:c>
      <x:c r="M274" s="19" t="n">
        <x:v>0.0001</x:v>
      </x:c>
      <x:c r="N274" s="12" t="n">
        <x:v>14</x:v>
      </x:c>
      <x:c r="O274" s="10" t="n">
        <x:v>0.18836086988449097</x:v>
      </x:c>
      <x:c r="P274" s="22" t="n">
        <x:v>47.03665079921484</x:v>
      </x:c>
      <x:c r="Q274" s="26" t="str">
        <x:v>2009-10-01</x:v>
      </x:c>
      <x:c r="R274" s="26" t="str">
        <x:v>2014-12-31</x:v>
      </x:c>
    </x:row>
    <x:row r="275" ht="22" customHeight="1">
      <x:c r="A275" s="15" t="str">
        <x:f>"06477500"</x:f>
        <x:v>06477500</x:v>
      </x:c>
      <x:c r="B275" s="12" t="n">
        <x:v>42</x:v>
      </x:c>
      <x:c r="C275" s="12" t="n">
        <x:v>1918</x:v>
      </x:c>
      <x:c r="D275" s="10" t="n">
        <x:v>0.8311850927635128</x:v>
      </x:c>
      <x:c r="E275" s="10" t="n">
        <x:v>0.7533101232912424</x:v>
      </x:c>
      <x:c r="F275" s="17" t="n">
        <x:v>140.54567530433198</x:v>
      </x:c>
      <x:c r="G275" s="17" t="n">
        <x:v>26.229264199181387</x:v>
      </x:c>
      <x:c r="H275" s="17" t="n">
        <x:v>-4.85168157820172</x:v>
      </x:c>
      <x:c r="I275" s="12" t="n">
        <x:v>256</x:v>
      </x:c>
      <x:c r="J275" s="12" t="n">
        <x:v>2</x:v>
      </x:c>
      <x:c r="K275" s="19" t="n">
        <x:v>0.002713975339231919</x:v>
      </x:c>
      <x:c r="L275" s="19" t="n">
        <x:v>0</x:v>
      </x:c>
      <x:c r="M275" s="19" t="n">
        <x:v>0.0001</x:v>
      </x:c>
      <x:c r="N275" s="12" t="n">
        <x:v>30</x:v>
      </x:c>
      <x:c r="O275" s="10" t="n">
        <x:v>0.017684167250990868</x:v>
      </x:c>
      <x:c r="P275" s="22" t="n">
        <x:v>47.13030142709613</x:v>
      </x:c>
      <x:c r="Q275" s="26" t="str">
        <x:v>2009-09-30</x:v>
      </x:c>
      <x:c r="R275" s="26" t="str">
        <x:v>2014-12-30</x:v>
      </x:c>
    </x:row>
    <x:row r="276" ht="22" customHeight="1">
      <x:c r="A276" s="15" t="str">
        <x:f>"06479438"</x:f>
        <x:v>06479438</x:v>
      </x:c>
      <x:c r="B276" s="12" t="n">
        <x:v>42</x:v>
      </x:c>
      <x:c r="C276" s="12" t="n">
        <x:v>1918</x:v>
      </x:c>
      <x:c r="D276" s="10" t="n">
        <x:v>0.7736029296687431</x:v>
      </x:c>
      <x:c r="E276" s="10" t="n">
        <x:v>0.8410544386902512</x:v>
      </x:c>
      <x:c r="F276" s="17" t="n">
        <x:v>86.87823191943039</x:v>
      </x:c>
      <x:c r="G276" s="17" t="n">
        <x:v>21.568176830407193</x:v>
      </x:c>
      <x:c r="H276" s="17" t="n">
        <x:v>0.0014153435709071596</x:v>
      </x:c>
      <x:c r="I276" s="12" t="n">
        <x:v>256</x:v>
      </x:c>
      <x:c r="J276" s="12" t="n">
        <x:v>2</x:v>
      </x:c>
      <x:c r="K276" s="19" t="n">
        <x:v>0.002713975339231919</x:v>
      </x:c>
      <x:c r="L276" s="19" t="n">
        <x:v>0</x:v>
      </x:c>
      <x:c r="M276" s="19" t="n">
        <x:v>0.0001</x:v>
      </x:c>
      <x:c r="N276" s="12" t="n">
        <x:v>28</x:v>
      </x:c>
      <x:c r="O276" s="10" t="n">
        <x:v>0.053193844854831696</x:v>
      </x:c>
      <x:c r="P276" s="22" t="n">
        <x:v>47.17609540745616</x:v>
      </x:c>
      <x:c r="Q276" s="26" t="str">
        <x:v>2009-10-01</x:v>
      </x:c>
      <x:c r="R276" s="26" t="str">
        <x:v>2014-12-31</x:v>
      </x:c>
    </x:row>
    <x:row r="277" ht="22" customHeight="1">
      <x:c r="A277" s="15" t="str">
        <x:f>"06601000"</x:f>
        <x:v>06601000</x:v>
      </x:c>
      <x:c r="B277" s="12" t="n">
        <x:v>42</x:v>
      </x:c>
      <x:c r="C277" s="12" t="n">
        <x:v>1918</x:v>
      </x:c>
      <x:c r="D277" s="10" t="n">
        <x:v>0.20333201597518302</x:v>
      </x:c>
      <x:c r="E277" s="10" t="n">
        <x:v>0.24449989637803182</x:v>
      </x:c>
      <x:c r="F277" s="17" t="n">
        <x:v>96.11908506911463</x:v>
      </x:c>
      <x:c r="G277" s="17" t="n">
        <x:v>17.60155615067779</x:v>
      </x:c>
      <x:c r="H277" s="17" t="n">
        <x:v>-4.445921311261731</x:v>
      </x:c>
      <x:c r="I277" s="12" t="n">
        <x:v>256</x:v>
      </x:c>
      <x:c r="J277" s="12" t="n">
        <x:v>2</x:v>
      </x:c>
      <x:c r="K277" s="19" t="n">
        <x:v>0.002713975339231919</x:v>
      </x:c>
      <x:c r="L277" s="19" t="n">
        <x:v>0</x:v>
      </x:c>
      <x:c r="M277" s="19" t="n">
        <x:v>0.0001</x:v>
      </x:c>
      <x:c r="N277" s="12" t="n">
        <x:v>3</x:v>
      </x:c>
      <x:c r="O277" s="10" t="n">
        <x:v>0.07744024693965912</x:v>
      </x:c>
      <x:c r="P277" s="22" t="n">
        <x:v>47.19491931796074</x:v>
      </x:c>
      <x:c r="Q277" s="26" t="str">
        <x:v>2009-10-01</x:v>
      </x:c>
      <x:c r="R277" s="26" t="str">
        <x:v>2014-12-31</x:v>
      </x:c>
    </x:row>
    <x:row r="278" ht="22" customHeight="1">
      <x:c r="A278" s="15" t="str">
        <x:f>"06614800"</x:f>
        <x:v>06614800</x:v>
      </x:c>
      <x:c r="B278" s="12" t="n">
        <x:v>42</x:v>
      </x:c>
      <x:c r="C278" s="12" t="n">
        <x:v>1918</x:v>
      </x:c>
      <x:c r="D278" s="10" t="n">
        <x:v>0.959154882880061</x:v>
      </x:c>
      <x:c r="E278" s="10" t="n">
        <x:v>0.9486426621358323</x:v>
      </x:c>
      <x:c r="F278" s="17" t="n">
        <x:v>1.3763720047157533</x:v>
      </x:c>
      <x:c r="G278" s="17" t="n">
        <x:v>0.40513422295151197</x:v>
      </x:c>
      <x:c r="H278" s="17" t="n">
        <x:v>-0.10716416794629827</x:v>
      </x:c>
      <x:c r="I278" s="12" t="n">
        <x:v>256</x:v>
      </x:c>
      <x:c r="J278" s="12" t="n">
        <x:v>2</x:v>
      </x:c>
      <x:c r="K278" s="19" t="n">
        <x:v>0.002713975339231919</x:v>
      </x:c>
      <x:c r="L278" s="19" t="n">
        <x:v>0</x:v>
      </x:c>
      <x:c r="M278" s="19" t="n">
        <x:v>0.0001</x:v>
      </x:c>
      <x:c r="N278" s="12" t="n">
        <x:v>18</x:v>
      </x:c>
      <x:c r="O278" s="10" t="n">
        <x:v>0.012356385588645935</x:v>
      </x:c>
      <x:c r="P278" s="22" t="n">
        <x:v>47.20381233096123</x:v>
      </x:c>
      <x:c r="Q278" s="26" t="str">
        <x:v>2009-10-01</x:v>
      </x:c>
      <x:c r="R278" s="26" t="str">
        <x:v>2014-12-31</x:v>
      </x:c>
    </x:row>
    <x:row r="279" ht="22" customHeight="1">
      <x:c r="A279" s="15" t="str">
        <x:f>"06622700"</x:f>
        <x:v>06622700</x:v>
      </x:c>
      <x:c r="B279" s="12" t="n">
        <x:v>42</x:v>
      </x:c>
      <x:c r="C279" s="12" t="n">
        <x:v>1918</x:v>
      </x:c>
      <x:c r="D279" s="10" t="n">
        <x:v>0.977159800005148</x:v>
      </x:c>
      <x:c r="E279" s="10" t="n">
        <x:v>0.9341513657075851</x:v>
      </x:c>
      <x:c r="F279" s="17" t="n">
        <x:v>23.144036392579853</x:v>
      </x:c>
      <x:c r="G279" s="17" t="n">
        <x:v>7.855209140302398</x:v>
      </x:c>
      <x:c r="H279" s="17" t="n">
        <x:v>-2.7961607090198117</x:v>
      </x:c>
      <x:c r="I279" s="12" t="n">
        <x:v>256</x:v>
      </x:c>
      <x:c r="J279" s="12" t="n">
        <x:v>2</x:v>
      </x:c>
      <x:c r="K279" s="19" t="n">
        <x:v>0.002713975339231919</x:v>
      </x:c>
      <x:c r="L279" s="19" t="n">
        <x:v>0</x:v>
      </x:c>
      <x:c r="M279" s="19" t="n">
        <x:v>0.0001</x:v>
      </x:c>
      <x:c r="N279" s="12" t="n">
        <x:v>16</x:v>
      </x:c>
      <x:c r="O279" s="10" t="n">
        <x:v>0.02128891460597515</x:v>
      </x:c>
      <x:c r="P279" s="22" t="n">
        <x:v>47.226207630708814</x:v>
      </x:c>
      <x:c r="Q279" s="26" t="str">
        <x:v>2009-10-01</x:v>
      </x:c>
      <x:c r="R279" s="26" t="str">
        <x:v>2014-12-31</x:v>
      </x:c>
    </x:row>
    <x:row r="280" ht="22" customHeight="1">
      <x:c r="A280" s="15" t="str">
        <x:f>"06623800"</x:f>
        <x:v>06623800</x:v>
      </x:c>
      <x:c r="B280" s="12" t="n">
        <x:v>42</x:v>
      </x:c>
      <x:c r="C280" s="12" t="n">
        <x:v>1918</x:v>
      </x:c>
      <x:c r="D280" s="10" t="n">
        <x:v>0.9870387701399393</x:v>
      </x:c>
      <x:c r="E280" s="10" t="n">
        <x:v>0.9297077141498619</x:v>
      </x:c>
      <x:c r="F280" s="17" t="n">
        <x:v>31.33146118701121</x:v>
      </x:c>
      <x:c r="G280" s="17" t="n">
        <x:v>12.489213132429613</x:v>
      </x:c>
      <x:c r="H280" s="17" t="n">
        <x:v>-7.012899041710113</x:v>
      </x:c>
      <x:c r="I280" s="12" t="n">
        <x:v>256</x:v>
      </x:c>
      <x:c r="J280" s="12" t="n">
        <x:v>2</x:v>
      </x:c>
      <x:c r="K280" s="19" t="n">
        <x:v>0.002713975339231919</x:v>
      </x:c>
      <x:c r="L280" s="19" t="n">
        <x:v>0</x:v>
      </x:c>
      <x:c r="M280" s="19" t="n">
        <x:v>0.0001</x:v>
      </x:c>
      <x:c r="N280" s="12" t="n">
        <x:v>11</x:v>
      </x:c>
      <x:c r="O280" s="10" t="n">
        <x:v>0.009353036992251873</x:v>
      </x:c>
      <x:c r="P280" s="22" t="n">
        <x:v>47.231434639543295</x:v>
      </x:c>
      <x:c r="Q280" s="26" t="str">
        <x:v>2009-10-01</x:v>
      </x:c>
      <x:c r="R280" s="26" t="str">
        <x:v>2014-12-31</x:v>
      </x:c>
    </x:row>
    <x:row r="281" ht="22" customHeight="1">
      <x:c r="A281" s="15" t="str">
        <x:f>"06632400"</x:f>
        <x:v>06632400</x:v>
      </x:c>
      <x:c r="B281" s="12" t="n">
        <x:v>42</x:v>
      </x:c>
      <x:c r="C281" s="12" t="n">
        <x:v>1918</x:v>
      </x:c>
      <x:c r="D281" s="10" t="n">
        <x:v>0.9800414868640915</x:v>
      </x:c>
      <x:c r="E281" s="10" t="n">
        <x:v>0.968036358626526</x:v>
      </x:c>
      <x:c r="F281" s="17" t="n">
        <x:v>31.60340993477733</x:v>
      </x:c>
      <x:c r="G281" s="17" t="n">
        <x:v>10.14187497523462</x:v>
      </x:c>
      <x:c r="H281" s="17" t="n">
        <x:v>-1.5388639864963511</x:v>
      </x:c>
      <x:c r="I281" s="12" t="n">
        <x:v>256</x:v>
      </x:c>
      <x:c r="J281" s="12" t="n">
        <x:v>2</x:v>
      </x:c>
      <x:c r="K281" s="19" t="n">
        <x:v>0.002713975339231919</x:v>
      </x:c>
      <x:c r="L281" s="19" t="n">
        <x:v>0</x:v>
      </x:c>
      <x:c r="M281" s="19" t="n">
        <x:v>0.0001</x:v>
      </x:c>
      <x:c r="N281" s="12" t="n">
        <x:v>16</x:v>
      </x:c>
      <x:c r="O281" s="10" t="n">
        <x:v>0.02003624103963375</x:v>
      </x:c>
      <x:c r="P281" s="22" t="n">
        <x:v>47.225158067420125</x:v>
      </x:c>
      <x:c r="Q281" s="26" t="str">
        <x:v>2009-10-01</x:v>
      </x:c>
      <x:c r="R281" s="26" t="str">
        <x:v>2014-12-31</x:v>
      </x:c>
    </x:row>
    <x:row r="282" ht="22" customHeight="1">
      <x:c r="A282" s="15" t="str">
        <x:f>"06746095"</x:f>
        <x:v>06746095</x:v>
      </x:c>
      <x:c r="B282" s="12" t="n">
        <x:v>42</x:v>
      </x:c>
      <x:c r="C282" s="12" t="n">
        <x:v>1918</x:v>
      </x:c>
      <x:c r="D282" s="10" t="n">
        <x:v>0.9858243782550615</x:v>
      </x:c>
      <x:c r="E282" s="10" t="n">
        <x:v>0.9657642029217817</x:v>
      </x:c>
      <x:c r="F282" s="17" t="n">
        <x:v>2.250055220003392</x:v>
      </x:c>
      <x:c r="G282" s="17" t="n">
        <x:v>1.0578714020221585</x:v>
      </x:c>
      <x:c r="H282" s="17" t="n">
        <x:v>0.1565481268203858</x:v>
      </x:c>
      <x:c r="I282" s="12" t="n">
        <x:v>256</x:v>
      </x:c>
      <x:c r="J282" s="12" t="n">
        <x:v>2</x:v>
      </x:c>
      <x:c r="K282" s="19" t="n">
        <x:v>0.002713975339231919</x:v>
      </x:c>
      <x:c r="L282" s="19" t="n">
        <x:v>0</x:v>
      </x:c>
      <x:c r="M282" s="19" t="n">
        <x:v>0.0001</x:v>
      </x:c>
      <x:c r="N282" s="12" t="n">
        <x:v>25</x:v>
      </x:c>
      <x:c r="O282" s="10" t="n">
        <x:v>0.013248799368739128</x:v>
      </x:c>
      <x:c r="P282" s="22" t="n">
        <x:v>47.244068964384496</x:v>
      </x:c>
      <x:c r="Q282" s="26" t="str">
        <x:v>2009-10-01</x:v>
      </x:c>
      <x:c r="R282" s="26" t="str">
        <x:v>2014-12-31</x:v>
      </x:c>
    </x:row>
    <x:row r="283" ht="22" customHeight="1">
      <x:c r="A283" s="15" t="str">
        <x:f>"06784000"</x:f>
        <x:v>06784000</x:v>
      </x:c>
      <x:c r="B283" s="12" t="n">
        <x:v>42</x:v>
      </x:c>
      <x:c r="C283" s="12" t="n">
        <x:v>1918</x:v>
      </x:c>
      <x:c r="D283" s="10" t="n">
        <x:v>0.7241062072013909</x:v>
      </x:c>
      <x:c r="E283" s="10" t="n">
        <x:v>0.7681554982858939</x:v>
      </x:c>
      <x:c r="F283" s="17" t="n">
        <x:v>74.73431608149048</x:v>
      </x:c>
      <x:c r="G283" s="17" t="n">
        <x:v>32.695215856100106</x:v>
      </x:c>
      <x:c r="H283" s="17" t="n">
        <x:v>2.845940240875912</x:v>
      </x:c>
      <x:c r="I283" s="12" t="n">
        <x:v>256</x:v>
      </x:c>
      <x:c r="J283" s="12" t="n">
        <x:v>2</x:v>
      </x:c>
      <x:c r="K283" s="19" t="n">
        <x:v>0.002713975339231919</x:v>
      </x:c>
      <x:c r="L283" s="19" t="n">
        <x:v>0</x:v>
      </x:c>
      <x:c r="M283" s="19" t="n">
        <x:v>0.0001</x:v>
      </x:c>
      <x:c r="N283" s="12" t="n">
        <x:v>18</x:v>
      </x:c>
      <x:c r="O283" s="10" t="n">
        <x:v>0.32078200578689575</x:v>
      </x:c>
      <x:c r="P283" s="22" t="n">
        <x:v>47.044612971134484</x:v>
      </x:c>
      <x:c r="Q283" s="26" t="str">
        <x:v>2009-10-01</x:v>
      </x:c>
      <x:c r="R283" s="26" t="str">
        <x:v>2014-12-31</x:v>
      </x:c>
    </x:row>
    <x:row r="284" ht="22" customHeight="1">
      <x:c r="A284" s="15" t="str">
        <x:f>"06803510"</x:f>
        <x:v>06803510</x:v>
      </x:c>
      <x:c r="B284" s="12" t="n">
        <x:v>42</x:v>
      </x:c>
      <x:c r="C284" s="12" t="n">
        <x:v>1918</x:v>
      </x:c>
      <x:c r="D284" s="10" t="n">
        <x:v>-0.0018974400506281963</x:v>
      </x:c>
      <x:c r="E284" s="10" t="n">
        <x:v>0.13208999948682076</x:v>
      </x:c>
      <x:c r="F284" s="17" t="n">
        <x:v>53.636554377158504</x:v>
      </x:c>
      <x:c r="G284" s="17" t="n">
        <x:v>12.789080438774764</x:v>
      </x:c>
      <x:c r="H284" s="17" t="n">
        <x:v>2.8146541207664235</x:v>
      </x:c>
      <x:c r="I284" s="12" t="n">
        <x:v>256</x:v>
      </x:c>
      <x:c r="J284" s="12" t="n">
        <x:v>2</x:v>
      </x:c>
      <x:c r="K284" s="19" t="n">
        <x:v>0.002713975339231919</x:v>
      </x:c>
      <x:c r="L284" s="19" t="n">
        <x:v>0</x:v>
      </x:c>
      <x:c r="M284" s="19" t="n">
        <x:v>0.0001</x:v>
      </x:c>
      <x:c r="N284" s="12" t="n">
        <x:v>27</x:v>
      </x:c>
      <x:c r="O284" s="10" t="n">
        <x:v>0.15869225561618805</x:v>
      </x:c>
      <x:c r="P284" s="22" t="n">
        <x:v>46.87861488945782</x:v>
      </x:c>
      <x:c r="Q284" s="26" t="str">
        <x:v>2009-10-01</x:v>
      </x:c>
      <x:c r="R284" s="26" t="str">
        <x:v>2014-12-31</x:v>
      </x:c>
    </x:row>
    <x:row r="285" ht="22" customHeight="1">
      <x:c r="A285" s="15" t="str">
        <x:f>"06803530"</x:f>
        <x:v>06803530</x:v>
      </x:c>
      <x:c r="B285" s="12" t="n">
        <x:v>42</x:v>
      </x:c>
      <x:c r="C285" s="12" t="n">
        <x:v>1918</x:v>
      </x:c>
      <x:c r="D285" s="10" t="n">
        <x:v>0.1284616534415246</x:v>
      </x:c>
      <x:c r="E285" s="10" t="n">
        <x:v>0.07199168596164529</x:v>
      </x:c>
      <x:c r="F285" s="17" t="n">
        <x:v>183.6730456268285</x:v>
      </x:c>
      <x:c r="G285" s="17" t="n">
        <x:v>30.17447093554692</x:v>
      </x:c>
      <x:c r="H285" s="17" t="n">
        <x:v>-13.31223839560949</x:v>
      </x:c>
      <x:c r="I285" s="12" t="n">
        <x:v>256</x:v>
      </x:c>
      <x:c r="J285" s="12" t="n">
        <x:v>2</x:v>
      </x:c>
      <x:c r="K285" s="19" t="n">
        <x:v>0.002713975339231919</x:v>
      </x:c>
      <x:c r="L285" s="19" t="n">
        <x:v>0</x:v>
      </x:c>
      <x:c r="M285" s="19" t="n">
        <x:v>0.0001</x:v>
      </x:c>
      <x:c r="N285" s="12" t="n">
        <x:v>14</x:v>
      </x:c>
      <x:c r="O285" s="10" t="n">
        <x:v>0.28511977195739746</x:v>
      </x:c>
      <x:c r="P285" s="22" t="n">
        <x:v>46.96524375770241</x:v>
      </x:c>
      <x:c r="Q285" s="26" t="str">
        <x:v>2009-10-01</x:v>
      </x:c>
      <x:c r="R285" s="26" t="str">
        <x:v>2014-12-31</x:v>
      </x:c>
    </x:row>
    <x:row r="286" ht="22" customHeight="1">
      <x:c r="A286" s="15" t="str">
        <x:f>"06814000"</x:f>
        <x:v>06814000</x:v>
      </x:c>
      <x:c r="B286" s="12" t="n">
        <x:v>42</x:v>
      </x:c>
      <x:c r="C286" s="12" t="n">
        <x:v>1918</x:v>
      </x:c>
      <x:c r="D286" s="10" t="n">
        <x:v>0.23231206067867782</x:v>
      </x:c>
      <x:c r="E286" s="10" t="n">
        <x:v>0.2650119219178626</x:v>
      </x:c>
      <x:c r="F286" s="17" t="n">
        <x:v>265.13467769398227</x:v>
      </x:c>
      <x:c r="G286" s="17" t="n">
        <x:v>76.46605560341867</x:v>
      </x:c>
      <x:c r="H286" s="17" t="n">
        <x:v>20.418462886505214</x:v>
      </x:c>
      <x:c r="I286" s="12" t="n">
        <x:v>256</x:v>
      </x:c>
      <x:c r="J286" s="12" t="n">
        <x:v>2</x:v>
      </x:c>
      <x:c r="K286" s="19" t="n">
        <x:v>0.002713975339231919</x:v>
      </x:c>
      <x:c r="L286" s="19" t="n">
        <x:v>0</x:v>
      </x:c>
      <x:c r="M286" s="19" t="n">
        <x:v>0.0001</x:v>
      </x:c>
      <x:c r="N286" s="12" t="n">
        <x:v>19</x:v>
      </x:c>
      <x:c r="O286" s="10" t="n">
        <x:v>0.5117369890213013</x:v>
      </x:c>
      <x:c r="P286" s="22" t="n">
        <x:v>46.97983163129538</x:v>
      </x:c>
      <x:c r="Q286" s="26" t="str">
        <x:v>2009-10-01</x:v>
      </x:c>
      <x:c r="R286" s="26" t="str">
        <x:v>2014-12-31</x:v>
      </x:c>
    </x:row>
    <x:row r="287" ht="22" customHeight="1">
      <x:c r="A287" s="15" t="str">
        <x:f>"06847900"</x:f>
        <x:v>06847900</x:v>
      </x:c>
      <x:c r="B287" s="12" t="n">
        <x:v>42</x:v>
      </x:c>
      <x:c r="C287" s="12" t="n">
        <x:v>1918</x:v>
      </x:c>
      <x:c r="D287" s="10" t="n">
        <x:v>0.24200918620918677</x:v>
      </x:c>
      <x:c r="E287" s="10" t="n">
        <x:v>0.15730036626624255</x:v>
      </x:c>
      <x:c r="F287" s="17" t="n">
        <x:v>20.861547905419382</x:v>
      </x:c>
      <x:c r="G287" s="17" t="n">
        <x:v>3.516629737120407</x:v>
      </x:c>
      <x:c r="H287" s="17" t="n">
        <x:v>-1.9590303858513762</x:v>
      </x:c>
      <x:c r="I287" s="12" t="n">
        <x:v>256</x:v>
      </x:c>
      <x:c r="J287" s="12" t="n">
        <x:v>2</x:v>
      </x:c>
      <x:c r="K287" s="19" t="n">
        <x:v>0.002713975339231919</x:v>
      </x:c>
      <x:c r="L287" s="19" t="n">
        <x:v>0</x:v>
      </x:c>
      <x:c r="M287" s="19" t="n">
        <x:v>0.0001</x:v>
      </x:c>
      <x:c r="N287" s="12" t="n">
        <x:v>2</x:v>
      </x:c>
      <x:c r="O287" s="10" t="n">
        <x:v>0.2850117087364197</x:v>
      </x:c>
      <x:c r="P287" s="22" t="n">
        <x:v>47.008367157541215</x:v>
      </x:c>
      <x:c r="Q287" s="26" t="str">
        <x:v>2009-10-01</x:v>
      </x:c>
      <x:c r="R287" s="26" t="str">
        <x:v>2014-12-31</x:v>
      </x:c>
    </x:row>
    <x:row r="288" ht="22" customHeight="1">
      <x:c r="A288" s="15" t="str">
        <x:f>"06853800"</x:f>
        <x:v>06853800</x:v>
      </x:c>
      <x:c r="B288" s="12" t="n">
        <x:v>42</x:v>
      </x:c>
      <x:c r="C288" s="12" t="n">
        <x:v>1918</x:v>
      </x:c>
      <x:c r="D288" s="10" t="n">
        <x:v>0.3878996975044715</x:v>
      </x:c>
      <x:c r="E288" s="10" t="n">
        <x:v>0.27923588062500804</x:v>
      </x:c>
      <x:c r="F288" s="17" t="n">
        <x:v>141.01486020475403</x:v>
      </x:c>
      <x:c r="G288" s="17" t="n">
        <x:v>19.067528523227846</x:v>
      </x:c>
      <x:c r="H288" s="17" t="n">
        <x:v>-8.158176722827424</x:v>
      </x:c>
      <x:c r="I288" s="12" t="n">
        <x:v>256</x:v>
      </x:c>
      <x:c r="J288" s="12" t="n">
        <x:v>2</x:v>
      </x:c>
      <x:c r="K288" s="19" t="n">
        <x:v>0.002713975339231919</x:v>
      </x:c>
      <x:c r="L288" s="19" t="n">
        <x:v>0</x:v>
      </x:c>
      <x:c r="M288" s="19" t="n">
        <x:v>0.0001</x:v>
      </x:c>
      <x:c r="N288" s="12" t="n">
        <x:v>21</x:v>
      </x:c>
      <x:c r="O288" s="10" t="n">
        <x:v>0.27960994839668274</x:v>
      </x:c>
      <x:c r="P288" s="22" t="n">
        <x:v>47.16152717266232</x:v>
      </x:c>
      <x:c r="Q288" s="26" t="str">
        <x:v>2009-10-01</x:v>
      </x:c>
      <x:c r="R288" s="26" t="str">
        <x:v>2014-12-31</x:v>
      </x:c>
    </x:row>
    <x:row r="289" ht="22" customHeight="1">
      <x:c r="A289" s="15" t="str">
        <x:f>"06876700"</x:f>
        <x:v>06876700</x:v>
      </x:c>
      <x:c r="B289" s="12" t="n">
        <x:v>42</x:v>
      </x:c>
      <x:c r="C289" s="12" t="n">
        <x:v>1918</x:v>
      </x:c>
      <x:c r="D289" s="10" t="n">
        <x:v>0.8850672535251977</x:v>
      </x:c>
      <x:c r="E289" s="10" t="n">
        <x:v>0.909571523511743</x:v>
      </x:c>
      <x:c r="F289" s="17" t="n">
        <x:v>67.43723098759186</x:v>
      </x:c>
      <x:c r="G289" s="17" t="n">
        <x:v>19.204292620243482</x:v>
      </x:c>
      <x:c r="H289" s="17" t="n">
        <x:v>-0.8337370708899896</x:v>
      </x:c>
      <x:c r="I289" s="12" t="n">
        <x:v>256</x:v>
      </x:c>
      <x:c r="J289" s="12" t="n">
        <x:v>2</x:v>
      </x:c>
      <x:c r="K289" s="19" t="n">
        <x:v>0.002713975339231919</x:v>
      </x:c>
      <x:c r="L289" s="19" t="n">
        <x:v>0</x:v>
      </x:c>
      <x:c r="M289" s="19" t="n">
        <x:v>0.0001</x:v>
      </x:c>
      <x:c r="N289" s="12" t="n">
        <x:v>28</x:v>
      </x:c>
      <x:c r="O289" s="10" t="n">
        <x:v>0.02749384380877018</x:v>
      </x:c>
      <x:c r="P289" s="22" t="n">
        <x:v>47.10000640153885</x:v>
      </x:c>
      <x:c r="Q289" s="26" t="str">
        <x:v>2009-10-01</x:v>
      </x:c>
      <x:c r="R289" s="26" t="str">
        <x:v>2014-12-31</x:v>
      </x:c>
    </x:row>
    <x:row r="290" ht="22" customHeight="1">
      <x:c r="A290" s="15" t="str">
        <x:f>"06878000"</x:f>
        <x:v>06878000</x:v>
      </x:c>
      <x:c r="B290" s="12" t="n">
        <x:v>42</x:v>
      </x:c>
      <x:c r="C290" s="12" t="n">
        <x:v>1918</x:v>
      </x:c>
      <x:c r="D290" s="10" t="n">
        <x:v>0.4530235133780093</x:v>
      </x:c>
      <x:c r="E290" s="10" t="n">
        <x:v>0.5788076249842593</x:v>
      </x:c>
      <x:c r="F290" s="17" t="n">
        <x:v>240.6649310079358</x:v>
      </x:c>
      <x:c r="G290" s="17" t="n">
        <x:v>53.58535008797706</x:v>
      </x:c>
      <x:c r="H290" s="17" t="n">
        <x:v>-6.866008058675706</x:v>
      </x:c>
      <x:c r="I290" s="12" t="n">
        <x:v>256</x:v>
      </x:c>
      <x:c r="J290" s="12" t="n">
        <x:v>2</x:v>
      </x:c>
      <x:c r="K290" s="19" t="n">
        <x:v>0.002713975339231919</x:v>
      </x:c>
      <x:c r="L290" s="19" t="n">
        <x:v>0</x:v>
      </x:c>
      <x:c r="M290" s="19" t="n">
        <x:v>0.0001</x:v>
      </x:c>
      <x:c r="N290" s="12" t="n">
        <x:v>14</x:v>
      </x:c>
      <x:c r="O290" s="10" t="n">
        <x:v>0.3945011794567108</x:v>
      </x:c>
      <x:c r="P290" s="22" t="n">
        <x:v>47.171785896643996</x:v>
      </x:c>
      <x:c r="Q290" s="26" t="str">
        <x:v>2009-10-01</x:v>
      </x:c>
      <x:c r="R290" s="26" t="str">
        <x:v>2014-12-31</x:v>
      </x:c>
    </x:row>
    <x:row r="291" ht="22" customHeight="1">
      <x:c r="A291" s="15" t="str">
        <x:f>"06879650"</x:f>
        <x:v>06879650</x:v>
      </x:c>
      <x:c r="B291" s="12" t="n">
        <x:v>42</x:v>
      </x:c>
      <x:c r="C291" s="12" t="n">
        <x:v>1918</x:v>
      </x:c>
      <x:c r="D291" s="10" t="n">
        <x:v>0.1916868731349003</x:v>
      </x:c>
      <x:c r="E291" s="10" t="n">
        <x:v>0.32535842584556307</x:v>
      </x:c>
      <x:c r="F291" s="17" t="n">
        <x:v>3.625618350300336</x:v>
      </x:c>
      <x:c r="G291" s="17" t="n">
        <x:v>0.7424728745735705</x:v>
      </x:c>
      <x:c r="H291" s="17" t="n">
        <x:v>-0.025588208929335613</x:v>
      </x:c>
      <x:c r="I291" s="12" t="n">
        <x:v>256</x:v>
      </x:c>
      <x:c r="J291" s="12" t="n">
        <x:v>2</x:v>
      </x:c>
      <x:c r="K291" s="19" t="n">
        <x:v>0.002713975339231919</x:v>
      </x:c>
      <x:c r="L291" s="19" t="n">
        <x:v>0</x:v>
      </x:c>
      <x:c r="M291" s="19" t="n">
        <x:v>0.0001</x:v>
      </x:c>
      <x:c r="N291" s="12" t="n">
        <x:v>2</x:v>
      </x:c>
      <x:c r="O291" s="10" t="n">
        <x:v>0.7637256979942322</x:v>
      </x:c>
      <x:c r="P291" s="22" t="n">
        <x:v>47.120701594278216</x:v>
      </x:c>
      <x:c r="Q291" s="26" t="str">
        <x:v>2009-10-01</x:v>
      </x:c>
      <x:c r="R291" s="26" t="str">
        <x:v>2014-12-31</x:v>
      </x:c>
    </x:row>
    <x:row r="292" ht="22" customHeight="1">
      <x:c r="A292" s="15" t="str">
        <x:f>"06885500"</x:f>
        <x:v>06885500</x:v>
      </x:c>
      <x:c r="B292" s="12" t="n">
        <x:v>42</x:v>
      </x:c>
      <x:c r="C292" s="12" t="n">
        <x:v>1918</x:v>
      </x:c>
      <x:c r="D292" s="10" t="n">
        <x:v>0.2795090328207165</x:v>
      </x:c>
      <x:c r="E292" s="10" t="n">
        <x:v>0.48033685433978546</x:v>
      </x:c>
      <x:c r="F292" s="17" t="n">
        <x:v>403.2323522049526</x:v>
      </x:c>
      <x:c r="G292" s="17" t="n">
        <x:v>135.1868438355512</x:v>
      </x:c>
      <x:c r="H292" s="17" t="n">
        <x:v>18.09254855881793</x:v>
      </x:c>
      <x:c r="I292" s="12" t="n">
        <x:v>256</x:v>
      </x:c>
      <x:c r="J292" s="12" t="n">
        <x:v>2</x:v>
      </x:c>
      <x:c r="K292" s="19" t="n">
        <x:v>0.002713975339231919</x:v>
      </x:c>
      <x:c r="L292" s="19" t="n">
        <x:v>0</x:v>
      </x:c>
      <x:c r="M292" s="19" t="n">
        <x:v>0.0001</x:v>
      </x:c>
      <x:c r="N292" s="12" t="n">
        <x:v>2</x:v>
      </x:c>
      <x:c r="O292" s="10" t="n">
        <x:v>0.7069724798202515</x:v>
      </x:c>
      <x:c r="P292" s="22" t="n">
        <x:v>47.18112265970558</x:v>
      </x:c>
      <x:c r="Q292" s="26" t="str">
        <x:v>2009-10-01</x:v>
      </x:c>
      <x:c r="R292" s="26" t="str">
        <x:v>2014-12-31</x:v>
      </x:c>
    </x:row>
    <x:row r="293" ht="22" customHeight="1">
      <x:c r="A293" s="15" t="str">
        <x:f>"06888500"</x:f>
        <x:v>06888500</x:v>
      </x:c>
      <x:c r="B293" s="12" t="n">
        <x:v>42</x:v>
      </x:c>
      <x:c r="C293" s="12" t="n">
        <x:v>1918</x:v>
      </x:c>
      <x:c r="D293" s="10" t="n">
        <x:v>0.24820548144922416</x:v>
      </x:c>
      <x:c r="E293" s="10" t="n">
        <x:v>0.3531966408146652</x:v>
      </x:c>
      <x:c r="F293" s="17" t="n">
        <x:v>380.17636700093067</x:v>
      </x:c>
      <x:c r="G293" s="17" t="n">
        <x:v>137.41157582466477</x:v>
      </x:c>
      <x:c r="H293" s="17" t="n">
        <x:v>20.4379401227805</x:v>
      </x:c>
      <x:c r="I293" s="12" t="n">
        <x:v>256</x:v>
      </x:c>
      <x:c r="J293" s="12" t="n">
        <x:v>2</x:v>
      </x:c>
      <x:c r="K293" s="19" t="n">
        <x:v>0.002713975339231919</x:v>
      </x:c>
      <x:c r="L293" s="19" t="n">
        <x:v>0</x:v>
      </x:c>
      <x:c r="M293" s="19" t="n">
        <x:v>0.0001</x:v>
      </x:c>
      <x:c r="N293" s="12" t="n">
        <x:v>2</x:v>
      </x:c>
      <x:c r="O293" s="10" t="n">
        <x:v>0.5630394220352173</x:v>
      </x:c>
      <x:c r="P293" s="22" t="n">
        <x:v>47.19361399021</x:v>
      </x:c>
      <x:c r="Q293" s="26" t="str">
        <x:v>2009-10-01</x:v>
      </x:c>
      <x:c r="R293" s="26" t="str">
        <x:v>2014-12-31</x:v>
      </x:c>
    </x:row>
    <x:row r="294" ht="22" customHeight="1">
      <x:c r="A294" s="15" t="str">
        <x:f>"06889200"</x:f>
        <x:v>06889200</x:v>
      </x:c>
      <x:c r="B294" s="12" t="n">
        <x:v>42</x:v>
      </x:c>
      <x:c r="C294" s="12" t="n">
        <x:v>1918</x:v>
      </x:c>
      <x:c r="D294" s="10" t="n">
        <x:v>0.2204292065456409</x:v>
      </x:c>
      <x:c r="E294" s="10" t="n">
        <x:v>0.40876413685918356</x:v>
      </x:c>
      <x:c r="F294" s="17" t="n">
        <x:v>184.04950172725685</x:v>
      </x:c>
      <x:c r="G294" s="17" t="n">
        <x:v>66.00265482744288</x:v>
      </x:c>
      <x:c r="H294" s="17" t="n">
        <x:v>5.562373549041543</x:v>
      </x:c>
      <x:c r="I294" s="12" t="n">
        <x:v>256</x:v>
      </x:c>
      <x:c r="J294" s="12" t="n">
        <x:v>2</x:v>
      </x:c>
      <x:c r="K294" s="19" t="n">
        <x:v>0.002713975339231919</x:v>
      </x:c>
      <x:c r="L294" s="19" t="n">
        <x:v>0</x:v>
      </x:c>
      <x:c r="M294" s="19" t="n">
        <x:v>0.0001</x:v>
      </x:c>
      <x:c r="N294" s="12" t="n">
        <x:v>2</x:v>
      </x:c>
      <x:c r="O294" s="10" t="n">
        <x:v>2.3889172077178955</x:v>
      </x:c>
      <x:c r="P294" s="22" t="n">
        <x:v>47.203239495866</x:v>
      </x:c>
      <x:c r="Q294" s="26" t="str">
        <x:v>2009-10-01</x:v>
      </x:c>
      <x:c r="R294" s="26" t="str">
        <x:v>2014-12-31</x:v>
      </x:c>
    </x:row>
    <x:row r="295" ht="22" customHeight="1">
      <x:c r="A295" s="15" t="str">
        <x:f>"06889500"</x:f>
        <x:v>06889500</x:v>
      </x:c>
      <x:c r="B295" s="12" t="n">
        <x:v>42</x:v>
      </x:c>
      <x:c r="C295" s="12" t="n">
        <x:v>1918</x:v>
      </x:c>
      <x:c r="D295" s="10" t="n">
        <x:v>0.15556817363025843</x:v>
      </x:c>
      <x:c r="E295" s="10" t="n">
        <x:v>0.24975820074529764</x:v>
      </x:c>
      <x:c r="F295" s="17" t="n">
        <x:v>356.06990540605057</x:v>
      </x:c>
      <x:c r="G295" s="17" t="n">
        <x:v>112.85055037307039</x:v>
      </x:c>
      <x:c r="H295" s="17" t="n">
        <x:v>24.046626465699166</x:v>
      </x:c>
      <x:c r="I295" s="12" t="n">
        <x:v>256</x:v>
      </x:c>
      <x:c r="J295" s="12" t="n">
        <x:v>2</x:v>
      </x:c>
      <x:c r="K295" s="19" t="n">
        <x:v>0.002713975339231919</x:v>
      </x:c>
      <x:c r="L295" s="19" t="n">
        <x:v>0</x:v>
      </x:c>
      <x:c r="M295" s="19" t="n">
        <x:v>0.0001</x:v>
      </x:c>
      <x:c r="N295" s="12" t="n">
        <x:v>2</x:v>
      </x:c>
      <x:c r="O295" s="10" t="n">
        <x:v>1.7559951543807983</x:v>
      </x:c>
      <x:c r="P295" s="22" t="n">
        <x:v>47.20265981648117</x:v>
      </x:c>
      <x:c r="Q295" s="26" t="str">
        <x:v>2009-10-01</x:v>
      </x:c>
      <x:c r="R295" s="26" t="str">
        <x:v>2014-12-31</x:v>
      </x:c>
    </x:row>
    <x:row r="296" ht="22" customHeight="1">
      <x:c r="A296" s="15" t="str">
        <x:f>"06892000"</x:f>
        <x:v>06892000</x:v>
      </x:c>
      <x:c r="B296" s="12" t="n">
        <x:v>42</x:v>
      </x:c>
      <x:c r="C296" s="12" t="n">
        <x:v>1918</x:v>
      </x:c>
      <x:c r="D296" s="10" t="n">
        <x:v>0.5314569851585902</x:v>
      </x:c>
      <x:c r="E296" s="10" t="n">
        <x:v>0.7580129830254165</x:v>
      </x:c>
      <x:c r="F296" s="17" t="n">
        <x:v>362.2167524504651</x:v>
      </x:c>
      <x:c r="G296" s="17" t="n">
        <x:v>142.78725180455785</x:v>
      </x:c>
      <x:c r="H296" s="17" t="n">
        <x:v>-9.914063644338896</x:v>
      </x:c>
      <x:c r="I296" s="12" t="n">
        <x:v>256</x:v>
      </x:c>
      <x:c r="J296" s="12" t="n">
        <x:v>2</x:v>
      </x:c>
      <x:c r="K296" s="19" t="n">
        <x:v>0.002713975339231919</x:v>
      </x:c>
      <x:c r="L296" s="19" t="n">
        <x:v>0</x:v>
      </x:c>
      <x:c r="M296" s="19" t="n">
        <x:v>0.0001</x:v>
      </x:c>
      <x:c r="N296" s="12" t="n">
        <x:v>20</x:v>
      </x:c>
      <x:c r="O296" s="10" t="n">
        <x:v>0.37888187170028687</x:v>
      </x:c>
      <x:c r="P296" s="22" t="n">
        <x:v>47.20207002200186</x:v>
      </x:c>
      <x:c r="Q296" s="26" t="str">
        <x:v>2009-10-01</x:v>
      </x:c>
      <x:c r="R296" s="26" t="str">
        <x:v>2014-12-31</x:v>
      </x:c>
    </x:row>
    <x:row r="297" ht="22" customHeight="1">
      <x:c r="A297" s="15" t="str">
        <x:f>"06903400"</x:f>
        <x:v>06903400</x:v>
      </x:c>
      <x:c r="B297" s="12" t="n">
        <x:v>42</x:v>
      </x:c>
      <x:c r="C297" s="12" t="n">
        <x:v>1918</x:v>
      </x:c>
      <x:c r="D297" s="10" t="n">
        <x:v>0.6456545405629524</x:v>
      </x:c>
      <x:c r="E297" s="10" t="n">
        <x:v>0.7418392998643778</x:v>
      </x:c>
      <x:c r="F297" s="17" t="n">
        <x:v>350.9432874004365</x:v>
      </x:c>
      <x:c r="G297" s="17" t="n">
        <x:v>117.34322337306206</x:v>
      </x:c>
      <x:c r="H297" s="17" t="n">
        <x:v>-12.216684772467675</x:v>
      </x:c>
      <x:c r="I297" s="12" t="n">
        <x:v>256</x:v>
      </x:c>
      <x:c r="J297" s="12" t="n">
        <x:v>2</x:v>
      </x:c>
      <x:c r="K297" s="19" t="n">
        <x:v>0.002713975339231919</x:v>
      </x:c>
      <x:c r="L297" s="19" t="n">
        <x:v>0</x:v>
      </x:c>
      <x:c r="M297" s="19" t="n">
        <x:v>0.0001</x:v>
      </x:c>
      <x:c r="N297" s="12" t="n">
        <x:v>12</x:v>
      </x:c>
      <x:c r="O297" s="10" t="n">
        <x:v>0.29374614357948303</x:v>
      </x:c>
      <x:c r="P297" s="22" t="n">
        <x:v>47.01345958840102</x:v>
      </x:c>
      <x:c r="Q297" s="26" t="str">
        <x:v>2009-10-01</x:v>
      </x:c>
      <x:c r="R297" s="26" t="str">
        <x:v>2014-12-31</x:v>
      </x:c>
    </x:row>
    <x:row r="298" ht="22" customHeight="1">
      <x:c r="A298" s="15" t="str">
        <x:f>"06910800"</x:f>
        <x:v>06910800</x:v>
      </x:c>
      <x:c r="B298" s="12" t="n">
        <x:v>42</x:v>
      </x:c>
      <x:c r="C298" s="12" t="n">
        <x:v>1918</x:v>
      </x:c>
      <x:c r="D298" s="10" t="n">
        <x:v>0.20079037311301529</x:v>
      </x:c>
      <x:c r="E298" s="10" t="n">
        <x:v>0.28326532558887485</x:v>
      </x:c>
      <x:c r="F298" s="17" t="n">
        <x:v>199.0597210217788</x:v>
      </x:c>
      <x:c r="G298" s="17" t="n">
        <x:v>78.1954510476229</x:v>
      </x:c>
      <x:c r="H298" s="17" t="n">
        <x:v>25.83219314753369</x:v>
      </x:c>
      <x:c r="I298" s="12" t="n">
        <x:v>256</x:v>
      </x:c>
      <x:c r="J298" s="12" t="n">
        <x:v>2</x:v>
      </x:c>
      <x:c r="K298" s="19" t="n">
        <x:v>0.002713975339231919</x:v>
      </x:c>
      <x:c r="L298" s="19" t="n">
        <x:v>0</x:v>
      </x:c>
      <x:c r="M298" s="19" t="n">
        <x:v>0.0001</x:v>
      </x:c>
      <x:c r="N298" s="12" t="n">
        <x:v>6</x:v>
      </x:c>
      <x:c r="O298" s="10" t="n">
        <x:v>0.7241335511207581</x:v>
      </x:c>
      <x:c r="P298" s="22" t="n">
        <x:v>46.94299833290279</x:v>
      </x:c>
      <x:c r="Q298" s="26" t="str">
        <x:v>2009-10-01</x:v>
      </x:c>
      <x:c r="R298" s="26" t="str">
        <x:v>2014-12-31</x:v>
      </x:c>
    </x:row>
    <x:row r="299" ht="22" customHeight="1">
      <x:c r="A299" s="15" t="str">
        <x:f>"06911900"</x:f>
        <x:v>06911900</x:v>
      </x:c>
      <x:c r="B299" s="12" t="n">
        <x:v>42</x:v>
      </x:c>
      <x:c r="C299" s="12" t="n">
        <x:v>1918</x:v>
      </x:c>
      <x:c r="D299" s="10" t="n">
        <x:v>-0.3751349532989874</x:v>
      </x:c>
      <x:c r="E299" s="10" t="n">
        <x:v>0.2858186473840525</x:v>
      </x:c>
      <x:c r="F299" s="17" t="n">
        <x:v>206.07424533891538</x:v>
      </x:c>
      <x:c r="G299" s="17" t="n">
        <x:v>53.60520262423097</x:v>
      </x:c>
      <x:c r="H299" s="17" t="n">
        <x:v>8.571170043868092</x:v>
      </x:c>
      <x:c r="I299" s="12" t="n">
        <x:v>256</x:v>
      </x:c>
      <x:c r="J299" s="12" t="n">
        <x:v>2</x:v>
      </x:c>
      <x:c r="K299" s="19" t="n">
        <x:v>0.002713975339231919</x:v>
      </x:c>
      <x:c r="L299" s="19" t="n">
        <x:v>0</x:v>
      </x:c>
      <x:c r="M299" s="19" t="n">
        <x:v>0.0001</x:v>
      </x:c>
      <x:c r="N299" s="12" t="n">
        <x:v>13</x:v>
      </x:c>
      <x:c r="O299" s="10" t="n">
        <x:v>1.095610499382019</x:v>
      </x:c>
      <x:c r="P299" s="22" t="n">
        <x:v>46.891670619137585</x:v>
      </x:c>
      <x:c r="Q299" s="26" t="str">
        <x:v>2009-10-01</x:v>
      </x:c>
      <x:c r="R299" s="26" t="str">
        <x:v>2014-12-31</x:v>
      </x:c>
    </x:row>
    <x:row r="300" ht="22" customHeight="1">
      <x:c r="A300" s="15" t="str">
        <x:f>"06917000"</x:f>
        <x:v>06917000</x:v>
      </x:c>
      <x:c r="B300" s="12" t="n">
        <x:v>42</x:v>
      </x:c>
      <x:c r="C300" s="12" t="n">
        <x:v>1918</x:v>
      </x:c>
      <x:c r="D300" s="10" t="n">
        <x:v>0.36069326358279197</x:v>
      </x:c>
      <x:c r="E300" s="10" t="n">
        <x:v>0.6801005754648152</x:v>
      </x:c>
      <x:c r="F300" s="17" t="n">
        <x:v>584.3847607506331</x:v>
      </x:c>
      <x:c r="G300" s="17" t="n">
        <x:v>197.3556409626856</x:v>
      </x:c>
      <x:c r="H300" s="17" t="n">
        <x:v>-0.44435019124973735</x:v>
      </x:c>
      <x:c r="I300" s="12" t="n">
        <x:v>256</x:v>
      </x:c>
      <x:c r="J300" s="12" t="n">
        <x:v>2</x:v>
      </x:c>
      <x:c r="K300" s="19" t="n">
        <x:v>0.002713975339231919</x:v>
      </x:c>
      <x:c r="L300" s="19" t="n">
        <x:v>0</x:v>
      </x:c>
      <x:c r="M300" s="19" t="n">
        <x:v>0.0001</x:v>
      </x:c>
      <x:c r="N300" s="12" t="n">
        <x:v>18</x:v>
      </x:c>
      <x:c r="O300" s="10" t="n">
        <x:v>0.6741318106651306</x:v>
      </x:c>
      <x:c r="P300" s="22" t="n">
        <x:v>46.93537907488644</x:v>
      </x:c>
      <x:c r="Q300" s="26" t="str">
        <x:v>2009-10-01</x:v>
      </x:c>
      <x:c r="R300" s="26" t="str">
        <x:v>2014-12-31</x:v>
      </x:c>
    </x:row>
    <x:row r="301" ht="22" customHeight="1">
      <x:c r="A301" s="15" t="str">
        <x:f>"06918460"</x:f>
        <x:v>06918460</x:v>
      </x:c>
      <x:c r="B301" s="12" t="n">
        <x:v>42</x:v>
      </x:c>
      <x:c r="C301" s="12" t="n">
        <x:v>1918</x:v>
      </x:c>
      <x:c r="D301" s="10" t="n">
        <x:v>0.4815819329510985</x:v>
      </x:c>
      <x:c r="E301" s="10" t="n">
        <x:v>0.515517725220219</x:v>
      </x:c>
      <x:c r="F301" s="17" t="n">
        <x:v>325.29786287543754</x:v>
      </x:c>
      <x:c r="G301" s="17" t="n">
        <x:v>76.75701379488008</x:v>
      </x:c>
      <x:c r="H301" s="17" t="n">
        <x:v>-9.788553864223152</x:v>
      </x:c>
      <x:c r="I301" s="12" t="n">
        <x:v>256</x:v>
      </x:c>
      <x:c r="J301" s="12" t="n">
        <x:v>2</x:v>
      </x:c>
      <x:c r="K301" s="19" t="n">
        <x:v>0.002713975339231919</x:v>
      </x:c>
      <x:c r="L301" s="19" t="n">
        <x:v>0</x:v>
      </x:c>
      <x:c r="M301" s="19" t="n">
        <x:v>0.0001</x:v>
      </x:c>
      <x:c r="N301" s="12" t="n">
        <x:v>2</x:v>
      </x:c>
      <x:c r="O301" s="10" t="n">
        <x:v>0.5933640599250793</x:v>
      </x:c>
      <x:c r="P301" s="22" t="n">
        <x:v>47.03371370956302</x:v>
      </x:c>
      <x:c r="Q301" s="26" t="str">
        <x:v>2009-10-01</x:v>
      </x:c>
      <x:c r="R301" s="26" t="str">
        <x:v>2014-12-31</x:v>
      </x:c>
    </x:row>
    <x:row r="302" ht="22" customHeight="1">
      <x:c r="A302" s="15" t="str">
        <x:f>"06919500"</x:f>
        <x:v>06919500</x:v>
      </x:c>
      <x:c r="B302" s="12" t="n">
        <x:v>42</x:v>
      </x:c>
      <x:c r="C302" s="12" t="n">
        <x:v>1918</x:v>
      </x:c>
      <x:c r="D302" s="10" t="n">
        <x:v>0.6325323331571582</x:v>
      </x:c>
      <x:c r="E302" s="10" t="n">
        <x:v>0.8195260255955863</x:v>
      </x:c>
      <x:c r="F302" s="17" t="n">
        <x:v>607.9635863564225</x:v>
      </x:c>
      <x:c r="G302" s="17" t="n">
        <x:v>196.64686114518614</x:v>
      </x:c>
      <x:c r="H302" s="17" t="n">
        <x:v>-1.9637913328858159</x:v>
      </x:c>
      <x:c r="I302" s="12" t="n">
        <x:v>256</x:v>
      </x:c>
      <x:c r="J302" s="12" t="n">
        <x:v>2</x:v>
      </x:c>
      <x:c r="K302" s="19" t="n">
        <x:v>0.002713975339231919</x:v>
      </x:c>
      <x:c r="L302" s="19" t="n">
        <x:v>0</x:v>
      </x:c>
      <x:c r="M302" s="19" t="n">
        <x:v>0.0001</x:v>
      </x:c>
      <x:c r="N302" s="12" t="n">
        <x:v>11</x:v>
      </x:c>
      <x:c r="O302" s="10" t="n">
        <x:v>0.27218449115753174</x:v>
      </x:c>
      <x:c r="P302" s="22" t="n">
        <x:v>47.092656643129885</x:v>
      </x:c>
      <x:c r="Q302" s="26" t="str">
        <x:v>2009-10-01</x:v>
      </x:c>
      <x:c r="R302" s="26" t="str">
        <x:v>2014-12-31</x:v>
      </x:c>
    </x:row>
    <x:row r="303" ht="22" customHeight="1">
      <x:c r="A303" s="15" t="str">
        <x:f>"06921070"</x:f>
        <x:v>06921070</x:v>
      </x:c>
      <x:c r="B303" s="12" t="n">
        <x:v>42</x:v>
      </x:c>
      <x:c r="C303" s="12" t="n">
        <x:v>1918</x:v>
      </x:c>
      <x:c r="D303" s="10" t="n">
        <x:v>0.3152361191299732</x:v>
      </x:c>
      <x:c r="E303" s="10" t="n">
        <x:v>0.42625217322000053</x:v>
      </x:c>
      <x:c r="F303" s="17" t="n">
        <x:v>517.5527750597964</x:v>
      </x:c>
      <x:c r="G303" s="17" t="n">
        <x:v>165.86742223155892</x:v>
      </x:c>
      <x:c r="H303" s="17" t="n">
        <x:v>37.24477131601147</x:v>
      </x:c>
      <x:c r="I303" s="12" t="n">
        <x:v>256</x:v>
      </x:c>
      <x:c r="J303" s="12" t="n">
        <x:v>2</x:v>
      </x:c>
      <x:c r="K303" s="19" t="n">
        <x:v>0.002713975339231919</x:v>
      </x:c>
      <x:c r="L303" s="19" t="n">
        <x:v>0</x:v>
      </x:c>
      <x:c r="M303" s="19" t="n">
        <x:v>0.0001</x:v>
      </x:c>
      <x:c r="N303" s="12" t="n">
        <x:v>15</x:v>
      </x:c>
      <x:c r="O303" s="10" t="n">
        <x:v>0.7953759431838989</x:v>
      </x:c>
      <x:c r="P303" s="22" t="n">
        <x:v>47.08511246647686</x:v>
      </x:c>
      <x:c r="Q303" s="26" t="str">
        <x:v>2009-10-01</x:v>
      </x:c>
      <x:c r="R303" s="26" t="str">
        <x:v>2014-12-31</x:v>
      </x:c>
    </x:row>
    <x:row r="304" ht="22" customHeight="1">
      <x:c r="A304" s="15" t="str">
        <x:f>"06921200"</x:f>
        <x:v>06921200</x:v>
      </x:c>
      <x:c r="B304" s="12" t="n">
        <x:v>42</x:v>
      </x:c>
      <x:c r="C304" s="12" t="n">
        <x:v>1918</x:v>
      </x:c>
      <x:c r="D304" s="10" t="n">
        <x:v>0.22610612613543668</x:v>
      </x:c>
      <x:c r="E304" s="10" t="n">
        <x:v>0.290372620014151</x:v>
      </x:c>
      <x:c r="F304" s="17" t="n">
        <x:v>284.6951316139745</x:v>
      </x:c>
      <x:c r="G304" s="17" t="n">
        <x:v>88.63059784756986</x:v>
      </x:c>
      <x:c r="H304" s="17" t="n">
        <x:v>2.6925898372049004</x:v>
      </x:c>
      <x:c r="I304" s="12" t="n">
        <x:v>256</x:v>
      </x:c>
      <x:c r="J304" s="12" t="n">
        <x:v>2</x:v>
      </x:c>
      <x:c r="K304" s="19" t="n">
        <x:v>0.002713975339231919</x:v>
      </x:c>
      <x:c r="L304" s="19" t="n">
        <x:v>0</x:v>
      </x:c>
      <x:c r="M304" s="19" t="n">
        <x:v>0.0001</x:v>
      </x:c>
      <x:c r="N304" s="12" t="n">
        <x:v>3</x:v>
      </x:c>
      <x:c r="O304" s="10" t="n">
        <x:v>0.803945779800415</x:v>
      </x:c>
      <x:c r="P304" s="22" t="n">
        <x:v>47.118453703820705</x:v>
      </x:c>
      <x:c r="Q304" s="26" t="str">
        <x:v>2009-10-01</x:v>
      </x:c>
      <x:c r="R304" s="26" t="str">
        <x:v>2014-12-31</x:v>
      </x:c>
    </x:row>
    <x:row r="305" ht="22" customHeight="1">
      <x:c r="A305" s="15" t="str">
        <x:f>"07014500"</x:f>
        <x:v>07014500</x:v>
      </x:c>
      <x:c r="B305" s="12" t="n">
        <x:v>42</x:v>
      </x:c>
      <x:c r="C305" s="12" t="n">
        <x:v>1918</x:v>
      </x:c>
      <x:c r="D305" s="10" t="n">
        <x:v>0.7950886477220442</x:v>
      </x:c>
      <x:c r="E305" s="10" t="n">
        <x:v>0.8573577064933894</x:v>
      </x:c>
      <x:c r="F305" s="17" t="n">
        <x:v>960.6908460905906</x:v>
      </x:c>
      <x:c r="G305" s="17" t="n">
        <x:v>324.96312762356627</x:v>
      </x:c>
      <x:c r="H305" s="17" t="n">
        <x:v>27.270363241918663</x:v>
      </x:c>
      <x:c r="I305" s="12" t="n">
        <x:v>256</x:v>
      </x:c>
      <x:c r="J305" s="12" t="n">
        <x:v>2</x:v>
      </x:c>
      <x:c r="K305" s="19" t="n">
        <x:v>0.002713975339231919</x:v>
      </x:c>
      <x:c r="L305" s="19" t="n">
        <x:v>0</x:v>
      </x:c>
      <x:c r="M305" s="19" t="n">
        <x:v>0.0001</x:v>
      </x:c>
      <x:c r="N305" s="12" t="n">
        <x:v>21</x:v>
      </x:c>
      <x:c r="O305" s="10" t="n">
        <x:v>0.15301130712032318</x:v>
      </x:c>
      <x:c r="P305" s="22" t="n">
        <x:v>47.115387744270265</x:v>
      </x:c>
      <x:c r="Q305" s="26" t="str">
        <x:v>2009-10-01</x:v>
      </x:c>
      <x:c r="R305" s="26" t="str">
        <x:v>2014-12-31</x:v>
      </x:c>
    </x:row>
    <x:row r="306" ht="22" customHeight="1">
      <x:c r="A306" s="15" t="str">
        <x:f>"07056000"</x:f>
        <x:v>07056000</x:v>
      </x:c>
      <x:c r="B306" s="12" t="n">
        <x:v>42</x:v>
      </x:c>
      <x:c r="C306" s="12" t="n">
        <x:v>1918</x:v>
      </x:c>
      <x:c r="D306" s="10" t="n">
        <x:v>0.378871820117623</x:v>
      </x:c>
      <x:c r="E306" s="10" t="n">
        <x:v>0.686547900465333</x:v>
      </x:c>
      <x:c r="F306" s="17" t="n">
        <x:v>2028.8463643772168</x:v>
      </x:c>
      <x:c r="G306" s="17" t="n">
        <x:v>520.4039084004171</x:v>
      </x:c>
      <x:c r="H306" s="17" t="n">
        <x:v>106.0584737497393</x:v>
      </x:c>
      <x:c r="I306" s="12" t="n">
        <x:v>256</x:v>
      </x:c>
      <x:c r="J306" s="12" t="n">
        <x:v>2</x:v>
      </x:c>
      <x:c r="K306" s="19" t="n">
        <x:v>0.002713975339231919</x:v>
      </x:c>
      <x:c r="L306" s="19" t="n">
        <x:v>0</x:v>
      </x:c>
      <x:c r="M306" s="19" t="n">
        <x:v>0.0001</x:v>
      </x:c>
      <x:c r="N306" s="12" t="n">
        <x:v>30</x:v>
      </x:c>
      <x:c r="O306" s="10" t="n">
        <x:v>0.615665078163147</x:v>
      </x:c>
      <x:c r="P306" s="22" t="n">
        <x:v>47.207934664562345</x:v>
      </x:c>
      <x:c r="Q306" s="26" t="str">
        <x:v>2009-10-01</x:v>
      </x:c>
      <x:c r="R306" s="26" t="str">
        <x:v>2014-12-31</x:v>
      </x:c>
    </x:row>
    <x:row r="307" ht="22" customHeight="1">
      <x:c r="A307" s="15" t="str">
        <x:f>"07057500"</x:f>
        <x:v>07057500</x:v>
      </x:c>
      <x:c r="B307" s="12" t="n">
        <x:v>42</x:v>
      </x:c>
      <x:c r="C307" s="12" t="n">
        <x:v>1918</x:v>
      </x:c>
      <x:c r="D307" s="10" t="n">
        <x:v>0.44995878164461156</x:v>
      </x:c>
      <x:c r="E307" s="10" t="n">
        <x:v>0.4832501325591081</x:v>
      </x:c>
      <x:c r="F307" s="17" t="n">
        <x:v>1051.5860236264984</x:v>
      </x:c>
      <x:c r="G307" s="17" t="n">
        <x:v>209.114445464025</x:v>
      </x:c>
      <x:c r="H307" s="17" t="n">
        <x:v>-21.239934744525545</x:v>
      </x:c>
      <x:c r="I307" s="12" t="n">
        <x:v>256</x:v>
      </x:c>
      <x:c r="J307" s="12" t="n">
        <x:v>2</x:v>
      </x:c>
      <x:c r="K307" s="19" t="n">
        <x:v>0.002713975339231919</x:v>
      </x:c>
      <x:c r="L307" s="19" t="n">
        <x:v>0</x:v>
      </x:c>
      <x:c r="M307" s="19" t="n">
        <x:v>0.0001</x:v>
      </x:c>
      <x:c r="N307" s="12" t="n">
        <x:v>12</x:v>
      </x:c>
      <x:c r="O307" s="10" t="n">
        <x:v>0.5726251006126404</x:v>
      </x:c>
      <x:c r="P307" s="22" t="n">
        <x:v>47.11233125068247</x:v>
      </x:c>
      <x:c r="Q307" s="26" t="str">
        <x:v>2009-10-01</x:v>
      </x:c>
      <x:c r="R307" s="26" t="str">
        <x:v>2014-12-31</x:v>
      </x:c>
    </x:row>
    <x:row r="308" ht="22" customHeight="1">
      <x:c r="A308" s="15" t="str">
        <x:f>"07060710"</x:f>
        <x:v>07060710</x:v>
      </x:c>
      <x:c r="B308" s="12" t="n">
        <x:v>42</x:v>
      </x:c>
      <x:c r="C308" s="12" t="n">
        <x:v>1918</x:v>
      </x:c>
      <x:c r="D308" s="10" t="n">
        <x:v>0.18907660300535323</x:v>
      </x:c>
      <x:c r="E308" s="10" t="n">
        <x:v>0.1371683135498114</x:v>
      </x:c>
      <x:c r="F308" s="17" t="n">
        <x:v>191.40979659435087</x:v>
      </x:c>
      <x:c r="G308" s="17" t="n">
        <x:v>35.252148236244686</x:v>
      </x:c>
      <x:c r="H308" s="17" t="n">
        <x:v>-14.764363237704538</x:v>
      </x:c>
      <x:c r="I308" s="12" t="n">
        <x:v>256</x:v>
      </x:c>
      <x:c r="J308" s="12" t="n">
        <x:v>2</x:v>
      </x:c>
      <x:c r="K308" s="19" t="n">
        <x:v>0.002713975339231919</x:v>
      </x:c>
      <x:c r="L308" s="19" t="n">
        <x:v>0</x:v>
      </x:c>
      <x:c r="M308" s="19" t="n">
        <x:v>0.0001</x:v>
      </x:c>
      <x:c r="N308" s="12" t="n">
        <x:v>17</x:v>
      </x:c>
      <x:c r="O308" s="10" t="n">
        <x:v>2.348066806793213</x:v>
      </x:c>
      <x:c r="P308" s="22" t="n">
        <x:v>47.11540025193244</x:v>
      </x:c>
      <x:c r="Q308" s="26" t="str">
        <x:v>2009-10-01</x:v>
      </x:c>
      <x:c r="R308" s="26" t="str">
        <x:v>2014-12-31</x:v>
      </x:c>
    </x:row>
    <x:row r="309" ht="22" customHeight="1">
      <x:c r="A309" s="15" t="str">
        <x:f>"07066000"</x:f>
        <x:v>07066000</x:v>
      </x:c>
      <x:c r="B309" s="12" t="n">
        <x:v>42</x:v>
      </x:c>
      <x:c r="C309" s="12" t="n">
        <x:v>1918</x:v>
      </x:c>
      <x:c r="D309" s="10" t="n">
        <x:v>0.4472530692138579</x:v>
      </x:c>
      <x:c r="E309" s="10" t="n">
        <x:v>0.6087604041940025</x:v>
      </x:c>
      <x:c r="F309" s="17" t="n">
        <x:v>741.0696190268368</x:v>
      </x:c>
      <x:c r="G309" s="17" t="n">
        <x:v>171.42570746819604</x:v>
      </x:c>
      <x:c r="H309" s="17" t="n">
        <x:v>-20.9552324004171</x:v>
      </x:c>
      <x:c r="I309" s="12" t="n">
        <x:v>256</x:v>
      </x:c>
      <x:c r="J309" s="12" t="n">
        <x:v>2</x:v>
      </x:c>
      <x:c r="K309" s="19" t="n">
        <x:v>0.002713975339231919</x:v>
      </x:c>
      <x:c r="L309" s="19" t="n">
        <x:v>0</x:v>
      </x:c>
      <x:c r="M309" s="19" t="n">
        <x:v>0.0001</x:v>
      </x:c>
      <x:c r="N309" s="12" t="n">
        <x:v>10</x:v>
      </x:c>
      <x:c r="O309" s="10" t="n">
        <x:v>0.4735526144504547</x:v>
      </x:c>
      <x:c r="P309" s="22" t="n">
        <x:v>47.155448865145445</x:v>
      </x:c>
      <x:c r="Q309" s="26" t="str">
        <x:v>2009-10-01</x:v>
      </x:c>
      <x:c r="R309" s="26" t="str">
        <x:v>2014-12-31</x:v>
      </x:c>
    </x:row>
    <x:row r="310" ht="22" customHeight="1">
      <x:c r="A310" s="15" t="str">
        <x:f>"07067000"</x:f>
        <x:v>07067000</x:v>
      </x:c>
      <x:c r="B310" s="12" t="n">
        <x:v>42</x:v>
      </x:c>
      <x:c r="C310" s="12" t="n">
        <x:v>1918</x:v>
      </x:c>
      <x:c r="D310" s="10" t="n">
        <x:v>0.6851844712126942</x:v>
      </x:c>
      <x:c r="E310" s="10" t="n">
        <x:v>0.7902407326253219</x:v>
      </x:c>
      <x:c r="F310" s="17" t="n">
        <x:v>1606.037487697695</x:v>
      </x:c>
      <x:c r="G310" s="17" t="n">
        <x:v>369.158051548488</x:v>
      </x:c>
      <x:c r="H310" s="17" t="n">
        <x:v>30.157043477580817</x:v>
      </x:c>
      <x:c r="I310" s="12" t="n">
        <x:v>256</x:v>
      </x:c>
      <x:c r="J310" s="12" t="n">
        <x:v>2</x:v>
      </x:c>
      <x:c r="K310" s="19" t="n">
        <x:v>0.002713975339231919</x:v>
      </x:c>
      <x:c r="L310" s="19" t="n">
        <x:v>0</x:v>
      </x:c>
      <x:c r="M310" s="19" t="n">
        <x:v>0.0001</x:v>
      </x:c>
      <x:c r="N310" s="12" t="n">
        <x:v>28</x:v>
      </x:c>
      <x:c r="O310" s="10" t="n">
        <x:v>0.20491451025009155</x:v>
      </x:c>
      <x:c r="P310" s="22" t="n">
        <x:v>47.18598201498389</x:v>
      </x:c>
      <x:c r="Q310" s="26" t="str">
        <x:v>2009-10-01</x:v>
      </x:c>
      <x:c r="R310" s="26" t="str">
        <x:v>2014-12-31</x:v>
      </x:c>
    </x:row>
    <x:row r="311" ht="22" customHeight="1">
      <x:c r="A311" s="15" t="str">
        <x:f>"07068000"</x:f>
        <x:v>07068000</x:v>
      </x:c>
      <x:c r="B311" s="12" t="n">
        <x:v>42</x:v>
      </x:c>
      <x:c r="C311" s="12" t="n">
        <x:v>1918</x:v>
      </x:c>
      <x:c r="D311" s="10" t="n">
        <x:v>0.7970413208210592</x:v>
      </x:c>
      <x:c r="E311" s="10" t="n">
        <x:v>0.7173377707582584</x:v>
      </x:c>
      <x:c r="F311" s="17" t="n">
        <x:v>1934.4060965683852</x:v>
      </x:c>
      <x:c r="G311" s="17" t="n">
        <x:v>467.20401512513035</x:v>
      </x:c>
      <x:c r="H311" s="17" t="n">
        <x:v>-143.76207873305526</x:v>
      </x:c>
      <x:c r="I311" s="12" t="n">
        <x:v>256</x:v>
      </x:c>
      <x:c r="J311" s="12" t="n">
        <x:v>2</x:v>
      </x:c>
      <x:c r="K311" s="19" t="n">
        <x:v>0.002713975339231919</x:v>
      </x:c>
      <x:c r="L311" s="19" t="n">
        <x:v>0</x:v>
      </x:c>
      <x:c r="M311" s="19" t="n">
        <x:v>0.0001</x:v>
      </x:c>
      <x:c r="N311" s="12" t="n">
        <x:v>7</x:v>
      </x:c>
      <x:c r="O311" s="10" t="n">
        <x:v>0.21407291293144226</x:v>
      </x:c>
      <x:c r="P311" s="22" t="n">
        <x:v>47.002514514140785</x:v>
      </x:c>
      <x:c r="Q311" s="26" t="str">
        <x:v>2009-10-01</x:v>
      </x:c>
      <x:c r="R311" s="26" t="str">
        <x:v>2014-12-31</x:v>
      </x:c>
    </x:row>
    <x:row r="312" ht="22" customHeight="1">
      <x:c r="A312" s="15" t="str">
        <x:f>"07071500"</x:f>
        <x:v>07071500</x:v>
      </x:c>
      <x:c r="B312" s="12" t="n">
        <x:v>42</x:v>
      </x:c>
      <x:c r="C312" s="12" t="n">
        <x:v>1918</x:v>
      </x:c>
      <x:c r="D312" s="10" t="n">
        <x:v>0.4652768249333602</x:v>
      </x:c>
      <x:c r="E312" s="10" t="n">
        <x:v>0.4773833311351846</x:v>
      </x:c>
      <x:c r="F312" s="17" t="n">
        <x:v>956.9194247897092</x:v>
      </x:c>
      <x:c r="G312" s="17" t="n">
        <x:v>159.7246268248175</x:v>
      </x:c>
      <x:c r="H312" s="17" t="n">
        <x:v>-2.640012393117833</x:v>
      </x:c>
      <x:c r="I312" s="12" t="n">
        <x:v>256</x:v>
      </x:c>
      <x:c r="J312" s="12" t="n">
        <x:v>2</x:v>
      </x:c>
      <x:c r="K312" s="19" t="n">
        <x:v>0.002713975339231919</x:v>
      </x:c>
      <x:c r="L312" s="19" t="n">
        <x:v>0</x:v>
      </x:c>
      <x:c r="M312" s="19" t="n">
        <x:v>0.0001</x:v>
      </x:c>
      <x:c r="N312" s="12" t="n">
        <x:v>15</x:v>
      </x:c>
      <x:c r="O312" s="10" t="n">
        <x:v>0.9162209033966064</x:v>
      </x:c>
      <x:c r="P312" s="22" t="n">
        <x:v>46.593631689436734</x:v>
      </x:c>
      <x:c r="Q312" s="26" t="str">
        <x:v>2009-10-01</x:v>
      </x:c>
      <x:c r="R312" s="26" t="str">
        <x:v>2014-12-31</x:v>
      </x:c>
    </x:row>
    <x:row r="313" ht="22" customHeight="1">
      <x:c r="A313" s="15" t="str">
        <x:f>"07083000"</x:f>
        <x:v>07083000</x:v>
      </x:c>
      <x:c r="B313" s="12" t="n">
        <x:v>42</x:v>
      </x:c>
      <x:c r="C313" s="12" t="n">
        <x:v>1918</x:v>
      </x:c>
      <x:c r="D313" s="10" t="n">
        <x:v>0.9853529955141941</x:v>
      </x:c>
      <x:c r="E313" s="10" t="n">
        <x:v>0.9759597666631603</x:v>
      </x:c>
      <x:c r="F313" s="17" t="n">
        <x:v>5.378639087654966</x:v>
      </x:c>
      <x:c r="G313" s="17" t="n">
        <x:v>2.6638042750312825</x:v>
      </x:c>
      <x:c r="H313" s="17" t="n">
        <x:v>-0.6186435122575601</x:v>
      </x:c>
      <x:c r="I313" s="12" t="n">
        <x:v>256</x:v>
      </x:c>
      <x:c r="J313" s="12" t="n">
        <x:v>2</x:v>
      </x:c>
      <x:c r="K313" s="19" t="n">
        <x:v>0.002713975339231919</x:v>
      </x:c>
      <x:c r="L313" s="19" t="n">
        <x:v>0</x:v>
      </x:c>
      <x:c r="M313" s="19" t="n">
        <x:v>0.0001</x:v>
      </x:c>
      <x:c r="N313" s="12" t="n">
        <x:v>28</x:v>
      </x:c>
      <x:c r="O313" s="10" t="n">
        <x:v>0.006514380685985088</x:v>
      </x:c>
      <x:c r="P313" s="22" t="n">
        <x:v>46.92929255403578</x:v>
      </x:c>
      <x:c r="Q313" s="26" t="str">
        <x:v>2009-10-01</x:v>
      </x:c>
      <x:c r="R313" s="26" t="str">
        <x:v>2014-12-31</x:v>
      </x:c>
    </x:row>
    <x:row r="314" ht="22" customHeight="1">
      <x:c r="A314" s="15" t="str">
        <x:f>"07142300"</x:f>
        <x:v>07142300</x:v>
      </x:c>
      <x:c r="B314" s="12" t="n">
        <x:v>42</x:v>
      </x:c>
      <x:c r="C314" s="12" t="n">
        <x:v>1918</x:v>
      </x:c>
      <x:c r="D314" s="10" t="n">
        <x:v>0.7260899896087469</x:v>
      </x:c>
      <x:c r="E314" s="10" t="n">
        <x:v>0.4393026502341273</x:v>
      </x:c>
      <x:c r="F314" s="17" t="n">
        <x:v>6.982330854283158</x:v>
      </x:c>
      <x:c r="G314" s="17" t="n">
        <x:v>3.164403925476017</x:v>
      </x:c>
      <x:c r="H314" s="17" t="n">
        <x:v>2.101267455125652</x:v>
      </x:c>
      <x:c r="I314" s="12" t="n">
        <x:v>256</x:v>
      </x:c>
      <x:c r="J314" s="12" t="n">
        <x:v>2</x:v>
      </x:c>
      <x:c r="K314" s="19" t="n">
        <x:v>0.002713975339231919</x:v>
      </x:c>
      <x:c r="L314" s="19" t="n">
        <x:v>0</x:v>
      </x:c>
      <x:c r="M314" s="19" t="n">
        <x:v>0.0001</x:v>
      </x:c>
      <x:c r="N314" s="12" t="n">
        <x:v>13</x:v>
      </x:c>
      <x:c r="O314" s="10" t="n">
        <x:v>0.2572459280490875</x:v>
      </x:c>
      <x:c r="P314" s="22" t="n">
        <x:v>47.00759054720402</x:v>
      </x:c>
      <x:c r="Q314" s="26" t="str">
        <x:v>2009-10-01</x:v>
      </x:c>
      <x:c r="R314" s="26" t="str">
        <x:v>2014-12-31</x:v>
      </x:c>
    </x:row>
    <x:row r="315" ht="22" customHeight="1">
      <x:c r="A315" s="15" t="str">
        <x:f>"07145700"</x:f>
        <x:v>07145700</x:v>
      </x:c>
      <x:c r="B315" s="12" t="n">
        <x:v>42</x:v>
      </x:c>
      <x:c r="C315" s="12" t="n">
        <x:v>1918</x:v>
      </x:c>
      <x:c r="D315" s="10" t="n">
        <x:v>0.28199284771222843</x:v>
      </x:c>
      <x:c r="E315" s="10" t="n">
        <x:v>0.5567890268261333</x:v>
      </x:c>
      <x:c r="F315" s="17" t="n">
        <x:v>143.7067567617425</x:v>
      </x:c>
      <x:c r="G315" s="17" t="n">
        <x:v>45.886250779579775</x:v>
      </x:c>
      <x:c r="H315" s="17" t="n">
        <x:v>9.492877709533891</x:v>
      </x:c>
      <x:c r="I315" s="12" t="n">
        <x:v>256</x:v>
      </x:c>
      <x:c r="J315" s="12" t="n">
        <x:v>2</x:v>
      </x:c>
      <x:c r="K315" s="19" t="n">
        <x:v>0.002713975339231919</x:v>
      </x:c>
      <x:c r="L315" s="19" t="n">
        <x:v>0</x:v>
      </x:c>
      <x:c r="M315" s="19" t="n">
        <x:v>0.0001</x:v>
      </x:c>
      <x:c r="N315" s="12" t="n">
        <x:v>10</x:v>
      </x:c>
      <x:c r="O315" s="10" t="n">
        <x:v>1.0417460203170776</x:v>
      </x:c>
      <x:c r="P315" s="22" t="n">
        <x:v>47.01610293239355</x:v>
      </x:c>
      <x:c r="Q315" s="26" t="str">
        <x:v>2009-10-01</x:v>
      </x:c>
      <x:c r="R315" s="26" t="str">
        <x:v>2014-12-31</x:v>
      </x:c>
    </x:row>
    <x:row r="316" ht="22" customHeight="1">
      <x:c r="A316" s="15" t="str">
        <x:f>"07148400"</x:f>
        <x:v>07148400</x:v>
      </x:c>
      <x:c r="B316" s="12" t="n">
        <x:v>42</x:v>
      </x:c>
      <x:c r="C316" s="12" t="n">
        <x:v>1918</x:v>
      </x:c>
      <x:c r="D316" s="10" t="n">
        <x:v>0.14885960702972267</x:v>
      </x:c>
      <x:c r="E316" s="10" t="n">
        <x:v>0.5046771783112445</x:v>
      </x:c>
      <x:c r="F316" s="17" t="n">
        <x:v>91.39652033481838</x:v>
      </x:c>
      <x:c r="G316" s="17" t="n">
        <x:v>28.900163465831078</x:v>
      </x:c>
      <x:c r="H316" s="17" t="n">
        <x:v>9.946986576303441</x:v>
      </x:c>
      <x:c r="I316" s="12" t="n">
        <x:v>256</x:v>
      </x:c>
      <x:c r="J316" s="12" t="n">
        <x:v>2</x:v>
      </x:c>
      <x:c r="K316" s="19" t="n">
        <x:v>0.002713975339231919</x:v>
      </x:c>
      <x:c r="L316" s="19" t="n">
        <x:v>0</x:v>
      </x:c>
      <x:c r="M316" s="19" t="n">
        <x:v>0.0001</x:v>
      </x:c>
      <x:c r="N316" s="12" t="n">
        <x:v>7</x:v>
      </x:c>
      <x:c r="O316" s="10" t="n">
        <x:v>0.21218211948871613</x:v>
      </x:c>
      <x:c r="P316" s="22" t="n">
        <x:v>46.961078219115734</x:v>
      </x:c>
      <x:c r="Q316" s="26" t="str">
        <x:v>2009-10-01</x:v>
      </x:c>
      <x:c r="R316" s="26" t="str">
        <x:v>2014-12-31</x:v>
      </x:c>
    </x:row>
    <x:row r="317" ht="22" customHeight="1">
      <x:c r="A317" s="15" t="str">
        <x:f>"07149000"</x:f>
        <x:v>07149000</x:v>
      </x:c>
      <x:c r="B317" s="12" t="n">
        <x:v>42</x:v>
      </x:c>
      <x:c r="C317" s="12" t="n">
        <x:v>1918</x:v>
      </x:c>
      <x:c r="D317" s="10" t="n">
        <x:v>0.6839458898867419</x:v>
      </x:c>
      <x:c r="E317" s="10" t="n">
        <x:v>0.7742325571149042</x:v>
      </x:c>
      <x:c r="F317" s="17" t="n">
        <x:v>52.201367361880095</x:v>
      </x:c>
      <x:c r="G317" s="17" t="n">
        <x:v>23.029465977955116</x:v>
      </x:c>
      <x:c r="H317" s="17" t="n">
        <x:v>9.570002419451917</x:v>
      </x:c>
      <x:c r="I317" s="12" t="n">
        <x:v>256</x:v>
      </x:c>
      <x:c r="J317" s="12" t="n">
        <x:v>2</x:v>
      </x:c>
      <x:c r="K317" s="19" t="n">
        <x:v>0.002713975339231919</x:v>
      </x:c>
      <x:c r="L317" s="19" t="n">
        <x:v>0</x:v>
      </x:c>
      <x:c r="M317" s="19" t="n">
        <x:v>0.0001</x:v>
      </x:c>
      <x:c r="N317" s="12" t="n">
        <x:v>14</x:v>
      </x:c>
      <x:c r="O317" s="10" t="n">
        <x:v>0.1389492005109787</x:v>
      </x:c>
      <x:c r="P317" s="22" t="n">
        <x:v>47.109411855228245</x:v>
      </x:c>
      <x:c r="Q317" s="26" t="str">
        <x:v>2009-10-01</x:v>
      </x:c>
      <x:c r="R317" s="26" t="str">
        <x:v>2014-12-31</x:v>
      </x:c>
    </x:row>
    <x:row r="318" ht="22" customHeight="1">
      <x:c r="A318" s="15" t="str">
        <x:f>"07151500"</x:f>
        <x:v>07151500</x:v>
      </x:c>
      <x:c r="B318" s="12" t="n">
        <x:v>42</x:v>
      </x:c>
      <x:c r="C318" s="12" t="n">
        <x:v>1918</x:v>
      </x:c>
      <x:c r="D318" s="10" t="n">
        <x:v>0.12278667804092058</x:v>
      </x:c>
      <x:c r="E318" s="10" t="n">
        <x:v>0.08550237060693577</x:v>
      </x:c>
      <x:c r="F318" s="17" t="n">
        <x:v>336.3563978817686</x:v>
      </x:c>
      <x:c r="G318" s="17" t="n">
        <x:v>134.36151002330033</x:v>
      </x:c>
      <x:c r="H318" s="17" t="n">
        <x:v>87.51641515312303</x:v>
      </x:c>
      <x:c r="I318" s="12" t="n">
        <x:v>256</x:v>
      </x:c>
      <x:c r="J318" s="12" t="n">
        <x:v>2</x:v>
      </x:c>
      <x:c r="K318" s="19" t="n">
        <x:v>0.002713975339231919</x:v>
      </x:c>
      <x:c r="L318" s="19" t="n">
        <x:v>0</x:v>
      </x:c>
      <x:c r="M318" s="19" t="n">
        <x:v>0.0001</x:v>
      </x:c>
      <x:c r="N318" s="12" t="n">
        <x:v>10</x:v>
      </x:c>
      <x:c r="O318" s="10" t="n">
        <x:v>1.0325103998184204</x:v>
      </x:c>
      <x:c r="P318" s="22" t="n">
        <x:v>47.07914647553116</x:v>
      </x:c>
      <x:c r="Q318" s="26" t="str">
        <x:v>2009-10-01</x:v>
      </x:c>
      <x:c r="R318" s="26" t="str">
        <x:v>2014-12-31</x:v>
      </x:c>
    </x:row>
    <x:row r="319" ht="22" customHeight="1">
      <x:c r="A319" s="15" t="str">
        <x:f>"07167500"</x:f>
        <x:v>07167500</x:v>
      </x:c>
      <x:c r="B319" s="12" t="n">
        <x:v>42</x:v>
      </x:c>
      <x:c r="C319" s="12" t="n">
        <x:v>1918</x:v>
      </x:c>
      <x:c r="D319" s="10" t="n">
        <x:v>-0.3283666961997296</x:v>
      </x:c>
      <x:c r="E319" s="10" t="n">
        <x:v>-0.45553431138977785</x:v>
      </x:c>
      <x:c r="F319" s="17" t="n">
        <x:v>159.53927952468217</x:v>
      </x:c>
      <x:c r="G319" s="17" t="n">
        <x:v>81.43489280976537</x:v>
      </x:c>
      <x:c r="H319" s="17" t="n">
        <x:v>52.58265196177372</x:v>
      </x:c>
      <x:c r="I319" s="12" t="n">
        <x:v>256</x:v>
      </x:c>
      <x:c r="J319" s="12" t="n">
        <x:v>2</x:v>
      </x:c>
      <x:c r="K319" s="19" t="n">
        <x:v>0.002713975339231919</x:v>
      </x:c>
      <x:c r="L319" s="19" t="n">
        <x:v>0</x:v>
      </x:c>
      <x:c r="M319" s="19" t="n">
        <x:v>0.0001</x:v>
      </x:c>
      <x:c r="N319" s="12" t="n">
        <x:v>5</x:v>
      </x:c>
      <x:c r="O319" s="10" t="n">
        <x:v>2.5739686489105225</x:v>
      </x:c>
      <x:c r="P319" s="22" t="n">
        <x:v>47.086869143880904</x:v>
      </x:c>
      <x:c r="Q319" s="26" t="str">
        <x:v>2009-10-01</x:v>
      </x:c>
      <x:c r="R319" s="26" t="str">
        <x:v>2014-12-31</x:v>
      </x:c>
    </x:row>
    <x:row r="320" ht="22" customHeight="1">
      <x:c r="A320" s="15" t="str">
        <x:f>"07180500"</x:f>
        <x:v>07180500</x:v>
      </x:c>
      <x:c r="B320" s="12" t="n">
        <x:v>42</x:v>
      </x:c>
      <x:c r="C320" s="12" t="n">
        <x:v>1918</x:v>
      </x:c>
      <x:c r="D320" s="10" t="n">
        <x:v>0.24081084184048962</x:v>
      </x:c>
      <x:c r="E320" s="10" t="n">
        <x:v>0.24391884451784085</x:v>
      </x:c>
      <x:c r="F320" s="17" t="n">
        <x:v>168.04845923707072</x:v>
      </x:c>
      <x:c r="G320" s="17" t="n">
        <x:v>41.68123410034515</x:v>
      </x:c>
      <x:c r="H320" s="17" t="n">
        <x:v>8.002150803152244</x:v>
      </x:c>
      <x:c r="I320" s="12" t="n">
        <x:v>256</x:v>
      </x:c>
      <x:c r="J320" s="12" t="n">
        <x:v>2</x:v>
      </x:c>
      <x:c r="K320" s="19" t="n">
        <x:v>0.002713975339231919</x:v>
      </x:c>
      <x:c r="L320" s="19" t="n">
        <x:v>0</x:v>
      </x:c>
      <x:c r="M320" s="19" t="n">
        <x:v>0.0001</x:v>
      </x:c>
      <x:c r="N320" s="12" t="n">
        <x:v>4</x:v>
      </x:c>
      <x:c r="O320" s="10" t="n">
        <x:v>2.724018096923828</x:v>
      </x:c>
      <x:c r="P320" s="22" t="n">
        <x:v>47.08678240701556</x:v>
      </x:c>
      <x:c r="Q320" s="26" t="str">
        <x:v>2009-10-01</x:v>
      </x:c>
      <x:c r="R320" s="26" t="str">
        <x:v>2014-12-31</x:v>
      </x:c>
    </x:row>
    <x:row r="321" ht="22" customHeight="1">
      <x:c r="A321" s="15" t="str">
        <x:f>"07184000"</x:f>
        <x:v>07184000</x:v>
      </x:c>
      <x:c r="B321" s="12" t="n">
        <x:v>42</x:v>
      </x:c>
      <x:c r="C321" s="12" t="n">
        <x:v>1918</x:v>
      </x:c>
      <x:c r="D321" s="10" t="n">
        <x:v>0.5857882086645629</x:v>
      </x:c>
      <x:c r="E321" s="10" t="n">
        <x:v>0.6761264320806661</x:v>
      </x:c>
      <x:c r="F321" s="17" t="n">
        <x:v>504.8496436682089</x:v>
      </x:c>
      <x:c r="G321" s="17" t="n">
        <x:v>132.84700232569472</x:v>
      </x:c>
      <x:c r="H321" s="17" t="n">
        <x:v>-7.960358497564592</x:v>
      </x:c>
      <x:c r="I321" s="12" t="n">
        <x:v>256</x:v>
      </x:c>
      <x:c r="J321" s="12" t="n">
        <x:v>2</x:v>
      </x:c>
      <x:c r="K321" s="19" t="n">
        <x:v>0.002713975339231919</x:v>
      </x:c>
      <x:c r="L321" s="19" t="n">
        <x:v>0</x:v>
      </x:c>
      <x:c r="M321" s="19" t="n">
        <x:v>0.0001</x:v>
      </x:c>
      <x:c r="N321" s="12" t="n">
        <x:v>21</x:v>
      </x:c>
      <x:c r="O321" s="10" t="n">
        <x:v>0.2887534499168396</x:v>
      </x:c>
      <x:c r="P321" s="22" t="n">
        <x:v>47.10780250746757</x:v>
      </x:c>
      <x:c r="Q321" s="26" t="str">
        <x:v>2009-10-01</x:v>
      </x:c>
      <x:c r="R321" s="26" t="str">
        <x:v>2014-12-31</x:v>
      </x:c>
    </x:row>
    <x:row r="322" ht="22" customHeight="1">
      <x:c r="A322" s="15" t="str">
        <x:f>"07195800"</x:f>
        <x:v>07195800</x:v>
      </x:c>
      <x:c r="B322" s="12" t="n">
        <x:v>42</x:v>
      </x:c>
      <x:c r="C322" s="12" t="n">
        <x:v>1918</x:v>
      </x:c>
      <x:c r="D322" s="10" t="n">
        <x:v>0.36496753315366715</x:v>
      </x:c>
      <x:c r="E322" s="10" t="n">
        <x:v>0.3347295933018054</x:v>
      </x:c>
      <x:c r="F322" s="17" t="n">
        <x:v>29.622858224867205</x:v>
      </x:c>
      <x:c r="G322" s="17" t="n">
        <x:v>4.714496116424922</x:v>
      </x:c>
      <x:c r="H322" s="17" t="n">
        <x:v>-2.957731767728363</x:v>
      </x:c>
      <x:c r="I322" s="12" t="n">
        <x:v>256</x:v>
      </x:c>
      <x:c r="J322" s="12" t="n">
        <x:v>2</x:v>
      </x:c>
      <x:c r="K322" s="19" t="n">
        <x:v>0.002713975339231919</x:v>
      </x:c>
      <x:c r="L322" s="19" t="n">
        <x:v>0</x:v>
      </x:c>
      <x:c r="M322" s="19" t="n">
        <x:v>0.0001</x:v>
      </x:c>
      <x:c r="N322" s="12" t="n">
        <x:v>3</x:v>
      </x:c>
      <x:c r="O322" s="10" t="n">
        <x:v>0.4237295389175415</x:v>
      </x:c>
      <x:c r="P322" s="22" t="n">
        <x:v>47.13805365096778</x:v>
      </x:c>
      <x:c r="Q322" s="26" t="str">
        <x:v>2009-10-01</x:v>
      </x:c>
      <x:c r="R322" s="26" t="str">
        <x:v>2014-12-31</x:v>
      </x:c>
    </x:row>
    <x:row r="323" ht="22" customHeight="1">
      <x:c r="A323" s="15" t="str">
        <x:f>"07196900"</x:f>
        <x:v>07196900</x:v>
      </x:c>
      <x:c r="B323" s="12" t="n">
        <x:v>42</x:v>
      </x:c>
      <x:c r="C323" s="12" t="n">
        <x:v>1918</x:v>
      </x:c>
      <x:c r="D323" s="10" t="n">
        <x:v>0.23124519030280755</x:v>
      </x:c>
      <x:c r="E323" s="10" t="n">
        <x:v>0.1425231582276819</x:v>
      </x:c>
      <x:c r="F323" s="17" t="n">
        <x:v>140.49439549049166</x:v>
      </x:c>
      <x:c r="G323" s="17" t="n">
        <x:v>22.601993454285456</x:v>
      </x:c>
      <x:c r="H323" s="17" t="n">
        <x:v>-5.09738210181413</x:v>
      </x:c>
      <x:c r="I323" s="12" t="n">
        <x:v>256</x:v>
      </x:c>
      <x:c r="J323" s="12" t="n">
        <x:v>2</x:v>
      </x:c>
      <x:c r="K323" s="19" t="n">
        <x:v>0.002713975339231919</x:v>
      </x:c>
      <x:c r="L323" s="19" t="n">
        <x:v>0</x:v>
      </x:c>
      <x:c r="M323" s="19" t="n">
        <x:v>0.0001</x:v>
      </x:c>
      <x:c r="N323" s="12" t="n">
        <x:v>5</x:v>
      </x:c>
      <x:c r="O323" s="10" t="n">
        <x:v>0.5372416377067566</x:v>
      </x:c>
      <x:c r="P323" s="22" t="n">
        <x:v>47.157516403123736</x:v>
      </x:c>
      <x:c r="Q323" s="26" t="str">
        <x:v>2009-10-01</x:v>
      </x:c>
      <x:c r="R323" s="26" t="str">
        <x:v>2014-12-31</x:v>
      </x:c>
    </x:row>
    <x:row r="324" ht="22" customHeight="1">
      <x:c r="A324" s="15" t="str">
        <x:f>"07197000"</x:f>
        <x:v>07197000</x:v>
      </x:c>
      <x:c r="B324" s="12" t="n">
        <x:v>42</x:v>
      </x:c>
      <x:c r="C324" s="12" t="n">
        <x:v>1918</x:v>
      </x:c>
      <x:c r="D324" s="10" t="n">
        <x:v>0.33403709218570865</x:v>
      </x:c>
      <x:c r="E324" s="10" t="n">
        <x:v>0.26907636796447865</x:v>
      </x:c>
      <x:c r="F324" s="17" t="n">
        <x:v>862.8806050034926</x:v>
      </x:c>
      <x:c r="G324" s="17" t="n">
        <x:v>115.27852710635037</x:v>
      </x:c>
      <x:c r="H324" s="17" t="n">
        <x:v>-53.757488261720546</x:v>
      </x:c>
      <x:c r="I324" s="12" t="n">
        <x:v>256</x:v>
      </x:c>
      <x:c r="J324" s="12" t="n">
        <x:v>2</x:v>
      </x:c>
      <x:c r="K324" s="19" t="n">
        <x:v>0.002713975339231919</x:v>
      </x:c>
      <x:c r="L324" s="19" t="n">
        <x:v>0</x:v>
      </x:c>
      <x:c r="M324" s="19" t="n">
        <x:v>0.0001</x:v>
      </x:c>
      <x:c r="N324" s="12" t="n">
        <x:v>3</x:v>
      </x:c>
      <x:c r="O324" s="10" t="n">
        <x:v>0.40964093804359436</x:v>
      </x:c>
      <x:c r="P324" s="22" t="n">
        <x:v>47.164331536740065</x:v>
      </x:c>
      <x:c r="Q324" s="26" t="str">
        <x:v>2009-10-01</x:v>
      </x:c>
      <x:c r="R324" s="26" t="str">
        <x:v>2014-12-31</x:v>
      </x:c>
    </x:row>
    <x:row r="325" ht="22" customHeight="1">
      <x:c r="A325" s="15" t="str">
        <x:f>"07208500"</x:f>
        <x:v>07208500</x:v>
      </x:c>
      <x:c r="B325" s="12" t="n">
        <x:v>42</x:v>
      </x:c>
      <x:c r="C325" s="12" t="n">
        <x:v>1918</x:v>
      </x:c>
      <x:c r="D325" s="10" t="n">
        <x:v>0.8470184223385095</x:v>
      </x:c>
      <x:c r="E325" s="10" t="n">
        <x:v>0.8853263427838696</x:v>
      </x:c>
      <x:c r="F325" s="17" t="n">
        <x:v>6.786164343256274</x:v>
      </x:c>
      <x:c r="G325" s="17" t="n">
        <x:v>1.1406014559593327</x:v>
      </x:c>
      <x:c r="H325" s="17" t="n">
        <x:v>-0.028839963957247142</x:v>
      </x:c>
      <x:c r="I325" s="12" t="n">
        <x:v>256</x:v>
      </x:c>
      <x:c r="J325" s="12" t="n">
        <x:v>2</x:v>
      </x:c>
      <x:c r="K325" s="19" t="n">
        <x:v>0.002713975339231919</x:v>
      </x:c>
      <x:c r="L325" s="19" t="n">
        <x:v>0</x:v>
      </x:c>
      <x:c r="M325" s="19" t="n">
        <x:v>0.0001</x:v>
      </x:c>
      <x:c r="N325" s="12" t="n">
        <x:v>10</x:v>
      </x:c>
      <x:c r="O325" s="10" t="n">
        <x:v>0.005938471294939518</x:v>
      </x:c>
      <x:c r="P325" s="22" t="n">
        <x:v>46.963365835137665</x:v>
      </x:c>
      <x:c r="Q325" s="26" t="str">
        <x:v>2009-10-01</x:v>
      </x:c>
      <x:c r="R325" s="26" t="str">
        <x:v>2014-12-31</x:v>
      </x:c>
    </x:row>
    <x:row r="326" ht="22" customHeight="1">
      <x:c r="A326" s="15" t="str">
        <x:f>"07261000"</x:f>
        <x:v>07261000</x:v>
      </x:c>
      <x:c r="B326" s="12" t="n">
        <x:v>42</x:v>
      </x:c>
      <x:c r="C326" s="12" t="n">
        <x:v>1918</x:v>
      </x:c>
      <x:c r="D326" s="10" t="n">
        <x:v>0.4262130479029683</x:v>
      </x:c>
      <x:c r="E326" s="10" t="n">
        <x:v>0.49022816791919055</x:v>
      </x:c>
      <x:c r="F326" s="17" t="n">
        <x:v>545.2016749952439</x:v>
      </x:c>
      <x:c r="G326" s="17" t="n">
        <x:v>133.78131136813815</x:v>
      </x:c>
      <x:c r="H326" s="17" t="n">
        <x:v>-18.848653720296664</x:v>
      </x:c>
      <x:c r="I326" s="12" t="n">
        <x:v>256</x:v>
      </x:c>
      <x:c r="J326" s="12" t="n">
        <x:v>2</x:v>
      </x:c>
      <x:c r="K326" s="19" t="n">
        <x:v>0.002713975339231919</x:v>
      </x:c>
      <x:c r="L326" s="19" t="n">
        <x:v>0</x:v>
      </x:c>
      <x:c r="M326" s="19" t="n">
        <x:v>0.0001</x:v>
      </x:c>
      <x:c r="N326" s="12" t="n">
        <x:v>3</x:v>
      </x:c>
      <x:c r="O326" s="10" t="n">
        <x:v>0.6627450585365295</x:v>
      </x:c>
      <x:c r="P326" s="22" t="n">
        <x:v>47.1369563806802</x:v>
      </x:c>
      <x:c r="Q326" s="26" t="str">
        <x:v>2009-10-01</x:v>
      </x:c>
      <x:c r="R326" s="26" t="str">
        <x:v>2014-12-31</x:v>
      </x:c>
    </x:row>
    <x:row r="327" ht="22" customHeight="1">
      <x:c r="A327" s="15" t="str">
        <x:f>"07291000"</x:f>
        <x:v>07291000</x:v>
      </x:c>
      <x:c r="B327" s="12" t="n">
        <x:v>42</x:v>
      </x:c>
      <x:c r="C327" s="12" t="n">
        <x:v>1918</x:v>
      </x:c>
      <x:c r="D327" s="10" t="n">
        <x:v>0.15147932043005508</x:v>
      </x:c>
      <x:c r="E327" s="10" t="n">
        <x:v>0.16758356450298295</x:v>
      </x:c>
      <x:c r="F327" s="17" t="n">
        <x:v>666.4974984335099</x:v>
      </x:c>
      <x:c r="G327" s="17" t="n">
        <x:v>176.02058303743482</x:v>
      </x:c>
      <x:c r="H327" s="17" t="n">
        <x:v>-7.122267610948902</x:v>
      </x:c>
      <x:c r="I327" s="12" t="n">
        <x:v>256</x:v>
      </x:c>
      <x:c r="J327" s="12" t="n">
        <x:v>2</x:v>
      </x:c>
      <x:c r="K327" s="19" t="n">
        <x:v>0.002713975339231919</x:v>
      </x:c>
      <x:c r="L327" s="19" t="n">
        <x:v>0</x:v>
      </x:c>
      <x:c r="M327" s="19" t="n">
        <x:v>0.0001</x:v>
      </x:c>
      <x:c r="N327" s="12" t="n">
        <x:v>6</x:v>
      </x:c>
      <x:c r="O327" s="10" t="n">
        <x:v>0.32216140627861023</x:v>
      </x:c>
      <x:c r="P327" s="22" t="n">
        <x:v>47.12632655259222</x:v>
      </x:c>
      <x:c r="Q327" s="26" t="str">
        <x:v>2009-10-01</x:v>
      </x:c>
      <x:c r="R327" s="26" t="str">
        <x:v>2014-12-31</x:v>
      </x:c>
    </x:row>
    <x:row r="328" ht="22" customHeight="1">
      <x:c r="A328" s="15" t="str">
        <x:f>"07292500"</x:f>
        <x:v>07292500</x:v>
      </x:c>
      <x:c r="B328" s="12" t="n">
        <x:v>42</x:v>
      </x:c>
      <x:c r="C328" s="12" t="n">
        <x:v>1918</x:v>
      </x:c>
      <x:c r="D328" s="10" t="n">
        <x:v>0.30163240680332704</x:v>
      </x:c>
      <x:c r="E328" s="10" t="n">
        <x:v>0.4681377194720585</x:v>
      </x:c>
      <x:c r="F328" s="17" t="n">
        <x:v>1841.5574884709247</x:v>
      </x:c>
      <x:c r="G328" s="17" t="n">
        <x:v>599.6302849759959</x:v>
      </x:c>
      <x:c r="H328" s="17" t="n">
        <x:v>82.51431014392074</x:v>
      </x:c>
      <x:c r="I328" s="12" t="n">
        <x:v>256</x:v>
      </x:c>
      <x:c r="J328" s="12" t="n">
        <x:v>2</x:v>
      </x:c>
      <x:c r="K328" s="19" t="n">
        <x:v>0.002713975339231919</x:v>
      </x:c>
      <x:c r="L328" s="19" t="n">
        <x:v>0</x:v>
      </x:c>
      <x:c r="M328" s="19" t="n">
        <x:v>0.0001</x:v>
      </x:c>
      <x:c r="N328" s="12" t="n">
        <x:v>9</x:v>
      </x:c>
      <x:c r="O328" s="10" t="n">
        <x:v>0.24424675107002258</x:v>
      </x:c>
      <x:c r="P328" s="22" t="n">
        <x:v>47.20227138325572</x:v>
      </x:c>
      <x:c r="Q328" s="26" t="str">
        <x:v>2009-10-01</x:v>
      </x:c>
      <x:c r="R328" s="26" t="str">
        <x:v>2014-12-31</x:v>
      </x:c>
    </x:row>
    <x:row r="329" ht="22" customHeight="1">
      <x:c r="A329" s="15" t="str">
        <x:f>"07299670"</x:f>
        <x:v>07299670</x:v>
      </x:c>
      <x:c r="B329" s="12" t="n">
        <x:v>42</x:v>
      </x:c>
      <x:c r="C329" s="12" t="n">
        <x:v>1918</x:v>
      </x:c>
      <x:c r="D329" s="10" t="n">
        <x:v>-0.10780090837226575</x:v>
      </x:c>
      <x:c r="E329" s="10" t="n">
        <x:v>0.11339783612369359</x:v>
      </x:c>
      <x:c r="F329" s="17" t="n">
        <x:v>99.17953843279257</x:v>
      </x:c>
      <x:c r="G329" s="17" t="n">
        <x:v>23.177132624713245</x:v>
      </x:c>
      <x:c r="H329" s="17" t="n">
        <x:v>12.37727395109489</x:v>
      </x:c>
      <x:c r="I329" s="12" t="n">
        <x:v>256</x:v>
      </x:c>
      <x:c r="J329" s="12" t="n">
        <x:v>2</x:v>
      </x:c>
      <x:c r="K329" s="19" t="n">
        <x:v>0.002713975339231919</x:v>
      </x:c>
      <x:c r="L329" s="19" t="n">
        <x:v>0</x:v>
      </x:c>
      <x:c r="M329" s="19" t="n">
        <x:v>0.0001</x:v>
      </x:c>
      <x:c r="N329" s="12" t="n">
        <x:v>5</x:v>
      </x:c>
      <x:c r="O329" s="10" t="n">
        <x:v>0.3322136700153351</x:v>
      </x:c>
      <x:c r="P329" s="22" t="n">
        <x:v>47.30353138409555</x:v>
      </x:c>
      <x:c r="Q329" s="26" t="str">
        <x:v>2009-10-01</x:v>
      </x:c>
      <x:c r="R329" s="26" t="str">
        <x:v>2014-12-31</x:v>
      </x:c>
    </x:row>
    <x:row r="330" ht="22" customHeight="1">
      <x:c r="A330" s="15" t="str">
        <x:f>"07301410"</x:f>
        <x:v>07301410</x:v>
      </x:c>
      <x:c r="B330" s="12" t="n">
        <x:v>42</x:v>
      </x:c>
      <x:c r="C330" s="12" t="n">
        <x:v>1918</x:v>
      </x:c>
      <x:c r="D330" s="10" t="n">
        <x:v>0.36494519609234066</x:v>
      </x:c>
      <x:c r="E330" s="10" t="n">
        <x:v>0.5869023069795756</x:v>
      </x:c>
      <x:c r="F330" s="17" t="n">
        <x:v>8.498108614164332</x:v>
      </x:c>
      <x:c r="G330" s="17" t="n">
        <x:v>2.1411567880873306</x:v>
      </x:c>
      <x:c r="H330" s="17" t="n">
        <x:v>0.7782874282505214</x:v>
      </x:c>
      <x:c r="I330" s="12" t="n">
        <x:v>256</x:v>
      </x:c>
      <x:c r="J330" s="12" t="n">
        <x:v>2</x:v>
      </x:c>
      <x:c r="K330" s="19" t="n">
        <x:v>0.002713975339231919</x:v>
      </x:c>
      <x:c r="L330" s="19" t="n">
        <x:v>0</x:v>
      </x:c>
      <x:c r="M330" s="19" t="n">
        <x:v>0.0001</x:v>
      </x:c>
      <x:c r="N330" s="12" t="n">
        <x:v>3</x:v>
      </x:c>
      <x:c r="O330" s="10" t="n">
        <x:v>0.46982869505882263</x:v>
      </x:c>
      <x:c r="P330" s="22" t="n">
        <x:v>47.163928234018385</x:v>
      </x:c>
      <x:c r="Q330" s="26" t="str">
        <x:v>2009-10-01</x:v>
      </x:c>
      <x:c r="R330" s="26" t="str">
        <x:v>2014-12-31</x:v>
      </x:c>
    </x:row>
    <x:row r="331" ht="22" customHeight="1">
      <x:c r="A331" s="15" t="str">
        <x:f>"07301500"</x:f>
        <x:v>07301500</x:v>
      </x:c>
      <x:c r="B331" s="12" t="n">
        <x:v>42</x:v>
      </x:c>
      <x:c r="C331" s="12" t="n">
        <x:v>1918</x:v>
      </x:c>
      <x:c r="D331" s="10" t="n">
        <x:v>0.47911592134922554</x:v>
      </x:c>
      <x:c r="E331" s="10" t="n">
        <x:v>0.4630676742552906</x:v>
      </x:c>
      <x:c r="F331" s="17" t="n">
        <x:v>82.50899699541105</x:v>
      </x:c>
      <x:c r="G331" s="17" t="n">
        <x:v>29.800823053027393</x:v>
      </x:c>
      <x:c r="H331" s="17" t="n">
        <x:v>17.492998662126855</x:v>
      </x:c>
      <x:c r="I331" s="12" t="n">
        <x:v>256</x:v>
      </x:c>
      <x:c r="J331" s="12" t="n">
        <x:v>2</x:v>
      </x:c>
      <x:c r="K331" s="19" t="n">
        <x:v>0.002713975339231919</x:v>
      </x:c>
      <x:c r="L331" s="19" t="n">
        <x:v>0</x:v>
      </x:c>
      <x:c r="M331" s="19" t="n">
        <x:v>0.0001</x:v>
      </x:c>
      <x:c r="N331" s="12" t="n">
        <x:v>3</x:v>
      </x:c>
      <x:c r="O331" s="10" t="n">
        <x:v>0.16445569694042206</x:v>
      </x:c>
      <x:c r="P331" s="22" t="n">
        <x:v>47.21969060506672</x:v>
      </x:c>
      <x:c r="Q331" s="26" t="str">
        <x:v>2009-10-01</x:v>
      </x:c>
      <x:c r="R331" s="26" t="str">
        <x:v>2014-12-31</x:v>
      </x:c>
    </x:row>
    <x:row r="332" ht="22" customHeight="1">
      <x:c r="A332" s="15" t="str">
        <x:f>"07315200"</x:f>
        <x:v>07315200</x:v>
      </x:c>
      <x:c r="B332" s="12" t="n">
        <x:v>42</x:v>
      </x:c>
      <x:c r="C332" s="12" t="n">
        <x:v>1918</x:v>
      </x:c>
      <x:c r="D332" s="10" t="n">
        <x:v>0.5987590290173614</x:v>
      </x:c>
      <x:c r="E332" s="10" t="n">
        <x:v>0.2983806335792535</x:v>
      </x:c>
      <x:c r="F332" s="17" t="n">
        <x:v>79.22724931903113</x:v>
      </x:c>
      <x:c r="G332" s="17" t="n">
        <x:v>20.862723293831596</x:v>
      </x:c>
      <x:c r="H332" s="17" t="n">
        <x:v>7.933555776063087</x:v>
      </x:c>
      <x:c r="I332" s="12" t="n">
        <x:v>256</x:v>
      </x:c>
      <x:c r="J332" s="12" t="n">
        <x:v>2</x:v>
      </x:c>
      <x:c r="K332" s="19" t="n">
        <x:v>0.002713975339231919</x:v>
      </x:c>
      <x:c r="L332" s="19" t="n">
        <x:v>0</x:v>
      </x:c>
      <x:c r="M332" s="19" t="n">
        <x:v>0.0001</x:v>
      </x:c>
      <x:c r="N332" s="12" t="n">
        <x:v>4</x:v>
      </x:c>
      <x:c r="O332" s="10" t="n">
        <x:v>0.05765083059668541</x:v>
      </x:c>
      <x:c r="P332" s="22" t="n">
        <x:v>47.196335536427796</x:v>
      </x:c>
      <x:c r="Q332" s="26" t="str">
        <x:v>2009-10-01</x:v>
      </x:c>
      <x:c r="R332" s="26" t="str">
        <x:v>2014-12-31</x:v>
      </x:c>
    </x:row>
    <x:row r="333" ht="22" customHeight="1">
      <x:c r="A333" s="15" t="str">
        <x:f>"07315700"</x:f>
        <x:v>07315700</x:v>
      </x:c>
      <x:c r="B333" s="12" t="n">
        <x:v>42</x:v>
      </x:c>
      <x:c r="C333" s="12" t="n">
        <x:v>1918</x:v>
      </x:c>
      <x:c r="D333" s="10" t="n">
        <x:v>0.09947382699942875</x:v>
      </x:c>
      <x:c r="E333" s="10" t="n">
        <x:v>0.21980291578944955</x:v>
      </x:c>
      <x:c r="F333" s="17" t="n">
        <x:v>265.5581555876637</x:v>
      </x:c>
      <x:c r="G333" s="17" t="n">
        <x:v>69.28698572922524</x:v>
      </x:c>
      <x:c r="H333" s="17" t="n">
        <x:v>32.40831412748175</x:v>
      </x:c>
      <x:c r="I333" s="12" t="n">
        <x:v>256</x:v>
      </x:c>
      <x:c r="J333" s="12" t="n">
        <x:v>2</x:v>
      </x:c>
      <x:c r="K333" s="19" t="n">
        <x:v>0.002713975339231919</x:v>
      </x:c>
      <x:c r="L333" s="19" t="n">
        <x:v>0</x:v>
      </x:c>
      <x:c r="M333" s="19" t="n">
        <x:v>0.0001</x:v>
      </x:c>
      <x:c r="N333" s="12" t="n">
        <x:v>28</x:v>
      </x:c>
      <x:c r="O333" s="10" t="n">
        <x:v>0.11814175546169281</x:v>
      </x:c>
      <x:c r="P333" s="22" t="n">
        <x:v>47.2344263670966</x:v>
      </x:c>
      <x:c r="Q333" s="26" t="str">
        <x:v>2009-10-01</x:v>
      </x:c>
      <x:c r="R333" s="26" t="str">
        <x:v>2014-12-31</x:v>
      </x:c>
    </x:row>
    <x:row r="334" ht="22" customHeight="1">
      <x:c r="A334" s="15" t="str">
        <x:f>"07335700"</x:f>
        <x:v>07335700</x:v>
      </x:c>
      <x:c r="B334" s="12" t="n">
        <x:v>42</x:v>
      </x:c>
      <x:c r="C334" s="12" t="n">
        <x:v>1918</x:v>
      </x:c>
      <x:c r="D334" s="10" t="n">
        <x:v>0.2395866967825192</x:v>
      </x:c>
      <x:c r="E334" s="10" t="n">
        <x:v>0.2992175610113105</x:v>
      </x:c>
      <x:c r="F334" s="17" t="n">
        <x:v>200.18558260923652</x:v>
      </x:c>
      <x:c r="G334" s="17" t="n">
        <x:v>51.55793417205067</x:v>
      </x:c>
      <x:c r="H334" s="17" t="n">
        <x:v>-1.174519787366632</x:v>
      </x:c>
      <x:c r="I334" s="12" t="n">
        <x:v>256</x:v>
      </x:c>
      <x:c r="J334" s="12" t="n">
        <x:v>2</x:v>
      </x:c>
      <x:c r="K334" s="19" t="n">
        <x:v>0.002713975339231919</x:v>
      </x:c>
      <x:c r="L334" s="19" t="n">
        <x:v>0</x:v>
      </x:c>
      <x:c r="M334" s="19" t="n">
        <x:v>0.0001</x:v>
      </x:c>
      <x:c r="N334" s="12" t="n">
        <x:v>8</x:v>
      </x:c>
      <x:c r="O334" s="10" t="n">
        <x:v>0.53108149766922</x:v>
      </x:c>
      <x:c r="P334" s="22" t="n">
        <x:v>47.312437657266855</x:v>
      </x:c>
      <x:c r="Q334" s="26" t="str">
        <x:v>2009-10-01</x:v>
      </x:c>
      <x:c r="R334" s="26" t="str">
        <x:v>2014-12-31</x:v>
      </x:c>
    </x:row>
    <x:row r="335" ht="22" customHeight="1">
      <x:c r="A335" s="15" t="str">
        <x:f>"07340300"</x:f>
        <x:v>07340300</x:v>
      </x:c>
      <x:c r="B335" s="12" t="n">
        <x:v>42</x:v>
      </x:c>
      <x:c r="C335" s="12" t="n">
        <x:v>1918</x:v>
      </x:c>
      <x:c r="D335" s="10" t="n">
        <x:v>0.33878390088896027</x:v>
      </x:c>
      <x:c r="E335" s="10" t="n">
        <x:v>0.43198635015269216</x:v>
      </x:c>
      <x:c r="F335" s="17" t="n">
        <x:v>349.47659104727626</x:v>
      </x:c>
      <x:c r="G335" s="17" t="n">
        <x:v>110.49244680820125</x:v>
      </x:c>
      <x:c r="H335" s="17" t="n">
        <x:v>1.121181237679874</x:v>
      </x:c>
      <x:c r="I335" s="12" t="n">
        <x:v>256</x:v>
      </x:c>
      <x:c r="J335" s="12" t="n">
        <x:v>2</x:v>
      </x:c>
      <x:c r="K335" s="19" t="n">
        <x:v>0.002713975339231919</x:v>
      </x:c>
      <x:c r="L335" s="19" t="n">
        <x:v>0</x:v>
      </x:c>
      <x:c r="M335" s="19" t="n">
        <x:v>0.0001</x:v>
      </x:c>
      <x:c r="N335" s="12" t="n">
        <x:v>4</x:v>
      </x:c>
      <x:c r="O335" s="10" t="n">
        <x:v>0.6675994396209717</x:v>
      </x:c>
      <x:c r="P335" s="22" t="n">
        <x:v>47.32676033116877</x:v>
      </x:c>
      <x:c r="Q335" s="26" t="str">
        <x:v>2009-10-01</x:v>
      </x:c>
      <x:c r="R335" s="26" t="str">
        <x:v>2014-12-31</x:v>
      </x:c>
    </x:row>
    <x:row r="336" ht="22" customHeight="1">
      <x:c r="A336" s="15" t="str">
        <x:f>"07346045"</x:f>
        <x:v>07346045</x:v>
      </x:c>
      <x:c r="B336" s="12" t="n">
        <x:v>42</x:v>
      </x:c>
      <x:c r="C336" s="12" t="n">
        <x:v>1918</x:v>
      </x:c>
      <x:c r="D336" s="10" t="n">
        <x:v>0.9628561203961998</x:v>
      </x:c>
      <x:c r="E336" s="10" t="n">
        <x:v>0.9257743591002368</x:v>
      </x:c>
      <x:c r="F336" s="17" t="n">
        <x:v>108.51437786195656</x:v>
      </x:c>
      <x:c r="G336" s="17" t="n">
        <x:v>35.41211808061053</x:v>
      </x:c>
      <x:c r="H336" s="17" t="n">
        <x:v>-0.8056044350140774</x:v>
      </x:c>
      <x:c r="I336" s="12" t="n">
        <x:v>256</x:v>
      </x:c>
      <x:c r="J336" s="12" t="n">
        <x:v>2</x:v>
      </x:c>
      <x:c r="K336" s="19" t="n">
        <x:v>0.002713975339231919</x:v>
      </x:c>
      <x:c r="L336" s="19" t="n">
        <x:v>0</x:v>
      </x:c>
      <x:c r="M336" s="19" t="n">
        <x:v>0.0001</x:v>
      </x:c>
      <x:c r="N336" s="12" t="n">
        <x:v>22</x:v>
      </x:c>
      <x:c r="O336" s="10" t="n">
        <x:v>0.017989391461014748</x:v>
      </x:c>
      <x:c r="P336" s="22" t="n">
        <x:v>47.33523101359606</x:v>
      </x:c>
      <x:c r="Q336" s="26" t="str">
        <x:v>2009-10-01</x:v>
      </x:c>
      <x:c r="R336" s="26" t="str">
        <x:v>2014-12-31</x:v>
      </x:c>
    </x:row>
    <x:row r="337" ht="22" customHeight="1">
      <x:c r="A337" s="15" t="str">
        <x:f>"07362100"</x:f>
        <x:v>07362100</x:v>
      </x:c>
      <x:c r="B337" s="12" t="n">
        <x:v>42</x:v>
      </x:c>
      <x:c r="C337" s="12" t="n">
        <x:v>1918</x:v>
      </x:c>
      <x:c r="D337" s="10" t="n">
        <x:v>0.8237816369926494</x:v>
      </x:c>
      <x:c r="E337" s="10" t="n">
        <x:v>0.7628678615005376</x:v>
      </x:c>
      <x:c r="F337" s="17" t="n">
        <x:v>488.2402624952807</x:v>
      </x:c>
      <x:c r="G337" s="17" t="n">
        <x:v>106.50249231863901</x:v>
      </x:c>
      <x:c r="H337" s="17" t="n">
        <x:v>20.54236324375672</x:v>
      </x:c>
      <x:c r="I337" s="12" t="n">
        <x:v>256</x:v>
      </x:c>
      <x:c r="J337" s="12" t="n">
        <x:v>2</x:v>
      </x:c>
      <x:c r="K337" s="19" t="n">
        <x:v>0.002713975339231919</x:v>
      </x:c>
      <x:c r="L337" s="19" t="n">
        <x:v>0</x:v>
      </x:c>
      <x:c r="M337" s="19" t="n">
        <x:v>0.0001</x:v>
      </x:c>
      <x:c r="N337" s="12" t="n">
        <x:v>9</x:v>
      </x:c>
      <x:c r="O337" s="10" t="n">
        <x:v>0.022022631019353867</x:v>
      </x:c>
      <x:c r="P337" s="22" t="n">
        <x:v>47.29431910812855</x:v>
      </x:c>
      <x:c r="Q337" s="26" t="str">
        <x:v>2009-10-01</x:v>
      </x:c>
      <x:c r="R337" s="26" t="str">
        <x:v>2014-12-31</x:v>
      </x:c>
    </x:row>
    <x:row r="338" ht="22" customHeight="1">
      <x:c r="A338" s="15" t="str">
        <x:f>"07373000"</x:f>
        <x:v>07373000</x:v>
      </x:c>
      <x:c r="B338" s="12" t="n">
        <x:v>42</x:v>
      </x:c>
      <x:c r="C338" s="12" t="n">
        <x:v>1918</x:v>
      </x:c>
      <x:c r="D338" s="10" t="n">
        <x:v>0.32614086590339997</x:v>
      </x:c>
      <x:c r="E338" s="10" t="n">
        <x:v>0.35431222018180286</x:v>
      </x:c>
      <x:c r="F338" s="17" t="n">
        <x:v>100.56200531906909</x:v>
      </x:c>
      <x:c r="G338" s="17" t="n">
        <x:v>39.635627994203325</x:v>
      </x:c>
      <x:c r="H338" s="17" t="n">
        <x:v>13.462470492449443</x:v>
      </x:c>
      <x:c r="I338" s="12" t="n">
        <x:v>256</x:v>
      </x:c>
      <x:c r="J338" s="12" t="n">
        <x:v>2</x:v>
      </x:c>
      <x:c r="K338" s="19" t="n">
        <x:v>0.002713975339231919</x:v>
      </x:c>
      <x:c r="L338" s="19" t="n">
        <x:v>0</x:v>
      </x:c>
      <x:c r="M338" s="19" t="n">
        <x:v>0.0001</x:v>
      </x:c>
      <x:c r="N338" s="12" t="n">
        <x:v>3</x:v>
      </x:c>
      <x:c r="O338" s="10" t="n">
        <x:v>0.3728196620941162</x:v>
      </x:c>
      <x:c r="P338" s="22" t="n">
        <x:v>47.31846165191382</x:v>
      </x:c>
      <x:c r="Q338" s="26" t="str">
        <x:v>2009-10-01</x:v>
      </x:c>
      <x:c r="R338" s="26" t="str">
        <x:v>2014-12-31</x:v>
      </x:c>
    </x:row>
    <x:row r="339" ht="22" customHeight="1">
      <x:c r="A339" s="15" t="str">
        <x:f>"07375000"</x:f>
        <x:v>07375000</x:v>
      </x:c>
      <x:c r="B339" s="12" t="n">
        <x:v>42</x:v>
      </x:c>
      <x:c r="C339" s="12" t="n">
        <x:v>1918</x:v>
      </x:c>
      <x:c r="D339" s="10" t="n">
        <x:v>0.7520743132868836</x:v>
      </x:c>
      <x:c r="E339" s="10" t="n">
        <x:v>0.7222931030550355</x:v>
      </x:c>
      <x:c r="F339" s="17" t="n">
        <x:v>172.16849944792986</x:v>
      </x:c>
      <x:c r="G339" s="17" t="n">
        <x:v>52.059128206934304</x:v>
      </x:c>
      <x:c r="H339" s="17" t="n">
        <x:v>0.6113989265380589</x:v>
      </x:c>
      <x:c r="I339" s="12" t="n">
        <x:v>256</x:v>
      </x:c>
      <x:c r="J339" s="12" t="n">
        <x:v>2</x:v>
      </x:c>
      <x:c r="K339" s="19" t="n">
        <x:v>0.002713975339231919</x:v>
      </x:c>
      <x:c r="L339" s="19" t="n">
        <x:v>0</x:v>
      </x:c>
      <x:c r="M339" s="19" t="n">
        <x:v>0.0001</x:v>
      </x:c>
      <x:c r="N339" s="12" t="n">
        <x:v>19</x:v>
      </x:c>
      <x:c r="O339" s="10" t="n">
        <x:v>0.05105056241154671</x:v>
      </x:c>
      <x:c r="P339" s="22" t="n">
        <x:v>47.18336343951523</x:v>
      </x:c>
      <x:c r="Q339" s="26" t="str">
        <x:v>2009-10-01</x:v>
      </x:c>
      <x:c r="R339" s="26" t="str">
        <x:v>2014-12-31</x:v>
      </x:c>
    </x:row>
    <x:row r="340" ht="22" customHeight="1">
      <x:c r="A340" s="15" t="str">
        <x:f>"08013000"</x:f>
        <x:v>08013000</x:v>
      </x:c>
      <x:c r="B340" s="12" t="n">
        <x:v>42</x:v>
      </x:c>
      <x:c r="C340" s="12" t="n">
        <x:v>1918</x:v>
      </x:c>
      <x:c r="D340" s="10" t="n">
        <x:v>0.8074455771423428</x:v>
      </x:c>
      <x:c r="E340" s="10" t="n">
        <x:v>0.8701213258213119</x:v>
      </x:c>
      <x:c r="F340" s="17" t="n">
        <x:v>502.02259677965293</x:v>
      </x:c>
      <x:c r="G340" s="17" t="n">
        <x:v>160.23545557243483</x:v>
      </x:c>
      <x:c r="H340" s="17" t="n">
        <x:v>-28.4810525974609</x:v>
      </x:c>
      <x:c r="I340" s="12" t="n">
        <x:v>256</x:v>
      </x:c>
      <x:c r="J340" s="12" t="n">
        <x:v>2</x:v>
      </x:c>
      <x:c r="K340" s="19" t="n">
        <x:v>0.002713975339231919</x:v>
      </x:c>
      <x:c r="L340" s="19" t="n">
        <x:v>0</x:v>
      </x:c>
      <x:c r="M340" s="19" t="n">
        <x:v>0.0001</x:v>
      </x:c>
      <x:c r="N340" s="12" t="n">
        <x:v>12</x:v>
      </x:c>
      <x:c r="O340" s="10" t="n">
        <x:v>0.02271992340683937</x:v>
      </x:c>
      <x:c r="P340" s="22" t="n">
        <x:v>47.15324235148728</x:v>
      </x:c>
      <x:c r="Q340" s="26" t="str">
        <x:v>2009-10-01</x:v>
      </x:c>
      <x:c r="R340" s="26" t="str">
        <x:v>2014-12-31</x:v>
      </x:c>
    </x:row>
    <x:row r="341" ht="22" customHeight="1">
      <x:c r="A341" s="15" t="str">
        <x:f>"08014500"</x:f>
        <x:v>08014500</x:v>
      </x:c>
      <x:c r="B341" s="12" t="n">
        <x:v>42</x:v>
      </x:c>
      <x:c r="C341" s="12" t="n">
        <x:v>1918</x:v>
      </x:c>
      <x:c r="D341" s="10" t="n">
        <x:v>0.9208026227091175</x:v>
      </x:c>
      <x:c r="E341" s="10" t="n">
        <x:v>0.7984158607331859</x:v>
      </x:c>
      <x:c r="F341" s="17" t="n">
        <x:v>254.21555610578855</x:v>
      </x:c>
      <x:c r="G341" s="17" t="n">
        <x:v>142.34191290198123</x:v>
      </x:c>
      <x:c r="H341" s="17" t="n">
        <x:v>59.18422032221064</x:v>
      </x:c>
      <x:c r="I341" s="12" t="n">
        <x:v>256</x:v>
      </x:c>
      <x:c r="J341" s="12" t="n">
        <x:v>2</x:v>
      </x:c>
      <x:c r="K341" s="19" t="n">
        <x:v>0.002713975339231919</x:v>
      </x:c>
      <x:c r="L341" s="19" t="n">
        <x:v>0</x:v>
      </x:c>
      <x:c r="M341" s="19" t="n">
        <x:v>0.0001</x:v>
      </x:c>
      <x:c r="N341" s="12" t="n">
        <x:v>11</x:v>
      </x:c>
      <x:c r="O341" s="10" t="n">
        <x:v>0.046232156455516815</x:v>
      </x:c>
      <x:c r="P341" s="22" t="n">
        <x:v>47.14458685275167</x:v>
      </x:c>
      <x:c r="Q341" s="26" t="str">
        <x:v>2009-10-01</x:v>
      </x:c>
      <x:c r="R341" s="26" t="str">
        <x:v>2014-12-31</x:v>
      </x:c>
    </x:row>
    <x:row r="342" ht="22" customHeight="1">
      <x:c r="A342" s="15" t="str">
        <x:f>"08023080"</x:f>
        <x:v>08023080</x:v>
      </x:c>
      <x:c r="B342" s="12" t="n">
        <x:v>42</x:v>
      </x:c>
      <x:c r="C342" s="12" t="n">
        <x:v>1917</x:v>
      </x:c>
      <x:c r="D342" s="10" t="n">
        <x:v>0.5202879156979853</x:v>
      </x:c>
      <x:c r="E342" s="10" t="n">
        <x:v>0.6690899104533103</x:v>
      </x:c>
      <x:c r="F342" s="17" t="n">
        <x:v>138.66758966044665</x:v>
      </x:c>
      <x:c r="G342" s="17" t="n">
        <x:v>37.840331241325096</x:v>
      </x:c>
      <x:c r="H342" s="17" t="n">
        <x:v>9.294627896354102</x:v>
      </x:c>
      <x:c r="I342" s="12" t="n">
        <x:v>256</x:v>
      </x:c>
      <x:c r="J342" s="12" t="n">
        <x:v>2</x:v>
      </x:c>
      <x:c r="K342" s="19" t="n">
        <x:v>0.002713975339231919</x:v>
      </x:c>
      <x:c r="L342" s="19" t="n">
        <x:v>0</x:v>
      </x:c>
      <x:c r="M342" s="19" t="n">
        <x:v>0.0001</x:v>
      </x:c>
      <x:c r="N342" s="12" t="n">
        <x:v>7</x:v>
      </x:c>
      <x:c r="O342" s="10" t="n">
        <x:v>0.0861365869641304</x:v>
      </x:c>
      <x:c r="P342" s="22" t="n">
        <x:v>47.15712249092758</x:v>
      </x:c>
      <x:c r="Q342" s="26" t="str">
        <x:v>2009-10-02</x:v>
      </x:c>
      <x:c r="R342" s="26" t="str">
        <x:v>2014-12-31</x:v>
      </x:c>
    </x:row>
    <x:row r="343" ht="22" customHeight="1">
      <x:c r="A343" s="15" t="str">
        <x:f>"08029500"</x:f>
        <x:v>08029500</x:v>
      </x:c>
      <x:c r="B343" s="12" t="n">
        <x:v>42</x:v>
      </x:c>
      <x:c r="C343" s="12" t="n">
        <x:v>1918</x:v>
      </x:c>
      <x:c r="D343" s="10" t="n">
        <x:v>0.2701745463886963</x:v>
      </x:c>
      <x:c r="E343" s="10" t="n">
        <x:v>0.5340911971292953</x:v>
      </x:c>
      <x:c r="F343" s="17" t="n">
        <x:v>199.39809715358803</x:v>
      </x:c>
      <x:c r="G343" s="17" t="n">
        <x:v>56.52923415924812</x:v>
      </x:c>
      <x:c r="H343" s="17" t="n">
        <x:v>20.967305490699744</x:v>
      </x:c>
      <x:c r="I343" s="12" t="n">
        <x:v>256</x:v>
      </x:c>
      <x:c r="J343" s="12" t="n">
        <x:v>2</x:v>
      </x:c>
      <x:c r="K343" s="19" t="n">
        <x:v>0.002713975339231919</x:v>
      </x:c>
      <x:c r="L343" s="19" t="n">
        <x:v>0</x:v>
      </x:c>
      <x:c r="M343" s="19" t="n">
        <x:v>0.0001</x:v>
      </x:c>
      <x:c r="N343" s="12" t="n">
        <x:v>25</x:v>
      </x:c>
      <x:c r="O343" s="10" t="n">
        <x:v>2.1396820545196533</x:v>
      </x:c>
      <x:c r="P343" s="22" t="n">
        <x:v>47.21093433443457</x:v>
      </x:c>
      <x:c r="Q343" s="26" t="str">
        <x:v>2009-10-01</x:v>
      </x:c>
      <x:c r="R343" s="26" t="str">
        <x:v>2014-12-31</x:v>
      </x:c>
    </x:row>
    <x:row r="344" ht="22" customHeight="1">
      <x:c r="A344" s="15" t="str">
        <x:f>"08066200"</x:f>
        <x:v>08066200</x:v>
      </x:c>
      <x:c r="B344" s="12" t="n">
        <x:v>42</x:v>
      </x:c>
      <x:c r="C344" s="12" t="n">
        <x:v>1918</x:v>
      </x:c>
      <x:c r="D344" s="10" t="n">
        <x:v>0.1658810996581751</x:v>
      </x:c>
      <x:c r="E344" s="10" t="n">
        <x:v>0.29841465479655693</x:v>
      </x:c>
      <x:c r="F344" s="17" t="n">
        <x:v>280.1800937513077</x:v>
      </x:c>
      <x:c r="G344" s="17" t="n">
        <x:v>72.20256649921858</x:v>
      </x:c>
      <x:c r="H344" s="17" t="n">
        <x:v>3.3590117967950093</x:v>
      </x:c>
      <x:c r="I344" s="12" t="n">
        <x:v>256</x:v>
      </x:c>
      <x:c r="J344" s="12" t="n">
        <x:v>2</x:v>
      </x:c>
      <x:c r="K344" s="19" t="n">
        <x:v>0.002713975339231919</x:v>
      </x:c>
      <x:c r="L344" s="19" t="n">
        <x:v>0</x:v>
      </x:c>
      <x:c r="M344" s="19" t="n">
        <x:v>0.0001</x:v>
      </x:c>
      <x:c r="N344" s="12" t="n">
        <x:v>19</x:v>
      </x:c>
      <x:c r="O344" s="10" t="n">
        <x:v>0.39463192224502563</x:v>
      </x:c>
      <x:c r="P344" s="22" t="n">
        <x:v>47.26461847126484</x:v>
      </x:c>
      <x:c r="Q344" s="26" t="str">
        <x:v>2009-10-01</x:v>
      </x:c>
      <x:c r="R344" s="26" t="str">
        <x:v>2014-12-31</x:v>
      </x:c>
    </x:row>
    <x:row r="345" ht="22" customHeight="1">
      <x:c r="A345" s="15" t="str">
        <x:f>"08066300"</x:f>
        <x:v>08066300</x:v>
      </x:c>
      <x:c r="B345" s="12" t="n">
        <x:v>42</x:v>
      </x:c>
      <x:c r="C345" s="12" t="n">
        <x:v>1918</x:v>
      </x:c>
      <x:c r="D345" s="10" t="n">
        <x:v>0.02719969193831273</x:v>
      </x:c>
      <x:c r="E345" s="10" t="n">
        <x:v>0.5323002427402235</x:v>
      </x:c>
      <x:c r="F345" s="17" t="n">
        <x:v>146.92077037416306</x:v>
      </x:c>
      <x:c r="G345" s="17" t="n">
        <x:v>37.52708473080532</x:v>
      </x:c>
      <x:c r="H345" s="17" t="n">
        <x:v>7.33551540266705</x:v>
      </x:c>
      <x:c r="I345" s="12" t="n">
        <x:v>256</x:v>
      </x:c>
      <x:c r="J345" s="12" t="n">
        <x:v>2</x:v>
      </x:c>
      <x:c r="K345" s="19" t="n">
        <x:v>0.002713975339231919</x:v>
      </x:c>
      <x:c r="L345" s="19" t="n">
        <x:v>0</x:v>
      </x:c>
      <x:c r="M345" s="19" t="n">
        <x:v>0.0001</x:v>
      </x:c>
      <x:c r="N345" s="12" t="n">
        <x:v>11</x:v>
      </x:c>
      <x:c r="O345" s="10" t="n">
        <x:v>0.16920970380306244</x:v>
      </x:c>
      <x:c r="P345" s="22" t="n">
        <x:v>47.37178169563413</x:v>
      </x:c>
      <x:c r="Q345" s="26" t="str">
        <x:v>2009-10-01</x:v>
      </x:c>
      <x:c r="R345" s="26" t="str">
        <x:v>2014-12-31</x:v>
      </x:c>
    </x:row>
    <x:row r="346" ht="22" customHeight="1">
      <x:c r="A346" s="15" t="str">
        <x:f>"08070000"</x:f>
        <x:v>08070000</x:v>
      </x:c>
      <x:c r="B346" s="12" t="n">
        <x:v>42</x:v>
      </x:c>
      <x:c r="C346" s="12" t="n">
        <x:v>1918</x:v>
      </x:c>
      <x:c r="D346" s="10" t="n">
        <x:v>0.8108274133485158</x:v>
      </x:c>
      <x:c r="E346" s="10" t="n">
        <x:v>0.5536808675487486</x:v>
      </x:c>
      <x:c r="F346" s="17" t="n">
        <x:v>119.17211644119273</x:v>
      </x:c>
      <x:c r="G346" s="17" t="n">
        <x:v>60.93743955461418</x:v>
      </x:c>
      <x:c r="H346" s="17" t="n">
        <x:v>37.145761108576636</x:v>
      </x:c>
      <x:c r="I346" s="12" t="n">
        <x:v>256</x:v>
      </x:c>
      <x:c r="J346" s="12" t="n">
        <x:v>2</x:v>
      </x:c>
      <x:c r="K346" s="19" t="n">
        <x:v>0.002713975339231919</x:v>
      </x:c>
      <x:c r="L346" s="19" t="n">
        <x:v>0</x:v>
      </x:c>
      <x:c r="M346" s="19" t="n">
        <x:v>0.0001</x:v>
      </x:c>
      <x:c r="N346" s="12" t="n">
        <x:v>12</x:v>
      </x:c>
      <x:c r="O346" s="10" t="n">
        <x:v>0.061890918761491776</x:v>
      </x:c>
      <x:c r="P346" s="22" t="n">
        <x:v>47.282448035664856</x:v>
      </x:c>
      <x:c r="Q346" s="26" t="str">
        <x:v>2009-10-01</x:v>
      </x:c>
      <x:c r="R346" s="26" t="str">
        <x:v>2014-12-31</x:v>
      </x:c>
    </x:row>
    <x:row r="347" ht="22" customHeight="1">
      <x:c r="A347" s="15" t="str">
        <x:f>"08079600"</x:f>
        <x:v>08079600</x:v>
      </x:c>
      <x:c r="B347" s="12" t="n">
        <x:v>42</x:v>
      </x:c>
      <x:c r="C347" s="12" t="n">
        <x:v>1918</x:v>
      </x:c>
      <x:c r="D347" s="10" t="n">
        <x:v>0.03524114277454926</x:v>
      </x:c>
      <x:c r="E347" s="10" t="n">
        <x:v>-0.19710158852201998</x:v>
      </x:c>
      <x:c r="F347" s="17" t="n">
        <x:v>412.290862676502</x:v>
      </x:c>
      <x:c r="G347" s="17" t="n">
        <x:v>38.13475850510526</x:v>
      </x:c>
      <x:c r="H347" s="17" t="n">
        <x:v>-16.708406608222052</x:v>
      </x:c>
      <x:c r="I347" s="12" t="n">
        <x:v>256</x:v>
      </x:c>
      <x:c r="J347" s="12" t="n">
        <x:v>2</x:v>
      </x:c>
      <x:c r="K347" s="19" t="n">
        <x:v>0.002713975339231919</x:v>
      </x:c>
      <x:c r="L347" s="19" t="n">
        <x:v>0</x:v>
      </x:c>
      <x:c r="M347" s="19" t="n">
        <x:v>0.0001</x:v>
      </x:c>
      <x:c r="N347" s="12" t="n">
        <x:v>27</x:v>
      </x:c>
      <x:c r="O347" s="10" t="n">
        <x:v>2.0182347297668457</x:v>
      </x:c>
      <x:c r="P347" s="22" t="n">
        <x:v>47.30970679502934</x:v>
      </x:c>
      <x:c r="Q347" s="26" t="str">
        <x:v>2009-10-01</x:v>
      </x:c>
      <x:c r="R347" s="26" t="str">
        <x:v>2014-12-31</x:v>
      </x:c>
    </x:row>
    <x:row r="348" ht="22" customHeight="1">
      <x:c r="A348" s="15" t="str">
        <x:f>"08082700"</x:f>
        <x:v>08082700</x:v>
      </x:c>
      <x:c r="B348" s="12" t="n">
        <x:v>42</x:v>
      </x:c>
      <x:c r="C348" s="12" t="n">
        <x:v>1918</x:v>
      </x:c>
      <x:c r="D348" s="10" t="n">
        <x:v>-0.9533753048743809</x:v>
      </x:c>
      <x:c r="E348" s="10" t="n">
        <x:v>0.10668723417583226</x:v>
      </x:c>
      <x:c r="F348" s="17" t="n">
        <x:v>19.632329572504904</x:v>
      </x:c>
      <x:c r="G348" s="17" t="n">
        <x:v>4.742680530228369</x:v>
      </x:c>
      <x:c r="H348" s="17" t="n">
        <x:v>-0.440365801642968</x:v>
      </x:c>
      <x:c r="I348" s="12" t="n">
        <x:v>256</x:v>
      </x:c>
      <x:c r="J348" s="12" t="n">
        <x:v>2</x:v>
      </x:c>
      <x:c r="K348" s="19" t="n">
        <x:v>0.002713975339231919</x:v>
      </x:c>
      <x:c r="L348" s="19" t="n">
        <x:v>0</x:v>
      </x:c>
      <x:c r="M348" s="19" t="n">
        <x:v>0.0001</x:v>
      </x:c>
      <x:c r="N348" s="12" t="n">
        <x:v>9</x:v>
      </x:c>
      <x:c r="O348" s="10" t="n">
        <x:v>4.004080772399902</x:v>
      </x:c>
      <x:c r="P348" s="22" t="n">
        <x:v>47.337761413306</x:v>
      </x:c>
      <x:c r="Q348" s="26" t="str">
        <x:v>2009-10-01</x:v>
      </x:c>
      <x:c r="R348" s="26" t="str">
        <x:v>2014-12-31</x:v>
      </x:c>
    </x:row>
    <x:row r="349" ht="22" customHeight="1">
      <x:c r="A349" s="15" t="str">
        <x:f>"08086212"</x:f>
        <x:v>08086212</x:v>
      </x:c>
      <x:c r="B349" s="12" t="n">
        <x:v>42</x:v>
      </x:c>
      <x:c r="C349" s="12" t="n">
        <x:v>1918</x:v>
      </x:c>
      <x:c r="D349" s="10" t="n">
        <x:v>-1.5921796404711084</x:v>
      </x:c>
      <x:c r="E349" s="10" t="n">
        <x:v>-0.1969926004300584</x:v>
      </x:c>
      <x:c r="F349" s="17" t="n">
        <x:v>100.9896407592993</x:v>
      </x:c>
      <x:c r="G349" s="17" t="n">
        <x:v>45.05758492103232</x:v>
      </x:c>
      <x:c r="H349" s="17" t="n">
        <x:v>-4.536671923394161</x:v>
      </x:c>
      <x:c r="I349" s="12" t="n">
        <x:v>256</x:v>
      </x:c>
      <x:c r="J349" s="12" t="n">
        <x:v>2</x:v>
      </x:c>
      <x:c r="K349" s="19" t="n">
        <x:v>0.002713975339231919</x:v>
      </x:c>
      <x:c r="L349" s="19" t="n">
        <x:v>0</x:v>
      </x:c>
      <x:c r="M349" s="19" t="n">
        <x:v>0.0001</x:v>
      </x:c>
      <x:c r="N349" s="12" t="n">
        <x:v>3</x:v>
      </x:c>
      <x:c r="O349" s="10" t="n">
        <x:v>0.5300633907318115</x:v>
      </x:c>
      <x:c r="P349" s="22" t="n">
        <x:v>47.37772691436112</x:v>
      </x:c>
      <x:c r="Q349" s="26" t="str">
        <x:v>2009-10-01</x:v>
      </x:c>
      <x:c r="R349" s="26" t="str">
        <x:v>2014-12-31</x:v>
      </x:c>
    </x:row>
    <x:row r="350" ht="22" customHeight="1">
      <x:c r="A350" s="15" t="str">
        <x:f>"08086290"</x:f>
        <x:v>08086290</x:v>
      </x:c>
      <x:c r="B350" s="12" t="n">
        <x:v>42</x:v>
      </x:c>
      <x:c r="C350" s="12" t="n">
        <x:v>1918</x:v>
      </x:c>
      <x:c r="D350" s="10" t="n">
        <x:v>0.10011429166594576</x:v>
      </x:c>
      <x:c r="E350" s="10" t="n">
        <x:v>0.18422029986923794</x:v>
      </x:c>
      <x:c r="F350" s="17" t="n">
        <x:v>130.33532833253432</x:v>
      </x:c>
      <x:c r="G350" s="17" t="n">
        <x:v>34.17160315561522</x:v>
      </x:c>
      <x:c r="H350" s="17" t="n">
        <x:v>3.977732285852662</x:v>
      </x:c>
      <x:c r="I350" s="12" t="n">
        <x:v>256</x:v>
      </x:c>
      <x:c r="J350" s="12" t="n">
        <x:v>2</x:v>
      </x:c>
      <x:c r="K350" s="19" t="n">
        <x:v>0.002713975339231919</x:v>
      </x:c>
      <x:c r="L350" s="19" t="n">
        <x:v>0</x:v>
      </x:c>
      <x:c r="M350" s="19" t="n">
        <x:v>0.0001</x:v>
      </x:c>
      <x:c r="N350" s="12" t="n">
        <x:v>3</x:v>
      </x:c>
      <x:c r="O350" s="10" t="n">
        <x:v>0.5722887516021729</x:v>
      </x:c>
      <x:c r="P350" s="22" t="n">
        <x:v>47.36618199944496</x:v>
      </x:c>
      <x:c r="Q350" s="26" t="str">
        <x:v>2009-10-01</x:v>
      </x:c>
      <x:c r="R350" s="26" t="str">
        <x:v>2014-12-31</x:v>
      </x:c>
    </x:row>
    <x:row r="351" ht="22" customHeight="1">
      <x:c r="A351" s="15" t="str">
        <x:f>"08101000"</x:f>
        <x:v>08101000</x:v>
      </x:c>
      <x:c r="B351" s="12" t="n">
        <x:v>42</x:v>
      </x:c>
      <x:c r="C351" s="12" t="n">
        <x:v>1918</x:v>
      </x:c>
      <x:c r="D351" s="10" t="n">
        <x:v>0.029337290575765507</x:v>
      </x:c>
      <x:c r="E351" s="10" t="n">
        <x:v>0.001188488588736769</x:v>
      </x:c>
      <x:c r="F351" s="17" t="n">
        <x:v>543.9926118752096</x:v>
      </x:c>
      <x:c r="G351" s="17" t="n">
        <x:v>109.79424149998157</x:v>
      </x:c>
      <x:c r="H351" s="17" t="n">
        <x:v>-23.69699139924798</x:v>
      </x:c>
      <x:c r="I351" s="12" t="n">
        <x:v>256</x:v>
      </x:c>
      <x:c r="J351" s="12" t="n">
        <x:v>2</x:v>
      </x:c>
      <x:c r="K351" s="19" t="n">
        <x:v>0.002713975339231919</x:v>
      </x:c>
      <x:c r="L351" s="19" t="n">
        <x:v>0</x:v>
      </x:c>
      <x:c r="M351" s="19" t="n">
        <x:v>0.0001</x:v>
      </x:c>
      <x:c r="N351" s="12" t="n">
        <x:v>2</x:v>
      </x:c>
      <x:c r="O351" s="10" t="n">
        <x:v>1.4049032926559448</x:v>
      </x:c>
      <x:c r="P351" s="22" t="n">
        <x:v>47.391934408806264</x:v>
      </x:c>
      <x:c r="Q351" s="26" t="str">
        <x:v>2009-10-01</x:v>
      </x:c>
      <x:c r="R351" s="26" t="str">
        <x:v>2014-12-31</x:v>
      </x:c>
    </x:row>
    <x:row r="352" ht="22" customHeight="1">
      <x:c r="A352" s="15" t="str">
        <x:f>"08103900"</x:f>
        <x:v>08103900</x:v>
      </x:c>
      <x:c r="B352" s="12" t="n">
        <x:v>42</x:v>
      </x:c>
      <x:c r="C352" s="12" t="n">
        <x:v>1918</x:v>
      </x:c>
      <x:c r="D352" s="10" t="n">
        <x:v>0.08297867794180347</x:v>
      </x:c>
      <x:c r="E352" s="10" t="n">
        <x:v>-0.03339966717690457</x:v>
      </x:c>
      <x:c r="F352" s="17" t="n">
        <x:v>49.34966656330845</x:v>
      </x:c>
      <x:c r="G352" s="17" t="n">
        <x:v>7.143740763071408</x:v>
      </x:c>
      <x:c r="H352" s="17" t="n">
        <x:v>1.5603114215177056</x:v>
      </x:c>
      <x:c r="I352" s="12" t="n">
        <x:v>256</x:v>
      </x:c>
      <x:c r="J352" s="12" t="n">
        <x:v>2</x:v>
      </x:c>
      <x:c r="K352" s="19" t="n">
        <x:v>0.002713975339231919</x:v>
      </x:c>
      <x:c r="L352" s="19" t="n">
        <x:v>0</x:v>
      </x:c>
      <x:c r="M352" s="19" t="n">
        <x:v>0.0001</x:v>
      </x:c>
      <x:c r="N352" s="12" t="n">
        <x:v>20</x:v>
      </x:c>
      <x:c r="O352" s="10" t="n">
        <x:v>2.156186580657959</x:v>
      </x:c>
      <x:c r="P352" s="22" t="n">
        <x:v>47.398506495170295</x:v>
      </x:c>
      <x:c r="Q352" s="26" t="str">
        <x:v>2009-10-01</x:v>
      </x:c>
      <x:c r="R352" s="26" t="str">
        <x:v>2014-12-31</x:v>
      </x:c>
    </x:row>
    <x:row r="353" ht="22" customHeight="1">
      <x:c r="A353" s="15" t="str">
        <x:f>"08104900"</x:f>
        <x:v>08104900</x:v>
      </x:c>
      <x:c r="B353" s="12" t="n">
        <x:v>42</x:v>
      </x:c>
      <x:c r="C353" s="12" t="n">
        <x:v>1918</x:v>
      </x:c>
      <x:c r="D353" s="10" t="n">
        <x:v>0.05614377950889515</x:v>
      </x:c>
      <x:c r="E353" s="10" t="n">
        <x:v>0.01848011945326522</x:v>
      </x:c>
      <x:c r="F353" s="17" t="n">
        <x:v>174.25305561538025</x:v>
      </x:c>
      <x:c r="G353" s="17" t="n">
        <x:v>30.183868401176742</x:v>
      </x:c>
      <x:c r="H353" s="17" t="n">
        <x:v>10.112542583868093</x:v>
      </x:c>
      <x:c r="I353" s="12" t="n">
        <x:v>256</x:v>
      </x:c>
      <x:c r="J353" s="12" t="n">
        <x:v>2</x:v>
      </x:c>
      <x:c r="K353" s="19" t="n">
        <x:v>0.002713975339231919</x:v>
      </x:c>
      <x:c r="L353" s="19" t="n">
        <x:v>0</x:v>
      </x:c>
      <x:c r="M353" s="19" t="n">
        <x:v>0.0001</x:v>
      </x:c>
      <x:c r="N353" s="12" t="n">
        <x:v>2</x:v>
      </x:c>
      <x:c r="O353" s="10" t="n">
        <x:v>2.7866628170013428</x:v>
      </x:c>
      <x:c r="P353" s="22" t="n">
        <x:v>47.270907651633024</x:v>
      </x:c>
      <x:c r="Q353" s="26" t="str">
        <x:v>2009-10-01</x:v>
      </x:c>
      <x:c r="R353" s="26" t="str">
        <x:v>2014-12-31</x:v>
      </x:c>
    </x:row>
    <x:row r="354" ht="22" customHeight="1">
      <x:c r="A354" s="15" t="str">
        <x:f>"08109700"</x:f>
        <x:v>08109700</x:v>
      </x:c>
      <x:c r="B354" s="12" t="n">
        <x:v>42</x:v>
      </x:c>
      <x:c r="C354" s="12" t="n">
        <x:v>1918</x:v>
      </x:c>
      <x:c r="D354" s="10" t="n">
        <x:v>0.40806117120888863</x:v>
      </x:c>
      <x:c r="E354" s="10" t="n">
        <x:v>0.2244534651247101</x:v>
      </x:c>
      <x:c r="F354" s="17" t="n">
        <x:v>76.73506964264685</x:v>
      </x:c>
      <x:c r="G354" s="17" t="n">
        <x:v>29.462592408029717</x:v>
      </x:c>
      <x:c r="H354" s="17" t="n">
        <x:v>18.158064639622</x:v>
      </x:c>
      <x:c r="I354" s="12" t="n">
        <x:v>256</x:v>
      </x:c>
      <x:c r="J354" s="12" t="n">
        <x:v>2</x:v>
      </x:c>
      <x:c r="K354" s="19" t="n">
        <x:v>0.002713975339231919</x:v>
      </x:c>
      <x:c r="L354" s="19" t="n">
        <x:v>0</x:v>
      </x:c>
      <x:c r="M354" s="19" t="n">
        <x:v>0.0001</x:v>
      </x:c>
      <x:c r="N354" s="12" t="n">
        <x:v>11</x:v>
      </x:c>
      <x:c r="O354" s="10" t="n">
        <x:v>0.1388496309518814</x:v>
      </x:c>
      <x:c r="P354" s="22" t="n">
        <x:v>46.77355885878205</x:v>
      </x:c>
      <x:c r="Q354" s="26" t="str">
        <x:v>2009-10-01</x:v>
      </x:c>
      <x:c r="R354" s="26" t="str">
        <x:v>2014-12-31</x:v>
      </x:c>
    </x:row>
    <x:row r="355" ht="22" customHeight="1">
      <x:c r="A355" s="15" t="str">
        <x:f>"08150800"</x:f>
        <x:v>08150800</x:v>
      </x:c>
      <x:c r="B355" s="12" t="n">
        <x:v>42</x:v>
      </x:c>
      <x:c r="C355" s="12" t="n">
        <x:v>1918</x:v>
      </x:c>
      <x:c r="D355" s="10" t="n">
        <x:v>0.17337502838827</x:v>
      </x:c>
      <x:c r="E355" s="10" t="n">
        <x:v>0.09728482716650333</x:v>
      </x:c>
      <x:c r="F355" s="17" t="n">
        <x:v>59.93544829838784</x:v>
      </x:c>
      <x:c r="G355" s="17" t="n">
        <x:v>9.864932678223846</x:v>
      </x:c>
      <x:c r="H355" s="17" t="n">
        <x:v>-3.4030545977115634</x:v>
      </x:c>
      <x:c r="I355" s="12" t="n">
        <x:v>256</x:v>
      </x:c>
      <x:c r="J355" s="12" t="n">
        <x:v>2</x:v>
      </x:c>
      <x:c r="K355" s="19" t="n">
        <x:v>0.002713975339231919</x:v>
      </x:c>
      <x:c r="L355" s="19" t="n">
        <x:v>0</x:v>
      </x:c>
      <x:c r="M355" s="19" t="n">
        <x:v>0.0001</x:v>
      </x:c>
      <x:c r="N355" s="12" t="n">
        <x:v>4</x:v>
      </x:c>
      <x:c r="O355" s="10" t="n">
        <x:v>0.6260802745819092</x:v>
      </x:c>
      <x:c r="P355" s="22" t="n">
        <x:v>46.50697057321668</x:v>
      </x:c>
      <x:c r="Q355" s="26" t="str">
        <x:v>2009-10-01</x:v>
      </x:c>
      <x:c r="R355" s="26" t="str">
        <x:v>2014-12-31</x:v>
      </x:c>
    </x:row>
    <x:row r="356" ht="22" customHeight="1">
      <x:c r="A356" s="15" t="str">
        <x:f>"08158700"</x:f>
        <x:v>08158700</x:v>
      </x:c>
      <x:c r="B356" s="12" t="n">
        <x:v>42</x:v>
      </x:c>
      <x:c r="C356" s="12" t="n">
        <x:v>1918</x:v>
      </x:c>
      <x:c r="D356" s="10" t="n">
        <x:v>0.16145778343717343</x:v>
      </x:c>
      <x:c r="E356" s="10" t="n">
        <x:v>0.2177182876887812</x:v>
      </x:c>
      <x:c r="F356" s="17" t="n">
        <x:v>113.86360472640163</x:v>
      </x:c>
      <x:c r="G356" s="17" t="n">
        <x:v>20.105850300720018</x:v>
      </x:c>
      <x:c r="H356" s="17" t="n">
        <x:v>1.9801556091141823</x:v>
      </x:c>
      <x:c r="I356" s="12" t="n">
        <x:v>256</x:v>
      </x:c>
      <x:c r="J356" s="12" t="n">
        <x:v>2</x:v>
      </x:c>
      <x:c r="K356" s="19" t="n">
        <x:v>0.002713975339231919</x:v>
      </x:c>
      <x:c r="L356" s="19" t="n">
        <x:v>0</x:v>
      </x:c>
      <x:c r="M356" s="19" t="n">
        <x:v>0.0001</x:v>
      </x:c>
      <x:c r="N356" s="12" t="n">
        <x:v>9</x:v>
      </x:c>
      <x:c r="O356" s="10" t="n">
        <x:v>0.5104843974113464</x:v>
      </x:c>
      <x:c r="P356" s="22" t="n">
        <x:v>46.71500364411622</x:v>
      </x:c>
      <x:c r="Q356" s="26" t="str">
        <x:v>2009-10-01</x:v>
      </x:c>
      <x:c r="R356" s="26" t="str">
        <x:v>2014-12-31</x:v>
      </x:c>
    </x:row>
    <x:row r="357" ht="22" customHeight="1">
      <x:c r="A357" s="15" t="str">
        <x:f>"08158810"</x:f>
        <x:v>08158810</x:v>
      </x:c>
      <x:c r="B357" s="12" t="n">
        <x:v>42</x:v>
      </x:c>
      <x:c r="C357" s="12" t="n">
        <x:v>1918</x:v>
      </x:c>
      <x:c r="D357" s="10" t="n">
        <x:v>0.0806273698932164</x:v>
      </x:c>
      <x:c r="E357" s="10" t="n">
        <x:v>0.0037758086330550444</x:v>
      </x:c>
      <x:c r="F357" s="17" t="n">
        <x:v>45.561618994464446</x:v>
      </x:c>
      <x:c r="G357" s="17" t="n">
        <x:v>5.05552555011001</x:v>
      </x:c>
      <x:c r="H357" s="17" t="n">
        <x:v>-1.1021819780964546</x:v>
      </x:c>
      <x:c r="I357" s="12" t="n">
        <x:v>256</x:v>
      </x:c>
      <x:c r="J357" s="12" t="n">
        <x:v>2</x:v>
      </x:c>
      <x:c r="K357" s="19" t="n">
        <x:v>0.002713975339231919</x:v>
      </x:c>
      <x:c r="L357" s="19" t="n">
        <x:v>0</x:v>
      </x:c>
      <x:c r="M357" s="19" t="n">
        <x:v>0.0001</x:v>
      </x:c>
      <x:c r="N357" s="12" t="n">
        <x:v>23</x:v>
      </x:c>
      <x:c r="O357" s="10" t="n">
        <x:v>0.504020631313324</x:v>
      </x:c>
      <x:c r="P357" s="22" t="n">
        <x:v>46.751585733145475</x:v>
      </x:c>
      <x:c r="Q357" s="26" t="str">
        <x:v>2009-10-01</x:v>
      </x:c>
      <x:c r="R357" s="26" t="str">
        <x:v>2014-12-31</x:v>
      </x:c>
    </x:row>
    <x:row r="358" ht="22" customHeight="1">
      <x:c r="A358" s="15" t="str">
        <x:f>"08164000"</x:f>
        <x:v>08164000</x:v>
      </x:c>
      <x:c r="B358" s="12" t="n">
        <x:v>42</x:v>
      </x:c>
      <x:c r="C358" s="12" t="n">
        <x:v>1918</x:v>
      </x:c>
      <x:c r="D358" s="10" t="n">
        <x:v>0.6884218659792947</x:v>
      </x:c>
      <x:c r="E358" s="10" t="n">
        <x:v>0.8317843517570329</x:v>
      </x:c>
      <x:c r="F358" s="17" t="n">
        <x:v>433.01302392209107</x:v>
      </x:c>
      <x:c r="G358" s="17" t="n">
        <x:v>178.72451883577014</x:v>
      </x:c>
      <x:c r="H358" s="17" t="n">
        <x:v>-10.021041904947413</x:v>
      </x:c>
      <x:c r="I358" s="12" t="n">
        <x:v>256</x:v>
      </x:c>
      <x:c r="J358" s="12" t="n">
        <x:v>2</x:v>
      </x:c>
      <x:c r="K358" s="19" t="n">
        <x:v>0.002713975339231919</x:v>
      </x:c>
      <x:c r="L358" s="19" t="n">
        <x:v>0</x:v>
      </x:c>
      <x:c r="M358" s="19" t="n">
        <x:v>0.0001</x:v>
      </x:c>
      <x:c r="N358" s="12" t="n">
        <x:v>12</x:v>
      </x:c>
      <x:c r="O358" s="10" t="n">
        <x:v>0.06207052990794182</x:v>
      </x:c>
      <x:c r="P358" s="22" t="n">
        <x:v>46.912139397114515</x:v>
      </x:c>
      <x:c r="Q358" s="26" t="str">
        <x:v>2009-10-01</x:v>
      </x:c>
      <x:c r="R358" s="26" t="str">
        <x:v>2014-12-31</x:v>
      </x:c>
    </x:row>
    <x:row r="359" ht="22" customHeight="1">
      <x:c r="A359" s="15" t="str">
        <x:f>"08164300"</x:f>
        <x:v>08164300</x:v>
      </x:c>
      <x:c r="B359" s="12" t="n">
        <x:v>42</x:v>
      </x:c>
      <x:c r="C359" s="12" t="n">
        <x:v>1918</x:v>
      </x:c>
      <x:c r="D359" s="10" t="n">
        <x:v>0.22267856813428732</x:v>
      </x:c>
      <x:c r="E359" s="10" t="n">
        <x:v>0.5259915226645886</x:v>
      </x:c>
      <x:c r="F359" s="17" t="n">
        <x:v>217.11512274819754</x:v>
      </x:c>
      <x:c r="G359" s="17" t="n">
        <x:v>74.10041872773358</x:v>
      </x:c>
      <x:c r="H359" s="17" t="n">
        <x:v>-4.927623147179877</x:v>
      </x:c>
      <x:c r="I359" s="12" t="n">
        <x:v>256</x:v>
      </x:c>
      <x:c r="J359" s="12" t="n">
        <x:v>2</x:v>
      </x:c>
      <x:c r="K359" s="19" t="n">
        <x:v>0.002713975339231919</x:v>
      </x:c>
      <x:c r="L359" s="19" t="n">
        <x:v>0</x:v>
      </x:c>
      <x:c r="M359" s="19" t="n">
        <x:v>0.0001</x:v>
      </x:c>
      <x:c r="N359" s="12" t="n">
        <x:v>22</x:v>
      </x:c>
      <x:c r="O359" s="10" t="n">
        <x:v>0.269290566444397</x:v>
      </x:c>
      <x:c r="P359" s="22" t="n">
        <x:v>46.82391408830881</x:v>
      </x:c>
      <x:c r="Q359" s="26" t="str">
        <x:v>2009-10-01</x:v>
      </x:c>
      <x:c r="R359" s="26" t="str">
        <x:v>2014-12-31</x:v>
      </x:c>
    </x:row>
    <x:row r="360" ht="22" customHeight="1">
      <x:c r="A360" s="15" t="str">
        <x:f>"08164600"</x:f>
        <x:v>08164600</x:v>
      </x:c>
      <x:c r="B360" s="12" t="n">
        <x:v>42</x:v>
      </x:c>
      <x:c r="C360" s="12" t="n">
        <x:v>1918</x:v>
      </x:c>
      <x:c r="D360" s="10" t="n">
        <x:v>0.07808315494323459</x:v>
      </x:c>
      <x:c r="E360" s="10" t="n">
        <x:v>0.32204285475249506</x:v>
      </x:c>
      <x:c r="F360" s="17" t="n">
        <x:v>129.921231550376</x:v>
      </x:c>
      <x:c r="G360" s="17" t="n">
        <x:v>25.54424171755059</x:v>
      </x:c>
      <x:c r="H360" s="17" t="n">
        <x:v>10.50058237830933</x:v>
      </x:c>
      <x:c r="I360" s="12" t="n">
        <x:v>256</x:v>
      </x:c>
      <x:c r="J360" s="12" t="n">
        <x:v>2</x:v>
      </x:c>
      <x:c r="K360" s="19" t="n">
        <x:v>0.002713975339231919</x:v>
      </x:c>
      <x:c r="L360" s="19" t="n">
        <x:v>0</x:v>
      </x:c>
      <x:c r="M360" s="19" t="n">
        <x:v>0.0001</x:v>
      </x:c>
      <x:c r="N360" s="12" t="n">
        <x:v>6</x:v>
      </x:c>
      <x:c r="O360" s="10" t="n">
        <x:v>0.19305315613746643</x:v>
      </x:c>
      <x:c r="P360" s="22" t="n">
        <x:v>46.86788563989103</x:v>
      </x:c>
      <x:c r="Q360" s="26" t="str">
        <x:v>2009-10-01</x:v>
      </x:c>
      <x:c r="R360" s="26" t="str">
        <x:v>2014-12-31</x:v>
      </x:c>
    </x:row>
    <x:row r="361" ht="22" customHeight="1">
      <x:c r="A361" s="15" t="str">
        <x:f>"08165300"</x:f>
        <x:v>08165300</x:v>
      </x:c>
      <x:c r="B361" s="12" t="n">
        <x:v>42</x:v>
      </x:c>
      <x:c r="C361" s="12" t="n">
        <x:v>1918</x:v>
      </x:c>
      <x:c r="D361" s="10" t="n">
        <x:v>0.06153420903476425</x:v>
      </x:c>
      <x:c r="E361" s="10" t="n">
        <x:v>-0.31379135575972716</x:v>
      </x:c>
      <x:c r="F361" s="17" t="n">
        <x:v>37.62254961449274</x:v>
      </x:c>
      <x:c r="G361" s="17" t="n">
        <x:v>19.13191287347758</x:v>
      </x:c>
      <x:c r="H361" s="17" t="n">
        <x:v>15.705037730620436</x:v>
      </x:c>
      <x:c r="I361" s="12" t="n">
        <x:v>256</x:v>
      </x:c>
      <x:c r="J361" s="12" t="n">
        <x:v>2</x:v>
      </x:c>
      <x:c r="K361" s="19" t="n">
        <x:v>0.002713975339231919</x:v>
      </x:c>
      <x:c r="L361" s="19" t="n">
        <x:v>0</x:v>
      </x:c>
      <x:c r="M361" s="19" t="n">
        <x:v>0.0001</x:v>
      </x:c>
      <x:c r="N361" s="12" t="n">
        <x:v>11</x:v>
      </x:c>
      <x:c r="O361" s="10" t="n">
        <x:v>0.017214257270097733</x:v>
      </x:c>
      <x:c r="P361" s="22" t="n">
        <x:v>46.94485632330179</x:v>
      </x:c>
      <x:c r="Q361" s="26" t="str">
        <x:v>2009-10-01</x:v>
      </x:c>
      <x:c r="R361" s="26" t="str">
        <x:v>2014-12-31</x:v>
      </x:c>
    </x:row>
    <x:row r="362" ht="22" customHeight="1">
      <x:c r="A362" s="15" t="str">
        <x:f>"08171300"</x:f>
        <x:v>08171300</x:v>
      </x:c>
      <x:c r="B362" s="12" t="n">
        <x:v>42</x:v>
      </x:c>
      <x:c r="C362" s="12" t="n">
        <x:v>1918</x:v>
      </x:c>
      <x:c r="D362" s="10" t="n">
        <x:v>-0.4537376445898589</x:v>
      </x:c>
      <x:c r="E362" s="10" t="n">
        <x:v>-0.00020507694430627055</x:v>
      </x:c>
      <x:c r="F362" s="17" t="n">
        <x:v>509.72247536801643</x:v>
      </x:c>
      <x:c r="G362" s="17" t="n">
        <x:v>81.39631838062931</x:v>
      </x:c>
      <x:c r="H362" s="17" t="n">
        <x:v>39.18110673441137</x:v>
      </x:c>
      <x:c r="I362" s="12" t="n">
        <x:v>256</x:v>
      </x:c>
      <x:c r="J362" s="12" t="n">
        <x:v>2</x:v>
      </x:c>
      <x:c r="K362" s="19" t="n">
        <x:v>0.002713975339231919</x:v>
      </x:c>
      <x:c r="L362" s="19" t="n">
        <x:v>0</x:v>
      </x:c>
      <x:c r="M362" s="19" t="n">
        <x:v>0.0001</x:v>
      </x:c>
      <x:c r="N362" s="12" t="n">
        <x:v>27</x:v>
      </x:c>
      <x:c r="O362" s="10" t="n">
        <x:v>0.2921866774559021</x:v>
      </x:c>
      <x:c r="P362" s="22" t="n">
        <x:v>46.959285048767924</x:v>
      </x:c>
      <x:c r="Q362" s="26" t="str">
        <x:v>2009-10-01</x:v>
      </x:c>
      <x:c r="R362" s="26" t="str">
        <x:v>2014-12-31</x:v>
      </x:c>
    </x:row>
    <x:row r="363" ht="22" customHeight="1">
      <x:c r="A363" s="15" t="str">
        <x:f>"08175000"</x:f>
        <x:v>08175000</x:v>
      </x:c>
      <x:c r="B363" s="12" t="n">
        <x:v>42</x:v>
      </x:c>
      <x:c r="C363" s="12" t="n">
        <x:v>1918</x:v>
      </x:c>
      <x:c r="D363" s="10" t="n">
        <x:v>0.6966133476591374</x:v>
      </x:c>
      <x:c r="E363" s="10" t="n">
        <x:v>0.7070390762664293</x:v>
      </x:c>
      <x:c r="F363" s="17" t="n">
        <x:v>283.33312122337895</x:v>
      </x:c>
      <x:c r="G363" s="17" t="n">
        <x:v>68.49010775391136</x:v>
      </x:c>
      <x:c r="H363" s="17" t="n">
        <x:v>13.705623875636078</x:v>
      </x:c>
      <x:c r="I363" s="12" t="n">
        <x:v>256</x:v>
      </x:c>
      <x:c r="J363" s="12" t="n">
        <x:v>2</x:v>
      </x:c>
      <x:c r="K363" s="19" t="n">
        <x:v>0.002713975339231919</x:v>
      </x:c>
      <x:c r="L363" s="19" t="n">
        <x:v>0</x:v>
      </x:c>
      <x:c r="M363" s="19" t="n">
        <x:v>0.0001</x:v>
      </x:c>
      <x:c r="N363" s="12" t="n">
        <x:v>18</x:v>
      </x:c>
      <x:c r="O363" s="10" t="n">
        <x:v>0.0312853567302227</x:v>
      </x:c>
      <x:c r="P363" s="22" t="n">
        <x:v>46.89304891228676</x:v>
      </x:c>
      <x:c r="Q363" s="26" t="str">
        <x:v>2009-10-01</x:v>
      </x:c>
      <x:c r="R363" s="26" t="str">
        <x:v>2014-12-31</x:v>
      </x:c>
    </x:row>
    <x:row r="364" ht="22" customHeight="1">
      <x:c r="A364" s="15" t="str">
        <x:f>"08189500"</x:f>
        <x:v>08189500</x:v>
      </x:c>
      <x:c r="B364" s="12" t="n">
        <x:v>42</x:v>
      </x:c>
      <x:c r="C364" s="12" t="n">
        <x:v>1918</x:v>
      </x:c>
      <x:c r="D364" s="10" t="n">
        <x:v>0.8305945432462529</x:v>
      </x:c>
      <x:c r="E364" s="10" t="n">
        <x:v>0.9015146475263431</x:v>
      </x:c>
      <x:c r="F364" s="17" t="n">
        <x:v>169.0058086665109</x:v>
      </x:c>
      <x:c r="G364" s="17" t="n">
        <x:v>48.69339470522575</x:v>
      </x:c>
      <x:c r="H364" s="17" t="n">
        <x:v>3.5480211065855065</x:v>
      </x:c>
      <x:c r="I364" s="12" t="n">
        <x:v>256</x:v>
      </x:c>
      <x:c r="J364" s="12" t="n">
        <x:v>2</x:v>
      </x:c>
      <x:c r="K364" s="19" t="n">
        <x:v>0.002713975339231919</x:v>
      </x:c>
      <x:c r="L364" s="19" t="n">
        <x:v>0</x:v>
      </x:c>
      <x:c r="M364" s="19" t="n">
        <x:v>0.0001</x:v>
      </x:c>
      <x:c r="N364" s="12" t="n">
        <x:v>20</x:v>
      </x:c>
      <x:c r="O364" s="10" t="n">
        <x:v>0.03836362436413765</x:v>
      </x:c>
      <x:c r="P364" s="22" t="n">
        <x:v>46.914984489791095</x:v>
      </x:c>
      <x:c r="Q364" s="26" t="str">
        <x:v>2009-10-01</x:v>
      </x:c>
      <x:c r="R364" s="26" t="str">
        <x:v>2014-12-31</x:v>
      </x:c>
    </x:row>
    <x:row r="365" ht="22" customHeight="1">
      <x:c r="A365" s="15" t="str">
        <x:f>"08190000"</x:f>
        <x:v>08190000</x:v>
      </x:c>
      <x:c r="B365" s="12" t="n">
        <x:v>42</x:v>
      </x:c>
      <x:c r="C365" s="12" t="n">
        <x:v>1918</x:v>
      </x:c>
      <x:c r="D365" s="10" t="n">
        <x:v>-2.8599958194934385</x:v>
      </x:c>
      <x:c r="E365" s="10" t="n">
        <x:v>-0.7322461943000871</x:v>
      </x:c>
      <x:c r="F365" s="17" t="n">
        <x:v>96.64922483583312</x:v>
      </x:c>
      <x:c r="G365" s="17" t="n">
        <x:v>70.39498478977059</x:v>
      </x:c>
      <x:c r="H365" s="17" t="n">
        <x:v>65.7886688574661</x:v>
      </x:c>
      <x:c r="I365" s="12" t="n">
        <x:v>256</x:v>
      </x:c>
      <x:c r="J365" s="12" t="n">
        <x:v>2</x:v>
      </x:c>
      <x:c r="K365" s="19" t="n">
        <x:v>0.002713975339231919</x:v>
      </x:c>
      <x:c r="L365" s="19" t="n">
        <x:v>0</x:v>
      </x:c>
      <x:c r="M365" s="19" t="n">
        <x:v>0.0001</x:v>
      </x:c>
      <x:c r="N365" s="12" t="n">
        <x:v>13</x:v>
      </x:c>
      <x:c r="O365" s="10" t="n">
        <x:v>0.130255326628685</x:v>
      </x:c>
      <x:c r="P365" s="22" t="n">
        <x:v>46.98129808343947</x:v>
      </x:c>
      <x:c r="Q365" s="26" t="str">
        <x:v>2009-10-01</x:v>
      </x:c>
      <x:c r="R365" s="26" t="str">
        <x:v>2014-12-31</x:v>
      </x:c>
    </x:row>
    <x:row r="366" ht="22" customHeight="1">
      <x:c r="A366" s="15" t="str">
        <x:f>"08190500"</x:f>
        <x:v>08190500</x:v>
      </x:c>
      <x:c r="B366" s="12" t="n">
        <x:v>42</x:v>
      </x:c>
      <x:c r="C366" s="12" t="n">
        <x:v>1918</x:v>
      </x:c>
      <x:c r="D366" s="10" t="n">
        <x:v>-210.88521508273357</x:v>
      </x:c>
      <x:c r="E366" s="10" t="n">
        <x:v>-85.50448560664348</x:v>
      </x:c>
      <x:c r="F366" s="17" t="n">
        <x:v>52.65773509544132</x:v>
      </x:c>
      <x:c r="G366" s="17" t="n">
        <x:v>44.82795927059906</x:v>
      </x:c>
      <x:c r="H366" s="17" t="n">
        <x:v>44.148019191340985</x:v>
      </x:c>
      <x:c r="I366" s="12" t="n">
        <x:v>256</x:v>
      </x:c>
      <x:c r="J366" s="12" t="n">
        <x:v>2</x:v>
      </x:c>
      <x:c r="K366" s="19" t="n">
        <x:v>0.002713975339231919</x:v>
      </x:c>
      <x:c r="L366" s="19" t="n">
        <x:v>0</x:v>
      </x:c>
      <x:c r="M366" s="19" t="n">
        <x:v>0.0001</x:v>
      </x:c>
      <x:c r="N366" s="12" t="n">
        <x:v>8</x:v>
      </x:c>
      <x:c r="O366" s="10" t="n">
        <x:v>0.10235722362995148</x:v>
      </x:c>
      <x:c r="P366" s="22" t="n">
        <x:v>47.01570959948003</x:v>
      </x:c>
      <x:c r="Q366" s="26" t="str">
        <x:v>2009-10-01</x:v>
      </x:c>
      <x:c r="R366" s="26" t="str">
        <x:v>2014-12-31</x:v>
      </x:c>
    </x:row>
    <x:row r="367" ht="22" customHeight="1">
      <x:c r="A367" s="15" t="str">
        <x:f>"08194200"</x:f>
        <x:v>08194200</x:v>
      </x:c>
      <x:c r="B367" s="12" t="n">
        <x:v>42</x:v>
      </x:c>
      <x:c r="C367" s="12" t="n">
        <x:v>1918</x:v>
      </x:c>
      <x:c r="D367" s="10" t="n">
        <x:v>0.43568795734362664</x:v>
      </x:c>
      <x:c r="E367" s="10" t="n">
        <x:v>0.5968301916078984</x:v>
      </x:c>
      <x:c r="F367" s="17" t="n">
        <x:v>283.71605387283523</x:v>
      </x:c>
      <x:c r="G367" s="17" t="n">
        <x:v>34.4873505382843</x:v>
      </x:c>
      <x:c r="H367" s="17" t="n">
        <x:v>-1.3130770133613838</x:v>
      </x:c>
      <x:c r="I367" s="12" t="n">
        <x:v>256</x:v>
      </x:c>
      <x:c r="J367" s="12" t="n">
        <x:v>2</x:v>
      </x:c>
      <x:c r="K367" s="19" t="n">
        <x:v>0.002713975339231919</x:v>
      </x:c>
      <x:c r="L367" s="19" t="n">
        <x:v>0</x:v>
      </x:c>
      <x:c r="M367" s="19" t="n">
        <x:v>0.0001</x:v>
      </x:c>
      <x:c r="N367" s="12" t="n">
        <x:v>17</x:v>
      </x:c>
      <x:c r="O367" s="10" t="n">
        <x:v>1.0398114919662476</x:v>
      </x:c>
      <x:c r="P367" s="22" t="n">
        <x:v>46.525773430243134</x:v>
      </x:c>
      <x:c r="Q367" s="26" t="str">
        <x:v>2009-10-01</x:v>
      </x:c>
      <x:c r="R367" s="26" t="str">
        <x:v>2014-12-31</x:v>
      </x:c>
    </x:row>
    <x:row r="368" ht="22" customHeight="1">
      <x:c r="A368" s="15" t="str">
        <x:f>"08195000"</x:f>
        <x:v>08195000</x:v>
      </x:c>
      <x:c r="B368" s="12" t="n">
        <x:v>42</x:v>
      </x:c>
      <x:c r="C368" s="12" t="n">
        <x:v>1918</x:v>
      </x:c>
      <x:c r="D368" s="10" t="n">
        <x:v>-0.58340600190997</x:v>
      </x:c>
      <x:c r="E368" s="10" t="n">
        <x:v>-0.7093178096779669</x:v>
      </x:c>
      <x:c r="F368" s="17" t="n">
        <x:v>86.1886076004067</x:v>
      </x:c>
      <x:c r="G368" s="17" t="n">
        <x:v>65.00872268653234</x:v>
      </x:c>
      <x:c r="H368" s="17" t="n">
        <x:v>59.78193218288269</x:v>
      </x:c>
      <x:c r="I368" s="12" t="n">
        <x:v>256</x:v>
      </x:c>
      <x:c r="J368" s="12" t="n">
        <x:v>2</x:v>
      </x:c>
      <x:c r="K368" s="19" t="n">
        <x:v>0.002713975339231919</x:v>
      </x:c>
      <x:c r="L368" s="19" t="n">
        <x:v>0</x:v>
      </x:c>
      <x:c r="M368" s="19" t="n">
        <x:v>0.0001</x:v>
      </x:c>
      <x:c r="N368" s="12" t="n">
        <x:v>9</x:v>
      </x:c>
      <x:c r="O368" s="10" t="n">
        <x:v>0.07860682159662247</x:v>
      </x:c>
      <x:c r="P368" s="22" t="n">
        <x:v>47.11844796035439</x:v>
      </x:c>
      <x:c r="Q368" s="26" t="str">
        <x:v>2009-10-01</x:v>
      </x:c>
      <x:c r="R368" s="26" t="str">
        <x:v>2014-12-31</x:v>
      </x:c>
    </x:row>
    <x:row r="369" ht="22" customHeight="1">
      <x:c r="A369" s="15" t="str">
        <x:f>"08196000"</x:f>
        <x:v>08196000</x:v>
      </x:c>
      <x:c r="B369" s="12" t="n">
        <x:v>42</x:v>
      </x:c>
      <x:c r="C369" s="12" t="n">
        <x:v>1918</x:v>
      </x:c>
      <x:c r="D369" s="10" t="n">
        <x:v>0.3739057216852093</x:v>
      </x:c>
      <x:c r="E369" s="10" t="n">
        <x:v>0.48548680147350043</x:v>
      </x:c>
      <x:c r="F369" s="17" t="n">
        <x:v>35.39040478802876</x:v>
      </x:c>
      <x:c r="G369" s="17" t="n">
        <x:v>10.111114947614182</x:v>
      </x:c>
      <x:c r="H369" s="17" t="n">
        <x:v>2.703650101687174</x:v>
      </x:c>
      <x:c r="I369" s="12" t="n">
        <x:v>256</x:v>
      </x:c>
      <x:c r="J369" s="12" t="n">
        <x:v>2</x:v>
      </x:c>
      <x:c r="K369" s="19" t="n">
        <x:v>0.002713975339231919</x:v>
      </x:c>
      <x:c r="L369" s="19" t="n">
        <x:v>0</x:v>
      </x:c>
      <x:c r="M369" s="19" t="n">
        <x:v>0.0001</x:v>
      </x:c>
      <x:c r="N369" s="12" t="n">
        <x:v>13</x:v>
      </x:c>
      <x:c r="O369" s="10" t="n">
        <x:v>0.061047956347465515</x:v>
      </x:c>
      <x:c r="P369" s="22" t="n">
        <x:v>47.096561098471284</x:v>
      </x:c>
      <x:c r="Q369" s="26" t="str">
        <x:v>2009-10-01</x:v>
      </x:c>
      <x:c r="R369" s="26" t="str">
        <x:v>2014-12-31</x:v>
      </x:c>
    </x:row>
    <x:row r="370" ht="22" customHeight="1">
      <x:c r="A370" s="15" t="str">
        <x:f>"08198500"</x:f>
        <x:v>08198500</x:v>
      </x:c>
      <x:c r="B370" s="12" t="n">
        <x:v>42</x:v>
      </x:c>
      <x:c r="C370" s="12" t="n">
        <x:v>1918</x:v>
      </x:c>
      <x:c r="D370" s="10" t="n">
        <x:v>0.05749043312941293</x:v>
      </x:c>
      <x:c r="E370" s="10" t="n">
        <x:v>-1.2054875316514755</x:v>
      </x:c>
      <x:c r="F370" s="17" t="n">
        <x:v>72.05172205773653</x:v>
      </x:c>
      <x:c r="G370" s="17" t="n">
        <x:v>27.534583878498438</x:v>
      </x:c>
      <x:c r="H370" s="17" t="n">
        <x:v>-10.17053337657247</x:v>
      </x:c>
      <x:c r="I370" s="12" t="n">
        <x:v>256</x:v>
      </x:c>
      <x:c r="J370" s="12" t="n">
        <x:v>2</x:v>
      </x:c>
      <x:c r="K370" s="19" t="n">
        <x:v>0.002713975339231919</x:v>
      </x:c>
      <x:c r="L370" s="19" t="n">
        <x:v>0</x:v>
      </x:c>
      <x:c r="M370" s="19" t="n">
        <x:v>0.0001</x:v>
      </x:c>
      <x:c r="N370" s="12" t="n">
        <x:v>11</x:v>
      </x:c>
      <x:c r="O370" s="10" t="n">
        <x:v>0.2293926179409027</x:v>
      </x:c>
      <x:c r="P370" s="22" t="n">
        <x:v>47.02853412460536</x:v>
      </x:c>
      <x:c r="Q370" s="26" t="str">
        <x:v>2009-10-01</x:v>
      </x:c>
      <x:c r="R370" s="26" t="str">
        <x:v>2014-12-31</x:v>
      </x:c>
    </x:row>
    <x:row r="371" ht="22" customHeight="1">
      <x:c r="A371" s="15" t="str">
        <x:f>"08200000"</x:f>
        <x:v>08200000</x:v>
      </x:c>
      <x:c r="B371" s="12" t="n">
        <x:v>42</x:v>
      </x:c>
      <x:c r="C371" s="12" t="n">
        <x:v>1918</x:v>
      </x:c>
      <x:c r="D371" s="10" t="n">
        <x:v>0.518610632213958</x:v>
      </x:c>
      <x:c r="E371" s="10" t="n">
        <x:v>0.6040025427170734</x:v>
      </x:c>
      <x:c r="F371" s="17" t="n">
        <x:v>37.3782239253496</x:v>
      </x:c>
      <x:c r="G371" s="17" t="n">
        <x:v>14.559415157409084</x:v>
      </x:c>
      <x:c r="H371" s="17" t="n">
        <x:v>4.19881795562033</x:v>
      </x:c>
      <x:c r="I371" s="12" t="n">
        <x:v>256</x:v>
      </x:c>
      <x:c r="J371" s="12" t="n">
        <x:v>2</x:v>
      </x:c>
      <x:c r="K371" s="19" t="n">
        <x:v>0.002713975339231919</x:v>
      </x:c>
      <x:c r="L371" s="19" t="n">
        <x:v>0</x:v>
      </x:c>
      <x:c r="M371" s="19" t="n">
        <x:v>0.0001</x:v>
      </x:c>
      <x:c r="N371" s="12" t="n">
        <x:v>16</x:v>
      </x:c>
      <x:c r="O371" s="10" t="n">
        <x:v>0.2896775007247925</x:v>
      </x:c>
      <x:c r="P371" s="22" t="n">
        <x:v>47.043909545987844</x:v>
      </x:c>
      <x:c r="Q371" s="26" t="str">
        <x:v>2009-10-01</x:v>
      </x:c>
      <x:c r="R371" s="26" t="str">
        <x:v>2014-12-31</x:v>
      </x:c>
    </x:row>
    <x:row r="372" ht="22" customHeight="1">
      <x:c r="A372" s="15" t="str">
        <x:f>"08202700"</x:f>
        <x:v>08202700</x:v>
      </x:c>
      <x:c r="B372" s="12" t="n">
        <x:v>42</x:v>
      </x:c>
      <x:c r="C372" s="12" t="n">
        <x:v>1918</x:v>
      </x:c>
      <x:c r="D372" s="10" t="n">
        <x:v>-0.13651465223306625</x:v>
      </x:c>
      <x:c r="E372" s="10" t="n">
        <x:v>-1.0863609047521132</x:v>
      </x:c>
      <x:c r="F372" s="17" t="n">
        <x:v>74.63093166226787</x:v>
      </x:c>
      <x:c r="G372" s="17" t="n">
        <x:v>18.15668442515537</x:v>
      </x:c>
      <x:c r="H372" s="17" t="n">
        <x:v>4.5485606369489044</x:v>
      </x:c>
      <x:c r="I372" s="12" t="n">
        <x:v>256</x:v>
      </x:c>
      <x:c r="J372" s="12" t="n">
        <x:v>2</x:v>
      </x:c>
      <x:c r="K372" s="19" t="n">
        <x:v>0.002713975339231919</x:v>
      </x:c>
      <x:c r="L372" s="19" t="n">
        <x:v>0</x:v>
      </x:c>
      <x:c r="M372" s="19" t="n">
        <x:v>0.0001</x:v>
      </x:c>
      <x:c r="N372" s="12" t="n">
        <x:v>10</x:v>
      </x:c>
      <x:c r="O372" s="10" t="n">
        <x:v>3.063591957092285</x:v>
      </x:c>
      <x:c r="P372" s="22" t="n">
        <x:v>47.10903194267303</x:v>
      </x:c>
      <x:c r="Q372" s="26" t="str">
        <x:v>2009-10-01</x:v>
      </x:c>
      <x:c r="R372" s="26" t="str">
        <x:v>2014-12-31</x:v>
      </x:c>
    </x:row>
    <x:row r="373" ht="22" customHeight="1">
      <x:c r="A373" s="15" t="str">
        <x:f>"08267500"</x:f>
        <x:v>08267500</x:v>
      </x:c>
      <x:c r="B373" s="12" t="n">
        <x:v>42</x:v>
      </x:c>
      <x:c r="C373" s="12" t="n">
        <x:v>1918</x:v>
      </x:c>
      <x:c r="D373" s="10" t="n">
        <x:v>0.9910750161725799</x:v>
      </x:c>
      <x:c r="E373" s="10" t="n">
        <x:v>0.9355457423068885</x:v>
      </x:c>
      <x:c r="F373" s="17" t="n">
        <x:v>2.5238035648143033</x:v>
      </x:c>
      <x:c r="G373" s="17" t="n">
        <x:v>1.919380055578728</x:v>
      </x:c>
      <x:c r="H373" s="17" t="n">
        <x:v>1.5151897886339933</x:v>
      </x:c>
      <x:c r="I373" s="12" t="n">
        <x:v>256</x:v>
      </x:c>
      <x:c r="J373" s="12" t="n">
        <x:v>2</x:v>
      </x:c>
      <x:c r="K373" s="19" t="n">
        <x:v>0.002713975339231919</x:v>
      </x:c>
      <x:c r="L373" s="19" t="n">
        <x:v>0</x:v>
      </x:c>
      <x:c r="M373" s="19" t="n">
        <x:v>0.0001</x:v>
      </x:c>
      <x:c r="N373" s="12" t="n">
        <x:v>19</x:v>
      </x:c>
      <x:c r="O373" s="10" t="n">
        <x:v>0.013963878154754639</x:v>
      </x:c>
      <x:c r="P373" s="22" t="n">
        <x:v>47.088351619429886</x:v>
      </x:c>
      <x:c r="Q373" s="26" t="str">
        <x:v>2009-10-01</x:v>
      </x:c>
      <x:c r="R373" s="26" t="str">
        <x:v>2014-12-31</x:v>
      </x:c>
    </x:row>
    <x:row r="374" ht="22" customHeight="1">
      <x:c r="A374" s="15" t="str">
        <x:f>"08269000"</x:f>
        <x:v>08269000</x:v>
      </x:c>
      <x:c r="B374" s="12" t="n">
        <x:v>42</x:v>
      </x:c>
      <x:c r="C374" s="12" t="n">
        <x:v>1918</x:v>
      </x:c>
      <x:c r="D374" s="10" t="n">
        <x:v>0.9942196722812693</x:v>
      </x:c>
      <x:c r="E374" s="10" t="n">
        <x:v>0.9749899551978394</x:v>
      </x:c>
      <x:c r="F374" s="17" t="n">
        <x:v>1.9793539795654798</x:v>
      </x:c>
      <x:c r="G374" s="17" t="n">
        <x:v>1.1940961372262775</x:v>
      </x:c>
      <x:c r="H374" s="17" t="n">
        <x:v>0.37651047632950996</x:v>
      </x:c>
      <x:c r="I374" s="12" t="n">
        <x:v>256</x:v>
      </x:c>
      <x:c r="J374" s="12" t="n">
        <x:v>2</x:v>
      </x:c>
      <x:c r="K374" s="19" t="n">
        <x:v>0.002713975339231919</x:v>
      </x:c>
      <x:c r="L374" s="19" t="n">
        <x:v>0</x:v>
      </x:c>
      <x:c r="M374" s="19" t="n">
        <x:v>0.0001</x:v>
      </x:c>
      <x:c r="N374" s="12" t="n">
        <x:v>23</x:v>
      </x:c>
      <x:c r="O374" s="10" t="n">
        <x:v>0.003794379299506545</x:v>
      </x:c>
      <x:c r="P374" s="22" t="n">
        <x:v>47.252121802419424</x:v>
      </x:c>
      <x:c r="Q374" s="26" t="str">
        <x:v>2009-10-01</x:v>
      </x:c>
      <x:c r="R374" s="26" t="str">
        <x:v>2014-12-31</x:v>
      </x:c>
    </x:row>
    <x:row r="375" ht="22" customHeight="1">
      <x:c r="A375" s="15" t="str">
        <x:f>"08271000"</x:f>
        <x:v>08271000</x:v>
      </x:c>
      <x:c r="B375" s="12" t="n">
        <x:v>42</x:v>
      </x:c>
      <x:c r="C375" s="12" t="n">
        <x:v>1918</x:v>
      </x:c>
      <x:c r="D375" s="10" t="n">
        <x:v>0.9892366593016089</x:v>
      </x:c>
      <x:c r="E375" s="10" t="n">
        <x:v>0.9630965439732728</x:v>
      </x:c>
      <x:c r="F375" s="17" t="n">
        <x:v>1.5974504899804214</x:v>
      </x:c>
      <x:c r="G375" s="17" t="n">
        <x:v>0.9746132078206464</x:v>
      </x:c>
      <x:c r="H375" s="17" t="n">
        <x:v>0.4754866533889468</x:v>
      </x:c>
      <x:c r="I375" s="12" t="n">
        <x:v>256</x:v>
      </x:c>
      <x:c r="J375" s="12" t="n">
        <x:v>2</x:v>
      </x:c>
      <x:c r="K375" s="19" t="n">
        <x:v>0.002713975339231919</x:v>
      </x:c>
      <x:c r="L375" s="19" t="n">
        <x:v>0</x:v>
      </x:c>
      <x:c r="M375" s="19" t="n">
        <x:v>0.0001</x:v>
      </x:c>
      <x:c r="N375" s="12" t="n">
        <x:v>10</x:v>
      </x:c>
      <x:c r="O375" s="10" t="n">
        <x:v>0.006176488008350134</x:v>
      </x:c>
      <x:c r="P375" s="22" t="n">
        <x:v>47.247441723011434</x:v>
      </x:c>
      <x:c r="Q375" s="26" t="str">
        <x:v>2009-10-01</x:v>
      </x:c>
      <x:c r="R375" s="26" t="str">
        <x:v>2014-12-31</x:v>
      </x:c>
    </x:row>
    <x:row r="376" ht="22" customHeight="1">
      <x:c r="A376" s="15" t="str">
        <x:f>"08324000"</x:f>
        <x:v>08324000</x:v>
      </x:c>
      <x:c r="B376" s="12" t="n">
        <x:v>42</x:v>
      </x:c>
      <x:c r="C376" s="12" t="n">
        <x:v>1918</x:v>
      </x:c>
      <x:c r="D376" s="10" t="n">
        <x:v>0.8743677121367385</x:v>
      </x:c>
      <x:c r="E376" s="10" t="n">
        <x:v>0.9222597952138639</x:v>
      </x:c>
      <x:c r="F376" s="17" t="n">
        <x:v>20.263539567876013</x:v>
      </x:c>
      <x:c r="G376" s="17" t="n">
        <x:v>6.672683585245048</x:v>
      </x:c>
      <x:c r="H376" s="17" t="n">
        <x:v>1.5581766825338892</x:v>
      </x:c>
      <x:c r="I376" s="12" t="n">
        <x:v>256</x:v>
      </x:c>
      <x:c r="J376" s="12" t="n">
        <x:v>2</x:v>
      </x:c>
      <x:c r="K376" s="19" t="n">
        <x:v>0.002713975339231919</x:v>
      </x:c>
      <x:c r="L376" s="19" t="n">
        <x:v>0</x:v>
      </x:c>
      <x:c r="M376" s="19" t="n">
        <x:v>0.0001</x:v>
      </x:c>
      <x:c r="N376" s="12" t="n">
        <x:v>12</x:v>
      </x:c>
      <x:c r="O376" s="10" t="n">
        <x:v>0.016929475590586662</x:v>
      </x:c>
      <x:c r="P376" s="22" t="n">
        <x:v>47.118028840981424</x:v>
      </x:c>
      <x:c r="Q376" s="26" t="str">
        <x:v>2009-10-01</x:v>
      </x:c>
      <x:c r="R376" s="26" t="str">
        <x:v>2014-12-31</x:v>
      </x:c>
    </x:row>
    <x:row r="377" ht="22" customHeight="1">
      <x:c r="A377" s="15" t="str">
        <x:f>"08377900"</x:f>
        <x:v>08377900</x:v>
      </x:c>
      <x:c r="B377" s="12" t="n">
        <x:v>42</x:v>
      </x:c>
      <x:c r="C377" s="12" t="n">
        <x:v>1918</x:v>
      </x:c>
      <x:c r="D377" s="10" t="n">
        <x:v>0.8409931863915691</x:v>
      </x:c>
      <x:c r="E377" s="10" t="n">
        <x:v>0.9167593914528955</x:v>
      </x:c>
      <x:c r="F377" s="17" t="n">
        <x:v>13.683900637251522</x:v>
      </x:c>
      <x:c r="G377" s="17" t="n">
        <x:v>2.902566032638165</x:v>
      </x:c>
      <x:c r="H377" s="17" t="n">
        <x:v>0.2448895394160584</x:v>
      </x:c>
      <x:c r="I377" s="12" t="n">
        <x:v>256</x:v>
      </x:c>
      <x:c r="J377" s="12" t="n">
        <x:v>2</x:v>
      </x:c>
      <x:c r="K377" s="19" t="n">
        <x:v>0.002713975339231919</x:v>
      </x:c>
      <x:c r="L377" s="19" t="n">
        <x:v>0</x:v>
      </x:c>
      <x:c r="M377" s="19" t="n">
        <x:v>0.0001</x:v>
      </x:c>
      <x:c r="N377" s="12" t="n">
        <x:v>11</x:v>
      </x:c>
      <x:c r="O377" s="10" t="n">
        <x:v>0.012754430994391441</x:v>
      </x:c>
      <x:c r="P377" s="22" t="n">
        <x:v>47.247107569128275</x:v>
      </x:c>
      <x:c r="Q377" s="26" t="str">
        <x:v>2009-10-01</x:v>
      </x:c>
      <x:c r="R377" s="26" t="str">
        <x:v>2014-12-31</x:v>
      </x:c>
    </x:row>
    <x:row r="378" ht="22" customHeight="1">
      <x:c r="A378" s="15" t="str">
        <x:f>"08378500"</x:f>
        <x:v>08378500</x:v>
      </x:c>
      <x:c r="B378" s="12" t="n">
        <x:v>42</x:v>
      </x:c>
      <x:c r="C378" s="12" t="n">
        <x:v>1918</x:v>
      </x:c>
      <x:c r="D378" s="10" t="n">
        <x:v>0.7955927247889857</x:v>
      </x:c>
      <x:c r="E378" s="10" t="n">
        <x:v>0.8963289735274889</x:v>
      </x:c>
      <x:c r="F378" s="17" t="n">
        <x:v>37.60137190983657</x:v>
      </x:c>
      <x:c r="G378" s="17" t="n">
        <x:v>6.94389144004171</x:v>
      </x:c>
      <x:c r="H378" s="17" t="n">
        <x:v>0.9624933336809174</x:v>
      </x:c>
      <x:c r="I378" s="12" t="n">
        <x:v>256</x:v>
      </x:c>
      <x:c r="J378" s="12" t="n">
        <x:v>2</x:v>
      </x:c>
      <x:c r="K378" s="19" t="n">
        <x:v>0.002713975339231919</x:v>
      </x:c>
      <x:c r="L378" s="19" t="n">
        <x:v>0</x:v>
      </x:c>
      <x:c r="M378" s="19" t="n">
        <x:v>0.0001</x:v>
      </x:c>
      <x:c r="N378" s="12" t="n">
        <x:v>13</x:v>
      </x:c>
      <x:c r="O378" s="10" t="n">
        <x:v>0.00865340419113636</x:v>
      </x:c>
      <x:c r="P378" s="22" t="n">
        <x:v>47.250189318321645</x:v>
      </x:c>
      <x:c r="Q378" s="26" t="str">
        <x:v>2009-10-01</x:v>
      </x:c>
      <x:c r="R378" s="26" t="str">
        <x:v>2014-12-31</x:v>
      </x:c>
    </x:row>
    <x:row r="379" ht="22" customHeight="1">
      <x:c r="A379" s="15" t="str">
        <x:f>"08380500"</x:f>
        <x:v>08380500</x:v>
      </x:c>
      <x:c r="B379" s="12" t="n">
        <x:v>42</x:v>
      </x:c>
      <x:c r="C379" s="12" t="n">
        <x:v>1918</x:v>
      </x:c>
      <x:c r="D379" s="10" t="n">
        <x:v>0.4312025905723409</x:v>
      </x:c>
      <x:c r="E379" s="10" t="n">
        <x:v>0.3851839931664457</x:v>
      </x:c>
      <x:c r="F379" s="17" t="n">
        <x:v>41.157286063201404</x:v>
      </x:c>
      <x:c r="G379" s="17" t="n">
        <x:v>4.250392903154067</x:v>
      </x:c>
      <x:c r="H379" s="17" t="n">
        <x:v>-2.164219548388686</x:v>
      </x:c>
      <x:c r="I379" s="12" t="n">
        <x:v>256</x:v>
      </x:c>
      <x:c r="J379" s="12" t="n">
        <x:v>2</x:v>
      </x:c>
      <x:c r="K379" s="19" t="n">
        <x:v>0.002713975339231919</x:v>
      </x:c>
      <x:c r="L379" s="19" t="n">
        <x:v>0</x:v>
      </x:c>
      <x:c r="M379" s="19" t="n">
        <x:v>0.0001</x:v>
      </x:c>
      <x:c r="N379" s="12" t="n">
        <x:v>6</x:v>
      </x:c>
      <x:c r="O379" s="10" t="n">
        <x:v>0.06137216463685036</x:v>
      </x:c>
      <x:c r="P379" s="22" t="n">
        <x:v>47.24642287287861</x:v>
      </x:c>
      <x:c r="Q379" s="26" t="str">
        <x:v>2009-10-01</x:v>
      </x:c>
      <x:c r="R379" s="26" t="str">
        <x:v>2014-12-31</x:v>
      </x:c>
    </x:row>
    <x:row r="380" ht="22" customHeight="1">
      <x:c r="A380" s="15" t="str">
        <x:f>"09034900"</x:f>
        <x:v>09034900</x:v>
      </x:c>
      <x:c r="B380" s="12" t="n">
        <x:v>42</x:v>
      </x:c>
      <x:c r="C380" s="12" t="n">
        <x:v>1918</x:v>
      </x:c>
      <x:c r="D380" s="10" t="n">
        <x:v>0.9829942230052712</x:v>
      </x:c>
      <x:c r="E380" s="10" t="n">
        <x:v>0.960654402339517</x:v>
      </x:c>
      <x:c r="F380" s="17" t="n">
        <x:v>2.6901152375671726</x:v>
      </x:c>
      <x:c r="G380" s="17" t="n">
        <x:v>1.0752094631908236</x:v>
      </x:c>
      <x:c r="H380" s="17" t="n">
        <x:v>-0.13224657098018766</x:v>
      </x:c>
      <x:c r="I380" s="12" t="n">
        <x:v>256</x:v>
      </x:c>
      <x:c r="J380" s="12" t="n">
        <x:v>2</x:v>
      </x:c>
      <x:c r="K380" s="19" t="n">
        <x:v>0.002713975339231919</x:v>
      </x:c>
      <x:c r="L380" s="19" t="n">
        <x:v>0</x:v>
      </x:c>
      <x:c r="M380" s="19" t="n">
        <x:v>0.0001</x:v>
      </x:c>
      <x:c r="N380" s="12" t="n">
        <x:v>11</x:v>
      </x:c>
      <x:c r="O380" s="10" t="n">
        <x:v>0.009071103297173977</x:v>
      </x:c>
      <x:c r="P380" s="22" t="n">
        <x:v>47.20063817407936</x:v>
      </x:c>
      <x:c r="Q380" s="26" t="str">
        <x:v>2009-10-01</x:v>
      </x:c>
      <x:c r="R380" s="26" t="str">
        <x:v>2014-12-31</x:v>
      </x:c>
    </x:row>
    <x:row r="381" ht="22" customHeight="1">
      <x:c r="A381" s="15" t="str">
        <x:f>"09035900"</x:f>
        <x:v>09035900</x:v>
      </x:c>
      <x:c r="B381" s="12" t="n">
        <x:v>42</x:v>
      </x:c>
      <x:c r="C381" s="12" t="n">
        <x:v>1917</x:v>
      </x:c>
      <x:c r="D381" s="10" t="n">
        <x:v>0.9896128166071232</x:v>
      </x:c>
      <x:c r="E381" s="10" t="n">
        <x:v>0.9704670734010336</x:v>
      </x:c>
      <x:c r="F381" s="17" t="n">
        <x:v>5.945717989626435</x:v>
      </x:c>
      <x:c r="G381" s="17" t="n">
        <x:v>2.361858741105894</x:v>
      </x:c>
      <x:c r="H381" s="17" t="n">
        <x:v>-0.34601934694835695</x:v>
      </x:c>
      <x:c r="I381" s="12" t="n">
        <x:v>256</x:v>
      </x:c>
      <x:c r="J381" s="12" t="n">
        <x:v>2</x:v>
      </x:c>
      <x:c r="K381" s="19" t="n">
        <x:v>0.002713975339231919</x:v>
      </x:c>
      <x:c r="L381" s="19" t="n">
        <x:v>0</x:v>
      </x:c>
      <x:c r="M381" s="19" t="n">
        <x:v>0.0001</x:v>
      </x:c>
      <x:c r="N381" s="12" t="n">
        <x:v>20</x:v>
      </x:c>
      <x:c r="O381" s="10" t="n">
        <x:v>0.0038419454358518124</x:v>
      </x:c>
      <x:c r="P381" s="22" t="n">
        <x:v>47.14748831279576</x:v>
      </x:c>
      <x:c r="Q381" s="26" t="str">
        <x:v>2009-09-26</x:v>
      </x:c>
      <x:c r="R381" s="26" t="str">
        <x:v>2014-12-25</x:v>
      </x:c>
    </x:row>
    <x:row r="382" ht="22" customHeight="1">
      <x:c r="A382" s="15" t="str">
        <x:f>"09047700"</x:f>
        <x:v>09047700</x:v>
      </x:c>
      <x:c r="B382" s="12" t="n">
        <x:v>42</x:v>
      </x:c>
      <x:c r="C382" s="12" t="n">
        <x:v>1918</x:v>
      </x:c>
      <x:c r="D382" s="10" t="n">
        <x:v>0.9794194359011873</x:v>
      </x:c>
      <x:c r="E382" s="10" t="n">
        <x:v>0.9862324057991565</x:v>
      </x:c>
      <x:c r="F382" s="17" t="n">
        <x:v>1.340917849685112</x:v>
      </x:c>
      <x:c r="G382" s="17" t="n">
        <x:v>0.49188191209593335</x:v>
      </x:c>
      <x:c r="H382" s="17" t="n">
        <x:v>-0.016544785297184526</x:v>
      </x:c>
      <x:c r="I382" s="12" t="n">
        <x:v>256</x:v>
      </x:c>
      <x:c r="J382" s="12" t="n">
        <x:v>2</x:v>
      </x:c>
      <x:c r="K382" s="19" t="n">
        <x:v>0.002713975339231919</x:v>
      </x:c>
      <x:c r="L382" s="19" t="n">
        <x:v>0</x:v>
      </x:c>
      <x:c r="M382" s="19" t="n">
        <x:v>0.0001</x:v>
      </x:c>
      <x:c r="N382" s="12" t="n">
        <x:v>17</x:v>
      </x:c>
      <x:c r="O382" s="10" t="n">
        <x:v>0.005087309516966343</x:v>
      </x:c>
      <x:c r="P382" s="22" t="n">
        <x:v>46.898152370005846</x:v>
      </x:c>
      <x:c r="Q382" s="26" t="str">
        <x:v>2009-10-01</x:v>
      </x:c>
      <x:c r="R382" s="26" t="str">
        <x:v>2014-12-31</x:v>
      </x:c>
    </x:row>
    <x:row r="383" ht="22" customHeight="1">
      <x:c r="A383" s="15" t="str">
        <x:f>"09065500"</x:f>
        <x:v>09065500</x:v>
      </x:c>
      <x:c r="B383" s="12" t="n">
        <x:v>42</x:v>
      </x:c>
      <x:c r="C383" s="12" t="n">
        <x:v>1918</x:v>
      </x:c>
      <x:c r="D383" s="10" t="n">
        <x:v>0.9737841765693624</x:v>
      </x:c>
      <x:c r="E383" s="10" t="n">
        <x:v>0.9412799353357333</x:v>
      </x:c>
      <x:c r="F383" s="17" t="n">
        <x:v>8.765800738671366</x:v>
      </x:c>
      <x:c r="G383" s="17" t="n">
        <x:v>3.4648090099582904</x:v>
      </x:c>
      <x:c r="H383" s="17" t="n">
        <x:v>-1.0513341356100103</x:v>
      </x:c>
      <x:c r="I383" s="12" t="n">
        <x:v>256</x:v>
      </x:c>
      <x:c r="J383" s="12" t="n">
        <x:v>2</x:v>
      </x:c>
      <x:c r="K383" s="19" t="n">
        <x:v>0.002713975339231919</x:v>
      </x:c>
      <x:c r="L383" s="19" t="n">
        <x:v>0</x:v>
      </x:c>
      <x:c r="M383" s="19" t="n">
        <x:v>0.0001</x:v>
      </x:c>
      <x:c r="N383" s="12" t="n">
        <x:v>21</x:v>
      </x:c>
      <x:c r="O383" s="10" t="n">
        <x:v>0.01628834754228592</x:v>
      </x:c>
      <x:c r="P383" s="22" t="n">
        <x:v>46.96124298963696</x:v>
      </x:c>
      <x:c r="Q383" s="26" t="str">
        <x:v>2009-10-01</x:v>
      </x:c>
      <x:c r="R383" s="26" t="str">
        <x:v>2014-12-31</x:v>
      </x:c>
    </x:row>
    <x:row r="384" ht="22" customHeight="1">
      <x:c r="A384" s="15" t="str">
        <x:f>"09066000"</x:f>
        <x:v>09066000</x:v>
      </x:c>
      <x:c r="B384" s="12" t="n">
        <x:v>42</x:v>
      </x:c>
      <x:c r="C384" s="12" t="n">
        <x:v>1918</x:v>
      </x:c>
      <x:c r="D384" s="10" t="n">
        <x:v>0.993195833697273</x:v>
      </x:c>
      <x:c r="E384" s="10" t="n">
        <x:v>0.9728657292470644</x:v>
      </x:c>
      <x:c r="F384" s="17" t="n">
        <x:v>3.038721850036917</x:v>
      </x:c>
      <x:c r="G384" s="17" t="n">
        <x:v>1.2409644845672576</x:v>
      </x:c>
      <x:c r="H384" s="17" t="n">
        <x:v>-0.2979834808133473</x:v>
      </x:c>
      <x:c r="I384" s="12" t="n">
        <x:v>256</x:v>
      </x:c>
      <x:c r="J384" s="12" t="n">
        <x:v>2</x:v>
      </x:c>
      <x:c r="K384" s="19" t="n">
        <x:v>0.002713975339231919</x:v>
      </x:c>
      <x:c r="L384" s="19" t="n">
        <x:v>0</x:v>
      </x:c>
      <x:c r="M384" s="19" t="n">
        <x:v>0.0001</x:v>
      </x:c>
      <x:c r="N384" s="12" t="n">
        <x:v>11</x:v>
      </x:c>
      <x:c r="O384" s="10" t="n">
        <x:v>0.004751702304929495</x:v>
      </x:c>
      <x:c r="P384" s="22" t="n">
        <x:v>46.87734532635659</x:v>
      </x:c>
      <x:c r="Q384" s="26" t="str">
        <x:v>2009-10-01</x:v>
      </x:c>
      <x:c r="R384" s="26" t="str">
        <x:v>2014-12-31</x:v>
      </x:c>
    </x:row>
    <x:row r="385" ht="22" customHeight="1">
      <x:c r="A385" s="15" t="str">
        <x:f>"09066200"</x:f>
        <x:v>09066200</x:v>
      </x:c>
      <x:c r="B385" s="12" t="n">
        <x:v>42</x:v>
      </x:c>
      <x:c r="C385" s="12" t="n">
        <x:v>1918</x:v>
      </x:c>
      <x:c r="D385" s="10" t="n">
        <x:v>0.9583303223256099</x:v>
      </x:c>
      <x:c r="E385" s="10" t="n">
        <x:v>0.9203742069150231</x:v>
      </x:c>
      <x:c r="F385" s="17" t="n">
        <x:v>4.45010503371974</x:v>
      </x:c>
      <x:c r="G385" s="17" t="n">
        <x:v>1.448780570594369</x:v>
      </x:c>
      <x:c r="H385" s="17" t="n">
        <x:v>0.27039336694473415</x:v>
      </x:c>
      <x:c r="I385" s="12" t="n">
        <x:v>256</x:v>
      </x:c>
      <x:c r="J385" s="12" t="n">
        <x:v>2</x:v>
      </x:c>
      <x:c r="K385" s="19" t="n">
        <x:v>0.002713975339231919</x:v>
      </x:c>
      <x:c r="L385" s="19" t="n">
        <x:v>0</x:v>
      </x:c>
      <x:c r="M385" s="19" t="n">
        <x:v>0.0001</x:v>
      </x:c>
      <x:c r="N385" s="12" t="n">
        <x:v>11</x:v>
      </x:c>
      <x:c r="O385" s="10" t="n">
        <x:v>0.01581062376499176</x:v>
      </x:c>
      <x:c r="P385" s="22" t="n">
        <x:v>46.935305170714855</x:v>
      </x:c>
      <x:c r="Q385" s="26" t="str">
        <x:v>2009-10-01</x:v>
      </x:c>
      <x:c r="R385" s="26" t="str">
        <x:v>2014-12-31</x:v>
      </x:c>
    </x:row>
    <x:row r="386" ht="22" customHeight="1">
      <x:c r="A386" s="15" t="str">
        <x:f>"09066300"</x:f>
        <x:v>09066300</x:v>
      </x:c>
      <x:c r="B386" s="12" t="n">
        <x:v>42</x:v>
      </x:c>
      <x:c r="C386" s="12" t="n">
        <x:v>1918</x:v>
      </x:c>
      <x:c r="D386" s="10" t="n">
        <x:v>0.9920826467545336</x:v>
      </x:c>
      <x:c r="E386" s="10" t="n">
        <x:v>0.9823261885533042</x:v>
      </x:c>
      <x:c r="F386" s="17" t="n">
        <x:v>1.009425289143367</x:v>
      </x:c>
      <x:c r="G386" s="17" t="n">
        <x:v>0.4414988802947132</x:v>
      </x:c>
      <x:c r="H386" s="17" t="n">
        <x:v>0.05155901864272151</x:v>
      </x:c>
      <x:c r="I386" s="12" t="n">
        <x:v>256</x:v>
      </x:c>
      <x:c r="J386" s="12" t="n">
        <x:v>2</x:v>
      </x:c>
      <x:c r="K386" s="19" t="n">
        <x:v>0.002713975339231919</x:v>
      </x:c>
      <x:c r="L386" s="19" t="n">
        <x:v>0</x:v>
      </x:c>
      <x:c r="M386" s="19" t="n">
        <x:v>0.0001</x:v>
      </x:c>
      <x:c r="N386" s="12" t="n">
        <x:v>13</x:v>
      </x:c>
      <x:c r="O386" s="10" t="n">
        <x:v>0.0035007819533348083</x:v>
      </x:c>
      <x:c r="P386" s="22" t="n">
        <x:v>46.96276204753667</x:v>
      </x:c>
      <x:c r="Q386" s="26" t="str">
        <x:v>2009-10-01</x:v>
      </x:c>
      <x:c r="R386" s="26" t="str">
        <x:v>2014-12-31</x:v>
      </x:c>
    </x:row>
    <x:row r="387" ht="22" customHeight="1">
      <x:c r="A387" s="15" t="str">
        <x:f>"09081600"</x:f>
        <x:v>09081600</x:v>
      </x:c>
      <x:c r="B387" s="12" t="n">
        <x:v>42</x:v>
      </x:c>
      <x:c r="C387" s="12" t="n">
        <x:v>1918</x:v>
      </x:c>
      <x:c r="D387" s="10" t="n">
        <x:v>0.9893953947355877</x:v>
      </x:c>
      <x:c r="E387" s="10" t="n">
        <x:v>0.9627682465697428</x:v>
      </x:c>
      <x:c r="F387" s="17" t="n">
        <x:v>48.87096618486868</x:v>
      </x:c>
      <x:c r="G387" s="17" t="n">
        <x:v>23.283518430135555</x:v>
      </x:c>
      <x:c r="H387" s="17" t="n">
        <x:v>-1.5940917836287773</x:v>
      </x:c>
      <x:c r="I387" s="12" t="n">
        <x:v>256</x:v>
      </x:c>
      <x:c r="J387" s="12" t="n">
        <x:v>2</x:v>
      </x:c>
      <x:c r="K387" s="19" t="n">
        <x:v>0.002713975339231919</x:v>
      </x:c>
      <x:c r="L387" s="19" t="n">
        <x:v>0</x:v>
      </x:c>
      <x:c r="M387" s="19" t="n">
        <x:v>0.0001</x:v>
      </x:c>
      <x:c r="N387" s="12" t="n">
        <x:v>27</x:v>
      </x:c>
      <x:c r="O387" s="10" t="n">
        <x:v>0.006931612733751535</x:v>
      </x:c>
      <x:c r="P387" s="22" t="n">
        <x:v>47.00518918596208</x:v>
      </x:c>
      <x:c r="Q387" s="26" t="str">
        <x:v>2009-10-01</x:v>
      </x:c>
      <x:c r="R387" s="26" t="str">
        <x:v>2014-12-31</x:v>
      </x:c>
    </x:row>
    <x:row r="388" ht="22" customHeight="1">
      <x:c r="A388" s="15" t="str">
        <x:f>"09210500"</x:f>
        <x:v>09210500</x:v>
      </x:c>
      <x:c r="B388" s="12" t="n">
        <x:v>42</x:v>
      </x:c>
      <x:c r="C388" s="12" t="n">
        <x:v>1918</x:v>
      </x:c>
      <x:c r="D388" s="10" t="n">
        <x:v>0.9884183093071223</x:v>
      </x:c>
      <x:c r="E388" s="10" t="n">
        <x:v>0.9772434927285905</x:v>
      </x:c>
      <x:c r="F388" s="17" t="n">
        <x:v>11.604902168506007</x:v>
      </x:c>
      <x:c r="G388" s="17" t="n">
        <x:v>5.775303927007299</x:v>
      </x:c>
      <x:c r="H388" s="17" t="n">
        <x:v>-1.0869456819603756</x:v>
      </x:c>
      <x:c r="I388" s="12" t="n">
        <x:v>256</x:v>
      </x:c>
      <x:c r="J388" s="12" t="n">
        <x:v>2</x:v>
      </x:c>
      <x:c r="K388" s="19" t="n">
        <x:v>0.002713975339231919</x:v>
      </x:c>
      <x:c r="L388" s="19" t="n">
        <x:v>0</x:v>
      </x:c>
      <x:c r="M388" s="19" t="n">
        <x:v>0.0001</x:v>
      </x:c>
      <x:c r="N388" s="12" t="n">
        <x:v>20</x:v>
      </x:c>
      <x:c r="O388" s="10" t="n">
        <x:v>0.008318782784044743</x:v>
      </x:c>
      <x:c r="P388" s="22" t="n">
        <x:v>47.05124067142606</x:v>
      </x:c>
      <x:c r="Q388" s="26" t="str">
        <x:v>2009-10-01</x:v>
      </x:c>
      <x:c r="R388" s="26" t="str">
        <x:v>2014-12-31</x:v>
      </x:c>
    </x:row>
    <x:row r="389" ht="22" customHeight="1">
      <x:c r="A389" s="15" t="str">
        <x:f>"09223000"</x:f>
        <x:v>09223000</x:v>
      </x:c>
      <x:c r="B389" s="12" t="n">
        <x:v>42</x:v>
      </x:c>
      <x:c r="C389" s="12" t="n">
        <x:v>1918</x:v>
      </x:c>
      <x:c r="D389" s="10" t="n">
        <x:v>0.9932377072291481</x:v>
      </x:c>
      <x:c r="E389" s="10" t="n">
        <x:v>0.9660147688664423</x:v>
      </x:c>
      <x:c r="F389" s="17" t="n">
        <x:v>14.770296120273217</x:v>
      </x:c>
      <x:c r="G389" s="17" t="n">
        <x:v>7.774386546767466</x:v>
      </x:c>
      <x:c r="H389" s="17" t="n">
        <x:v>0.5005860222627749</x:v>
      </x:c>
      <x:c r="I389" s="12" t="n">
        <x:v>256</x:v>
      </x:c>
      <x:c r="J389" s="12" t="n">
        <x:v>2</x:v>
      </x:c>
      <x:c r="K389" s="19" t="n">
        <x:v>0.002713975339231919</x:v>
      </x:c>
      <x:c r="L389" s="19" t="n">
        <x:v>0</x:v>
      </x:c>
      <x:c r="M389" s="19" t="n">
        <x:v>0.0001</x:v>
      </x:c>
      <x:c r="N389" s="12" t="n">
        <x:v>24</x:v>
      </x:c>
      <x:c r="O389" s="10" t="n">
        <x:v>0.005203085020184517</x:v>
      </x:c>
      <x:c r="P389" s="22" t="n">
        <x:v>47.108680236153305</x:v>
      </x:c>
      <x:c r="Q389" s="26" t="str">
        <x:v>2009-10-01</x:v>
      </x:c>
      <x:c r="R389" s="26" t="str">
        <x:v>2014-12-31</x:v>
      </x:c>
    </x:row>
    <x:row r="390" ht="22" customHeight="1">
      <x:c r="A390" s="15" t="str">
        <x:f>"09306242"</x:f>
        <x:v>09306242</x:v>
      </x:c>
      <x:c r="B390" s="12" t="n">
        <x:v>42</x:v>
      </x:c>
      <x:c r="C390" s="12" t="n">
        <x:v>1918</x:v>
      </x:c>
      <x:c r="D390" s="10" t="n">
        <x:v>0.9452240300558445</x:v>
      </x:c>
      <x:c r="E390" s="10" t="n">
        <x:v>0.9306001141681524</x:v>
      </x:c>
      <x:c r="F390" s="17" t="n">
        <x:v>0.16670672509062195</x:v>
      </x:c>
      <x:c r="G390" s="17" t="n">
        <x:v>0.10284012510344108</x:v>
      </x:c>
      <x:c r="H390" s="17" t="n">
        <x:v>0.023983008047758082</x:v>
      </x:c>
      <x:c r="I390" s="12" t="n">
        <x:v>256</x:v>
      </x:c>
      <x:c r="J390" s="12" t="n">
        <x:v>2</x:v>
      </x:c>
      <x:c r="K390" s="19" t="n">
        <x:v>0.002713975339231919</x:v>
      </x:c>
      <x:c r="L390" s="19" t="n">
        <x:v>0</x:v>
      </x:c>
      <x:c r="M390" s="19" t="n">
        <x:v>0.0001</x:v>
      </x:c>
      <x:c r="N390" s="12" t="n">
        <x:v>21</x:v>
      </x:c>
      <x:c r="O390" s="10" t="n">
        <x:v>0.0009404844604432583</x:v>
      </x:c>
      <x:c r="P390" s="22" t="n">
        <x:v>47.010165772400796</x:v>
      </x:c>
      <x:c r="Q390" s="26" t="str">
        <x:v>2009-10-01</x:v>
      </x:c>
      <x:c r="R390" s="26" t="str">
        <x:v>2014-12-31</x:v>
      </x:c>
    </x:row>
    <x:row r="391" ht="22" customHeight="1">
      <x:c r="A391" s="15" t="str">
        <x:f>"09312600"</x:f>
        <x:v>09312600</x:v>
      </x:c>
      <x:c r="B391" s="12" t="n">
        <x:v>42</x:v>
      </x:c>
      <x:c r="C391" s="12" t="n">
        <x:v>1918</x:v>
      </x:c>
      <x:c r="D391" s="10" t="n">
        <x:v>0.993110475806756</x:v>
      </x:c>
      <x:c r="E391" s="10" t="n">
        <x:v>0.932955664079797</x:v>
      </x:c>
      <x:c r="F391" s="17" t="n">
        <x:v>4.340415574969985</x:v>
      </x:c>
      <x:c r="G391" s="17" t="n">
        <x:v>2.3053237047601667</x:v>
      </x:c>
      <x:c r="H391" s="17" t="n">
        <x:v>0.8945602714859228</x:v>
      </x:c>
      <x:c r="I391" s="12" t="n">
        <x:v>256</x:v>
      </x:c>
      <x:c r="J391" s="12" t="n">
        <x:v>2</x:v>
      </x:c>
      <x:c r="K391" s="19" t="n">
        <x:v>0.002713975339231919</x:v>
      </x:c>
      <x:c r="L391" s="19" t="n">
        <x:v>0</x:v>
      </x:c>
      <x:c r="M391" s="19" t="n">
        <x:v>0.0001</x:v>
      </x:c>
      <x:c r="N391" s="12" t="n">
        <x:v>19</x:v>
      </x:c>
      <x:c r="O391" s="10" t="n">
        <x:v>0.006240478251129389</x:v>
      </x:c>
      <x:c r="P391" s="22" t="n">
        <x:v>47.12160619162023</x:v>
      </x:c>
      <x:c r="Q391" s="26" t="str">
        <x:v>2009-10-01</x:v>
      </x:c>
      <x:c r="R391" s="26" t="str">
        <x:v>2014-12-31</x:v>
      </x:c>
    </x:row>
    <x:row r="392" ht="22" customHeight="1">
      <x:c r="A392" s="15" t="str">
        <x:f>"09352900"</x:f>
        <x:v>09352900</x:v>
      </x:c>
      <x:c r="B392" s="12" t="n">
        <x:v>42</x:v>
      </x:c>
      <x:c r="C392" s="12" t="n">
        <x:v>1918</x:v>
      </x:c>
      <x:c r="D392" s="10" t="n">
        <x:v>0.8900275571192016</x:v>
      </x:c>
      <x:c r="E392" s="10" t="n">
        <x:v>0.9400915114314244</x:v>
      </x:c>
      <x:c r="F392" s="17" t="n">
        <x:v>49.875844019571545</x:v>
      </x:c>
      <x:c r="G392" s="17" t="n">
        <x:v>17.098852824035454</x:v>
      </x:c>
      <x:c r="H392" s="17" t="n">
        <x:v>1.994547780239833</x:v>
      </x:c>
      <x:c r="I392" s="12" t="n">
        <x:v>256</x:v>
      </x:c>
      <x:c r="J392" s="12" t="n">
        <x:v>2</x:v>
      </x:c>
      <x:c r="K392" s="19" t="n">
        <x:v>0.002713975339231919</x:v>
      </x:c>
      <x:c r="L392" s="19" t="n">
        <x:v>0</x:v>
      </x:c>
      <x:c r="M392" s="19" t="n">
        <x:v>0.0001</x:v>
      </x:c>
      <x:c r="N392" s="12" t="n">
        <x:v>12</x:v>
      </x:c>
      <x:c r="O392" s="10" t="n">
        <x:v>0.06910565495491028</x:v>
      </x:c>
      <x:c r="P392" s="22" t="n">
        <x:v>47.09027905482799</x:v>
      </x:c>
      <x:c r="Q392" s="26" t="str">
        <x:v>2009-10-01</x:v>
      </x:c>
      <x:c r="R392" s="26" t="str">
        <x:v>2014-12-31</x:v>
      </x:c>
    </x:row>
    <x:row r="393" ht="22" customHeight="1">
      <x:c r="A393" s="15" t="str">
        <x:f>"09378630"</x:f>
        <x:v>09378630</x:v>
      </x:c>
      <x:c r="B393" s="12" t="n">
        <x:v>42</x:v>
      </x:c>
      <x:c r="C393" s="12" t="n">
        <x:v>1918</x:v>
      </x:c>
      <x:c r="D393" s="10" t="n">
        <x:v>0.9377166163224792</x:v>
      </x:c>
      <x:c r="E393" s="10" t="n">
        <x:v>0.7412133319778353</x:v>
      </x:c>
      <x:c r="F393" s="17" t="n">
        <x:v>0.3670669829086768</x:v>
      </x:c>
      <x:c r="G393" s="17" t="n">
        <x:v>0.17411203113789883</x:v>
      </x:c>
      <x:c r="H393" s="17" t="n">
        <x:v>0.08651316657956726</x:v>
      </x:c>
      <x:c r="I393" s="12" t="n">
        <x:v>256</x:v>
      </x:c>
      <x:c r="J393" s="12" t="n">
        <x:v>2</x:v>
      </x:c>
      <x:c r="K393" s="19" t="n">
        <x:v>0.002713975339231919</x:v>
      </x:c>
      <x:c r="L393" s="19" t="n">
        <x:v>0</x:v>
      </x:c>
      <x:c r="M393" s="19" t="n">
        <x:v>0.0001</x:v>
      </x:c>
      <x:c r="N393" s="12" t="n">
        <x:v>3</x:v>
      </x:c>
      <x:c r="O393" s="10" t="n">
        <x:v>0.05512472614645958</x:v>
      </x:c>
      <x:c r="P393" s="22" t="n">
        <x:v>47.10657390858978</x:v>
      </x:c>
      <x:c r="Q393" s="26" t="str">
        <x:v>2009-10-01</x:v>
      </x:c>
      <x:c r="R393" s="26" t="str">
        <x:v>2014-12-31</x:v>
      </x:c>
    </x:row>
    <x:row r="394" ht="22" customHeight="1">
      <x:c r="A394" s="15" t="str">
        <x:f>"09386900"</x:f>
        <x:v>09386900</x:v>
      </x:c>
      <x:c r="B394" s="12" t="n">
        <x:v>42</x:v>
      </x:c>
      <x:c r="C394" s="12" t="n">
        <x:v>1918</x:v>
      </x:c>
      <x:c r="D394" s="10" t="n">
        <x:v>0.8259104584449399</x:v>
      </x:c>
      <x:c r="E394" s="10" t="n">
        <x:v>0.8656960108473628</x:v>
      </x:c>
      <x:c r="F394" s="17" t="n">
        <x:v>5.926429035983072</x:v>
      </x:c>
      <x:c r="G394" s="17" t="n">
        <x:v>1.1208355473253389</x:v>
      </x:c>
      <x:c r="H394" s="17" t="n">
        <x:v>0.13720009697159546</x:v>
      </x:c>
      <x:c r="I394" s="12" t="n">
        <x:v>256</x:v>
      </x:c>
      <x:c r="J394" s="12" t="n">
        <x:v>2</x:v>
      </x:c>
      <x:c r="K394" s="19" t="n">
        <x:v>0.002713975339231919</x:v>
      </x:c>
      <x:c r="L394" s="19" t="n">
        <x:v>0</x:v>
      </x:c>
      <x:c r="M394" s="19" t="n">
        <x:v>0.0001</x:v>
      </x:c>
      <x:c r="N394" s="12" t="n">
        <x:v>10</x:v>
      </x:c>
      <x:c r="O394" s="10" t="n">
        <x:v>0.0534987710416317</x:v>
      </x:c>
      <x:c r="P394" s="22" t="n">
        <x:v>47.10953412018716</x:v>
      </x:c>
      <x:c r="Q394" s="26" t="str">
        <x:v>2009-10-01</x:v>
      </x:c>
      <x:c r="R394" s="26" t="str">
        <x:v>2014-12-31</x:v>
      </x:c>
    </x:row>
    <x:row r="395" ht="22" customHeight="1">
      <x:c r="A395" s="15" t="str">
        <x:f>"09404450"</x:f>
        <x:v>09404450</x:v>
      </x:c>
      <x:c r="B395" s="12" t="n">
        <x:v>42</x:v>
      </x:c>
      <x:c r="C395" s="12" t="n">
        <x:v>1918</x:v>
      </x:c>
      <x:c r="D395" s="10" t="n">
        <x:v>0.48918407678550313</x:v>
      </x:c>
      <x:c r="E395" s="10" t="n">
        <x:v>0.5802193680568316</x:v>
      </x:c>
      <x:c r="F395" s="17" t="n">
        <x:v>16.90150140331376</x:v>
      </x:c>
      <x:c r="G395" s="17" t="n">
        <x:v>3.022387209124088</x:v>
      </x:c>
      <x:c r="H395" s="17" t="n">
        <x:v>0.08771039400417102</x:v>
      </x:c>
      <x:c r="I395" s="12" t="n">
        <x:v>256</x:v>
      </x:c>
      <x:c r="J395" s="12" t="n">
        <x:v>2</x:v>
      </x:c>
      <x:c r="K395" s="19" t="n">
        <x:v>0.002713975339231919</x:v>
      </x:c>
      <x:c r="L395" s="19" t="n">
        <x:v>0</x:v>
      </x:c>
      <x:c r="M395" s="19" t="n">
        <x:v>0.0001</x:v>
      </x:c>
      <x:c r="N395" s="12" t="n">
        <x:v>13</x:v>
      </x:c>
      <x:c r="O395" s="10" t="n">
        <x:v>0.11847835779190063</x:v>
      </x:c>
      <x:c r="P395" s="22" t="n">
        <x:v>46.905973807908595</x:v>
      </x:c>
      <x:c r="Q395" s="26" t="str">
        <x:v>2009-10-01</x:v>
      </x:c>
      <x:c r="R395" s="26" t="str">
        <x:v>2014-12-31</x:v>
      </x:c>
    </x:row>
    <x:row r="396" ht="22" customHeight="1">
      <x:c r="A396" s="15" t="str">
        <x:f>"09430500"</x:f>
        <x:v>09430500</x:v>
      </x:c>
      <x:c r="B396" s="12" t="n">
        <x:v>42</x:v>
      </x:c>
      <x:c r="C396" s="12" t="n">
        <x:v>1918</x:v>
      </x:c>
      <x:c r="D396" s="10" t="n">
        <x:v>0.754536318515816</x:v>
      </x:c>
      <x:c r="E396" s="10" t="n">
        <x:v>0.7601784163039539</x:v>
      </x:c>
      <x:c r="F396" s="17" t="n">
        <x:v>266.55504468744266</x:v>
      </x:c>
      <x:c r="G396" s="17" t="n">
        <x:v>69.96215074332899</x:v>
      </x:c>
      <x:c r="H396" s="17" t="n">
        <x:v>-10.41271067242179</x:v>
      </x:c>
      <x:c r="I396" s="12" t="n">
        <x:v>256</x:v>
      </x:c>
      <x:c r="J396" s="12" t="n">
        <x:v>2</x:v>
      </x:c>
      <x:c r="K396" s="19" t="n">
        <x:v>0.002713975339231919</x:v>
      </x:c>
      <x:c r="L396" s="19" t="n">
        <x:v>0</x:v>
      </x:c>
      <x:c r="M396" s="19" t="n">
        <x:v>0.0001</x:v>
      </x:c>
      <x:c r="N396" s="12" t="n">
        <x:v>14</x:v>
      </x:c>
      <x:c r="O396" s="10" t="n">
        <x:v>0.3432999551296234</x:v>
      </x:c>
      <x:c r="P396" s="22" t="n">
        <x:v>47.122190019115806</x:v>
      </x:c>
      <x:c r="Q396" s="26" t="str">
        <x:v>2009-10-01</x:v>
      </x:c>
      <x:c r="R396" s="26" t="str">
        <x:v>2014-12-31</x:v>
      </x:c>
    </x:row>
    <x:row r="397" ht="22" customHeight="1">
      <x:c r="A397" s="15" t="str">
        <x:f>"09430600"</x:f>
        <x:v>09430600</x:v>
      </x:c>
      <x:c r="B397" s="12" t="n">
        <x:v>42</x:v>
      </x:c>
      <x:c r="C397" s="12" t="n">
        <x:v>1918</x:v>
      </x:c>
      <x:c r="D397" s="10" t="n">
        <x:v>0.3189870573575594</x:v>
      </x:c>
      <x:c r="E397" s="10" t="n">
        <x:v>0.27445726185117125</x:v>
      </x:c>
      <x:c r="F397" s="17" t="n">
        <x:v>138.0817647309977</x:v>
      </x:c>
      <x:c r="G397" s="17" t="n">
        <x:v>16.47715481763271</x:v>
      </x:c>
      <x:c r="H397" s="17" t="n">
        <x:v>-6.252369462641804</x:v>
      </x:c>
      <x:c r="I397" s="12" t="n">
        <x:v>256</x:v>
      </x:c>
      <x:c r="J397" s="12" t="n">
        <x:v>2</x:v>
      </x:c>
      <x:c r="K397" s="19" t="n">
        <x:v>0.002713975339231919</x:v>
      </x:c>
      <x:c r="L397" s="19" t="n">
        <x:v>0</x:v>
      </x:c>
      <x:c r="M397" s="19" t="n">
        <x:v>0.0001</x:v>
      </x:c>
      <x:c r="N397" s="12" t="n">
        <x:v>23</x:v>
      </x:c>
      <x:c r="O397" s="10" t="n">
        <x:v>4.59435510635376</x:v>
      </x:c>
      <x:c r="P397" s="22" t="n">
        <x:v>47.093310210853815</x:v>
      </x:c>
      <x:c r="Q397" s="26" t="str">
        <x:v>2009-10-01</x:v>
      </x:c>
      <x:c r="R397" s="26" t="str">
        <x:v>2014-12-31</x:v>
      </x:c>
    </x:row>
    <x:row r="398" ht="22" customHeight="1">
      <x:c r="A398" s="15" t="str">
        <x:f>"09492400"</x:f>
        <x:v>09492400</x:v>
      </x:c>
      <x:c r="B398" s="12" t="n">
        <x:v>42</x:v>
      </x:c>
      <x:c r="C398" s="12" t="n">
        <x:v>1918</x:v>
      </x:c>
      <x:c r="D398" s="10" t="n">
        <x:v>0.9632178234791268</x:v>
      </x:c>
      <x:c r="E398" s="10" t="n">
        <x:v>0.9326304707519197</x:v>
      </x:c>
      <x:c r="F398" s="17" t="n">
        <x:v>5.197325477214469</x:v>
      </x:c>
      <x:c r="G398" s="17" t="n">
        <x:v>3.0979607512513034</x:v>
      </x:c>
      <x:c r="H398" s="17" t="n">
        <x:v>1.1080876107924922</x:v>
      </x:c>
      <x:c r="I398" s="12" t="n">
        <x:v>256</x:v>
      </x:c>
      <x:c r="J398" s="12" t="n">
        <x:v>2</x:v>
      </x:c>
      <x:c r="K398" s="19" t="n">
        <x:v>0.002713975339231919</x:v>
      </x:c>
      <x:c r="L398" s="19" t="n">
        <x:v>0</x:v>
      </x:c>
      <x:c r="M398" s="19" t="n">
        <x:v>0.0001</x:v>
      </x:c>
      <x:c r="N398" s="12" t="n">
        <x:v>27</x:v>
      </x:c>
      <x:c r="O398" s="10" t="n">
        <x:v>0.031520478427410126</x:v>
      </x:c>
      <x:c r="P398" s="22" t="n">
        <x:v>47.01319787744433</x:v>
      </x:c>
      <x:c r="Q398" s="26" t="str">
        <x:v>2009-10-01</x:v>
      </x:c>
      <x:c r="R398" s="26" t="str">
        <x:v>2014-12-31</x:v>
      </x:c>
    </x:row>
    <x:row r="399" ht="22" customHeight="1">
      <x:c r="A399" s="15" t="str">
        <x:f>"09494000"</x:f>
        <x:v>09494000</x:v>
      </x:c>
      <x:c r="B399" s="12" t="n">
        <x:v>42</x:v>
      </x:c>
      <x:c r="C399" s="12" t="n">
        <x:v>1918</x:v>
      </x:c>
      <x:c r="D399" s="10" t="n">
        <x:v>0.8888325017351693</x:v>
      </x:c>
      <x:c r="E399" s="10" t="n">
        <x:v>0.9172879994511443</x:v>
      </x:c>
      <x:c r="F399" s="17" t="n">
        <x:v>49.52189188490273</x:v>
      </x:c>
      <x:c r="G399" s="17" t="n">
        <x:v>23.36250636502607</x:v>
      </x:c>
      <x:c r="H399" s="17" t="n">
        <x:v>-5.21524165385567</x:v>
      </x:c>
      <x:c r="I399" s="12" t="n">
        <x:v>256</x:v>
      </x:c>
      <x:c r="J399" s="12" t="n">
        <x:v>2</x:v>
      </x:c>
      <x:c r="K399" s="19" t="n">
        <x:v>0.002713975339231919</x:v>
      </x:c>
      <x:c r="L399" s="19" t="n">
        <x:v>0</x:v>
      </x:c>
      <x:c r="M399" s="19" t="n">
        <x:v>0.0001</x:v>
      </x:c>
      <x:c r="N399" s="12" t="n">
        <x:v>3</x:v>
      </x:c>
      <x:c r="O399" s="10" t="n">
        <x:v>0.18362538516521454</x:v>
      </x:c>
      <x:c r="P399" s="22" t="n">
        <x:v>47.13952836114913</x:v>
      </x:c>
      <x:c r="Q399" s="26" t="str">
        <x:v>2009-10-01</x:v>
      </x:c>
      <x:c r="R399" s="26" t="str">
        <x:v>2014-12-31</x:v>
      </x:c>
    </x:row>
    <x:row r="400" ht="22" customHeight="1">
      <x:c r="A400" s="15" t="str">
        <x:f>"09497980"</x:f>
        <x:v>09497980</x:v>
      </x:c>
      <x:c r="B400" s="12" t="n">
        <x:v>42</x:v>
      </x:c>
      <x:c r="C400" s="12" t="n">
        <x:v>1918</x:v>
      </x:c>
      <x:c r="D400" s="10" t="n">
        <x:v>0.34823981326160125</x:v>
      </x:c>
      <x:c r="E400" s="10" t="n">
        <x:v>0.22457040670483241</x:v>
      </x:c>
      <x:c r="F400" s="17" t="n">
        <x:v>128.74707245600328</x:v>
      </x:c>
      <x:c r="G400" s="17" t="n">
        <x:v>21.442516054275288</x:v>
      </x:c>
      <x:c r="H400" s="17" t="n">
        <x:v>8.314523350625652</x:v>
      </x:c>
      <x:c r="I400" s="12" t="n">
        <x:v>256</x:v>
      </x:c>
      <x:c r="J400" s="12" t="n">
        <x:v>2</x:v>
      </x:c>
      <x:c r="K400" s="19" t="n">
        <x:v>0.002713975339231919</x:v>
      </x:c>
      <x:c r="L400" s="19" t="n">
        <x:v>0</x:v>
      </x:c>
      <x:c r="M400" s="19" t="n">
        <x:v>0.0001</x:v>
      </x:c>
      <x:c r="N400" s="12" t="n">
        <x:v>4</x:v>
      </x:c>
      <x:c r="O400" s="10" t="n">
        <x:v>0.9455968737602234</x:v>
      </x:c>
      <x:c r="P400" s="22" t="n">
        <x:v>47.2305248901248</x:v>
      </x:c>
      <x:c r="Q400" s="26" t="str">
        <x:v>2009-10-01</x:v>
      </x:c>
      <x:c r="R400" s="26" t="str">
        <x:v>2014-12-31</x:v>
      </x:c>
    </x:row>
    <x:row r="401" ht="22" customHeight="1">
      <x:c r="A401" s="15" t="str">
        <x:f>"09505350"</x:f>
        <x:v>09505350</x:v>
      </x:c>
      <x:c r="B401" s="12" t="n">
        <x:v>42</x:v>
      </x:c>
      <x:c r="C401" s="12" t="n">
        <x:v>1918</x:v>
      </x:c>
      <x:c r="D401" s="10" t="n">
        <x:v>0.562547191935916</x:v>
      </x:c>
      <x:c r="E401" s="10" t="n">
        <x:v>0.5367991694113725</x:v>
      </x:c>
      <x:c r="F401" s="17" t="n">
        <x:v>78.50137279667454</x:v>
      </x:c>
      <x:c r="G401" s="17" t="n">
        <x:v>20.08878420914497</x:v>
      </x:c>
      <x:c r="H401" s="17" t="n">
        <x:v>6.642198200659961</x:v>
      </x:c>
      <x:c r="I401" s="12" t="n">
        <x:v>256</x:v>
      </x:c>
      <x:c r="J401" s="12" t="n">
        <x:v>2</x:v>
      </x:c>
      <x:c r="K401" s="19" t="n">
        <x:v>0.002713975339231919</x:v>
      </x:c>
      <x:c r="L401" s="19" t="n">
        <x:v>0</x:v>
      </x:c>
      <x:c r="M401" s="19" t="n">
        <x:v>0.0001</x:v>
      </x:c>
      <x:c r="N401" s="12" t="n">
        <x:v>10</x:v>
      </x:c>
      <x:c r="O401" s="10" t="n">
        <x:v>0.4194175601005554</x:v>
      </x:c>
      <x:c r="P401" s="22" t="n">
        <x:v>47.17631964851171</x:v>
      </x:c>
      <x:c r="Q401" s="26" t="str">
        <x:v>2009-10-01</x:v>
      </x:c>
      <x:c r="R401" s="26" t="str">
        <x:v>2014-12-31</x:v>
      </x:c>
    </x:row>
    <x:row r="402" ht="22" customHeight="1">
      <x:c r="A402" s="15" t="str">
        <x:f>"09505800"</x:f>
        <x:v>09505800</x:v>
      </x:c>
      <x:c r="B402" s="12" t="n">
        <x:v>42</x:v>
      </x:c>
      <x:c r="C402" s="12" t="n">
        <x:v>1918</x:v>
      </x:c>
      <x:c r="D402" s="10" t="n">
        <x:v>0.41234234152939486</x:v>
      </x:c>
      <x:c r="E402" s="10" t="n">
        <x:v>0.42856736075172763</x:v>
      </x:c>
      <x:c r="F402" s="17" t="n">
        <x:v>62.844974017107745</x:v>
      </x:c>
      <x:c r="G402" s="17" t="n">
        <x:v>29.760004717049007</x:v>
      </x:c>
      <x:c r="H402" s="17" t="n">
        <x:v>17.426255891918668</x:v>
      </x:c>
      <x:c r="I402" s="12" t="n">
        <x:v>256</x:v>
      </x:c>
      <x:c r="J402" s="12" t="n">
        <x:v>2</x:v>
      </x:c>
      <x:c r="K402" s="19" t="n">
        <x:v>0.002713975339231919</x:v>
      </x:c>
      <x:c r="L402" s="19" t="n">
        <x:v>0</x:v>
      </x:c>
      <x:c r="M402" s="19" t="n">
        <x:v>0.0001</x:v>
      </x:c>
      <x:c r="N402" s="12" t="n">
        <x:v>11</x:v>
      </x:c>
      <x:c r="O402" s="10" t="n">
        <x:v>0.6465516090393066</x:v>
      </x:c>
      <x:c r="P402" s="22" t="n">
        <x:v>47.311668827198446</x:v>
      </x:c>
      <x:c r="Q402" s="26" t="str">
        <x:v>2009-10-01</x:v>
      </x:c>
      <x:c r="R402" s="26" t="str">
        <x:v>2014-12-31</x:v>
      </x:c>
    </x:row>
    <x:row r="403" ht="22" customHeight="1">
      <x:c r="A403" s="15" t="str">
        <x:f>"09508300"</x:f>
        <x:v>09508300</x:v>
      </x:c>
      <x:c r="B403" s="12" t="n">
        <x:v>42</x:v>
      </x:c>
      <x:c r="C403" s="12" t="n">
        <x:v>1918</x:v>
      </x:c>
      <x:c r="D403" s="10" t="n">
        <x:v>0.3433818521090096</x:v>
      </x:c>
      <x:c r="E403" s="10" t="n">
        <x:v>0.28234307586834506</x:v>
      </x:c>
      <x:c r="F403" s="17" t="n">
        <x:v>81.05786700627938</x:v>
      </x:c>
      <x:c r="G403" s="17" t="n">
        <x:v>10.967724564965222</x:v>
      </x:c>
      <x:c r="H403" s="17" t="n">
        <x:v>2.2961832541578207</x:v>
      </x:c>
      <x:c r="I403" s="12" t="n">
        <x:v>256</x:v>
      </x:c>
      <x:c r="J403" s="12" t="n">
        <x:v>2</x:v>
      </x:c>
      <x:c r="K403" s="19" t="n">
        <x:v>0.002713975339231919</x:v>
      </x:c>
      <x:c r="L403" s="19" t="n">
        <x:v>0</x:v>
      </x:c>
      <x:c r="M403" s="19" t="n">
        <x:v>0.0001</x:v>
      </x:c>
      <x:c r="N403" s="12" t="n">
        <x:v>4</x:v>
      </x:c>
      <x:c r="O403" s="10" t="n">
        <x:v>1.3023881912231445</x:v>
      </x:c>
      <x:c r="P403" s="22" t="n">
        <x:v>47.28802586067468</x:v>
      </x:c>
      <x:c r="Q403" s="26" t="str">
        <x:v>2009-10-01</x:v>
      </x:c>
      <x:c r="R403" s="26" t="str">
        <x:v>2014-12-31</x:v>
      </x:c>
    </x:row>
    <x:row r="404" ht="22" customHeight="1">
      <x:c r="A404" s="15" t="str">
        <x:f>"09510200"</x:f>
        <x:v>09510200</x:v>
      </x:c>
      <x:c r="B404" s="12" t="n">
        <x:v>42</x:v>
      </x:c>
      <x:c r="C404" s="12" t="n">
        <x:v>1918</x:v>
      </x:c>
      <x:c r="D404" s="10" t="n">
        <x:v>0.252281941082266</x:v>
      </x:c>
      <x:c r="E404" s="10" t="n">
        <x:v>0.20689979590357843</x:v>
      </x:c>
      <x:c r="F404" s="17" t="n">
        <x:v>120.18274998578302</x:v>
      </x:c>
      <x:c r="G404" s="17" t="n">
        <x:v>16.11629492632074</x:v>
      </x:c>
      <x:c r="H404" s="17" t="n">
        <x:v>-1.6426786851267514</x:v>
      </x:c>
      <x:c r="I404" s="12" t="n">
        <x:v>256</x:v>
      </x:c>
      <x:c r="J404" s="12" t="n">
        <x:v>2</x:v>
      </x:c>
      <x:c r="K404" s="19" t="n">
        <x:v>0.002713975339231919</x:v>
      </x:c>
      <x:c r="L404" s="19" t="n">
        <x:v>0</x:v>
      </x:c>
      <x:c r="M404" s="19" t="n">
        <x:v>0.0001</x:v>
      </x:c>
      <x:c r="N404" s="12" t="n">
        <x:v>27</x:v>
      </x:c>
      <x:c r="O404" s="10" t="n">
        <x:v>0.9001069068908691</x:v>
      </x:c>
      <x:c r="P404" s="22" t="n">
        <x:v>47.29860539454967</x:v>
      </x:c>
      <x:c r="Q404" s="26" t="str">
        <x:v>2009-10-01</x:v>
      </x:c>
      <x:c r="R404" s="26" t="str">
        <x:v>2014-12-31</x:v>
      </x:c>
    </x:row>
    <x:row r="405" ht="22" customHeight="1">
      <x:c r="A405" s="15" t="str">
        <x:f>"09513780"</x:f>
        <x:v>09513780</x:v>
      </x:c>
      <x:c r="B405" s="12" t="n">
        <x:v>42</x:v>
      </x:c>
      <x:c r="C405" s="12" t="n">
        <x:v>1918</x:v>
      </x:c>
      <x:c r="D405" s="10" t="n">
        <x:v>0.11835251259137136</x:v>
      </x:c>
      <x:c r="E405" s="10" t="n">
        <x:v>0.06043693795341343</x:v>
      </x:c>
      <x:c r="F405" s="17" t="n">
        <x:v>156.85941928282566</x:v>
      </x:c>
      <x:c r="G405" s="17" t="n">
        <x:v>12.806346360753912</x:v>
      </x:c>
      <x:c r="H405" s="17" t="n">
        <x:v>1.5904010442367038</x:v>
      </x:c>
      <x:c r="I405" s="12" t="n">
        <x:v>256</x:v>
      </x:c>
      <x:c r="J405" s="12" t="n">
        <x:v>2</x:v>
      </x:c>
      <x:c r="K405" s="19" t="n">
        <x:v>0.002713975339231919</x:v>
      </x:c>
      <x:c r="L405" s="19" t="n">
        <x:v>0</x:v>
      </x:c>
      <x:c r="M405" s="19" t="n">
        <x:v>0.0001</x:v>
      </x:c>
      <x:c r="N405" s="12" t="n">
        <x:v>23</x:v>
      </x:c>
      <x:c r="O405" s="10" t="n">
        <x:v>0.29249951243400574</x:v>
      </x:c>
      <x:c r="P405" s="22" t="n">
        <x:v>47.308975629508495</x:v>
      </x:c>
      <x:c r="Q405" s="26" t="str">
        <x:v>2009-10-01</x:v>
      </x:c>
      <x:c r="R405" s="26" t="str">
        <x:v>2014-12-31</x:v>
      </x:c>
    </x:row>
    <x:row r="406" ht="22" customHeight="1">
      <x:c r="A406" s="15" t="str">
        <x:f>"10172700"</x:f>
        <x:v>10172700</x:v>
      </x:c>
      <x:c r="B406" s="12" t="n">
        <x:v>42</x:v>
      </x:c>
      <x:c r="C406" s="12" t="n">
        <x:v>1918</x:v>
      </x:c>
      <x:c r="D406" s="10" t="n">
        <x:v>0.9121339309687506</x:v>
      </x:c>
      <x:c r="E406" s="10" t="n">
        <x:v>0.9524519997040903</x:v>
      </x:c>
      <x:c r="F406" s="17" t="n">
        <x:v>0.5414198473254058</x:v>
      </x:c>
      <x:c r="G406" s="17" t="n">
        <x:v>0.1829410688738269</x:v>
      </x:c>
      <x:c r="H406" s="17" t="n">
        <x:v>-0.05431376418143899</x:v>
      </x:c>
      <x:c r="I406" s="12" t="n">
        <x:v>256</x:v>
      </x:c>
      <x:c r="J406" s="12" t="n">
        <x:v>2</x:v>
      </x:c>
      <x:c r="K406" s="19" t="n">
        <x:v>0.002713975339231919</x:v>
      </x:c>
      <x:c r="L406" s="19" t="n">
        <x:v>0</x:v>
      </x:c>
      <x:c r="M406" s="19" t="n">
        <x:v>0.0001</x:v>
      </x:c>
      <x:c r="N406" s="12" t="n">
        <x:v>18</x:v>
      </x:c>
      <x:c r="O406" s="10" t="n">
        <x:v>0.1119033545255661</x:v>
      </x:c>
      <x:c r="P406" s="22" t="n">
        <x:v>47.32132299710065</x:v>
      </x:c>
      <x:c r="Q406" s="26" t="str">
        <x:v>2009-10-01</x:v>
      </x:c>
      <x:c r="R406" s="26" t="str">
        <x:v>2014-12-31</x:v>
      </x:c>
    </x:row>
    <x:row r="407" ht="22" customHeight="1">
      <x:c r="A407" s="15" t="str">
        <x:f>"10172800"</x:f>
        <x:v>10172800</x:v>
      </x:c>
      <x:c r="B407" s="12" t="n">
        <x:v>42</x:v>
      </x:c>
      <x:c r="C407" s="12" t="n">
        <x:v>1918</x:v>
      </x:c>
      <x:c r="D407" s="10" t="n">
        <x:v>0.9828488444284043</x:v>
      </x:c>
      <x:c r="E407" s="10" t="n">
        <x:v>0.9572362061890108</x:v>
      </x:c>
      <x:c r="F407" s="17" t="n">
        <x:v>0.986018237950249</x:v>
      </x:c>
      <x:c r="G407" s="17" t="n">
        <x:v>0.4115463194994786</x:v>
      </x:c>
      <x:c r="H407" s="17" t="n">
        <x:v>0.09629491803962467</x:v>
      </x:c>
      <x:c r="I407" s="12" t="n">
        <x:v>256</x:v>
      </x:c>
      <x:c r="J407" s="12" t="n">
        <x:v>2</x:v>
      </x:c>
      <x:c r="K407" s="19" t="n">
        <x:v>0.002713975339231919</x:v>
      </x:c>
      <x:c r="L407" s="19" t="n">
        <x:v>0</x:v>
      </x:c>
      <x:c r="M407" s="19" t="n">
        <x:v>0.0001</x:v>
      </x:c>
      <x:c r="N407" s="12" t="n">
        <x:v>14</x:v>
      </x:c>
      <x:c r="O407" s="10" t="n">
        <x:v>0.033506572246551514</x:v>
      </x:c>
      <x:c r="P407" s="22" t="n">
        <x:v>47.32573161274195</x:v>
      </x:c>
      <x:c r="Q407" s="26" t="str">
        <x:v>2009-10-01</x:v>
      </x:c>
      <x:c r="R407" s="26" t="str">
        <x:v>2014-12-31</x:v>
      </x:c>
    </x:row>
    <x:row r="408" ht="22" customHeight="1">
      <x:c r="A408" s="15" t="str">
        <x:f>"10173450"</x:f>
        <x:v>10173450</x:v>
      </x:c>
      <x:c r="B408" s="12" t="n">
        <x:v>42</x:v>
      </x:c>
      <x:c r="C408" s="12" t="n">
        <x:v>1918</x:v>
      </x:c>
      <x:c r="D408" s="10" t="n">
        <x:v>0.9951702295453614</x:v>
      </x:c>
      <x:c r="E408" s="10" t="n">
        <x:v>0.9891005466041193</x:v>
      </x:c>
      <x:c r="F408" s="17" t="n">
        <x:v>7.371746118724547</x:v>
      </x:c>
      <x:c r="G408" s="17" t="n">
        <x:v>3.1573598544316996</x:v>
      </x:c>
      <x:c r="H408" s="17" t="n">
        <x:v>0.1063057130344103</x:v>
      </x:c>
      <x:c r="I408" s="12" t="n">
        <x:v>256</x:v>
      </x:c>
      <x:c r="J408" s="12" t="n">
        <x:v>2</x:v>
      </x:c>
      <x:c r="K408" s="19" t="n">
        <x:v>0.002713975339231919</x:v>
      </x:c>
      <x:c r="L408" s="19" t="n">
        <x:v>0</x:v>
      </x:c>
      <x:c r="M408" s="19" t="n">
        <x:v>0.0001</x:v>
      </x:c>
      <x:c r="N408" s="12" t="n">
        <x:v>21</x:v>
      </x:c>
      <x:c r="O408" s="10" t="n">
        <x:v>0.012516670860350132</x:v>
      </x:c>
      <x:c r="P408" s="22" t="n">
        <x:v>47.3252618201077</x:v>
      </x:c>
      <x:c r="Q408" s="26" t="str">
        <x:v>2009-10-01</x:v>
      </x:c>
      <x:c r="R408" s="26" t="str">
        <x:v>2014-12-31</x:v>
      </x:c>
    </x:row>
    <x:row r="409" ht="22" customHeight="1">
      <x:c r="A409" s="15" t="str">
        <x:f>"10205030"</x:f>
        <x:v>10205030</x:v>
      </x:c>
      <x:c r="B409" s="12" t="n">
        <x:v>42</x:v>
      </x:c>
      <x:c r="C409" s="12" t="n">
        <x:v>1918</x:v>
      </x:c>
      <x:c r="D409" s="10" t="n">
        <x:v>0.9862803290995473</x:v>
      </x:c>
      <x:c r="E409" s="10" t="n">
        <x:v>0.9881478348717739</x:v>
      </x:c>
      <x:c r="F409" s="17" t="n">
        <x:v>1.9119168390236505</x:v>
      </x:c>
      <x:c r="G409" s="17" t="n">
        <x:v>0.9894915159019811</x:v>
      </x:c>
      <x:c r="H409" s="17" t="n">
        <x:v>0.0012150372784150633</x:v>
      </x:c>
      <x:c r="I409" s="12" t="n">
        <x:v>256</x:v>
      </x:c>
      <x:c r="J409" s="12" t="n">
        <x:v>2</x:v>
      </x:c>
      <x:c r="K409" s="19" t="n">
        <x:v>0.002713975339231919</x:v>
      </x:c>
      <x:c r="L409" s="19" t="n">
        <x:v>0</x:v>
      </x:c>
      <x:c r="M409" s="19" t="n">
        <x:v>0.0001</x:v>
      </x:c>
      <x:c r="N409" s="12" t="n">
        <x:v>19</x:v>
      </x:c>
      <x:c r="O409" s="10" t="n">
        <x:v>0.007750160992145538</x:v>
      </x:c>
      <x:c r="P409" s="22" t="n">
        <x:v>47.24890847504139</x:v>
      </x:c>
      <x:c r="Q409" s="26" t="str">
        <x:v>2009-10-01</x:v>
      </x:c>
      <x:c r="R409" s="26" t="str">
        <x:v>2014-12-31</x:v>
      </x:c>
    </x:row>
    <x:row r="410" ht="22" customHeight="1">
      <x:c r="A410" s="15" t="str">
        <x:f>"10234500"</x:f>
        <x:v>10234500</x:v>
      </x:c>
      <x:c r="B410" s="12" t="n">
        <x:v>42</x:v>
      </x:c>
      <x:c r="C410" s="12" t="n">
        <x:v>1918</x:v>
      </x:c>
      <x:c r="D410" s="10" t="n">
        <x:v>0.9687352998412803</x:v>
      </x:c>
      <x:c r="E410" s="10" t="n">
        <x:v>0.9802877089015791</x:v>
      </x:c>
      <x:c r="F410" s="17" t="n">
        <x:v>11.61947265506409</x:v>
      </x:c>
      <x:c r="G410" s="17" t="n">
        <x:v>3.628137142596455</x:v>
      </x:c>
      <x:c r="H410" s="17" t="n">
        <x:v>-0.3646464319603752</x:v>
      </x:c>
      <x:c r="I410" s="12" t="n">
        <x:v>256</x:v>
      </x:c>
      <x:c r="J410" s="12" t="n">
        <x:v>2</x:v>
      </x:c>
      <x:c r="K410" s="19" t="n">
        <x:v>0.002713975339231919</x:v>
      </x:c>
      <x:c r="L410" s="19" t="n">
        <x:v>0</x:v>
      </x:c>
      <x:c r="M410" s="19" t="n">
        <x:v>0.0001</x:v>
      </x:c>
      <x:c r="N410" s="12" t="n">
        <x:v>27</x:v>
      </x:c>
      <x:c r="O410" s="10" t="n">
        <x:v>0.011387757956981659</x:v>
      </x:c>
      <x:c r="P410" s="22" t="n">
        <x:v>46.91262315493077</x:v>
      </x:c>
      <x:c r="Q410" s="26" t="str">
        <x:v>2009-10-01</x:v>
      </x:c>
      <x:c r="R410" s="26" t="str">
        <x:v>2014-12-31</x:v>
      </x:c>
    </x:row>
    <x:row r="411" ht="22" customHeight="1">
      <x:c r="A411" s="15" t="str">
        <x:f>"10242000"</x:f>
        <x:v>10242000</x:v>
      </x:c>
      <x:c r="B411" s="12" t="n">
        <x:v>42</x:v>
      </x:c>
      <x:c r="C411" s="12" t="n">
        <x:v>1918</x:v>
      </x:c>
      <x:c r="D411" s="10" t="n">
        <x:v>0.9405515835817401</x:v>
      </x:c>
      <x:c r="E411" s="10" t="n">
        <x:v>0.9339543641785348</x:v>
      </x:c>
      <x:c r="F411" s="17" t="n">
        <x:v>14.520839493787664</x:v>
      </x:c>
      <x:c r="G411" s="17" t="n">
        <x:v>6.371901236548488</x:v>
      </x:c>
      <x:c r="H411" s="17" t="n">
        <x:v>0.11586184144942628</x:v>
      </x:c>
      <x:c r="I411" s="12" t="n">
        <x:v>256</x:v>
      </x:c>
      <x:c r="J411" s="12" t="n">
        <x:v>2</x:v>
      </x:c>
      <x:c r="K411" s="19" t="n">
        <x:v>0.002713975339231919</x:v>
      </x:c>
      <x:c r="L411" s="19" t="n">
        <x:v>0</x:v>
      </x:c>
      <x:c r="M411" s="19" t="n">
        <x:v>0.0001</x:v>
      </x:c>
      <x:c r="N411" s="12" t="n">
        <x:v>23</x:v>
      </x:c>
      <x:c r="O411" s="10" t="n">
        <x:v>0.11547546088695526</x:v>
      </x:c>
      <x:c r="P411" s="22" t="n">
        <x:v>46.889563489705324</x:v>
      </x:c>
      <x:c r="Q411" s="26" t="str">
        <x:v>2009-10-01</x:v>
      </x:c>
      <x:c r="R411" s="26" t="str">
        <x:v>2014-12-31</x:v>
      </x:c>
    </x:row>
    <x:row r="412" ht="22" customHeight="1">
      <x:c r="A412" s="15" t="str">
        <x:f>"10244950"</x:f>
        <x:v>10244950</x:v>
      </x:c>
      <x:c r="B412" s="12" t="n">
        <x:v>42</x:v>
      </x:c>
      <x:c r="C412" s="12" t="n">
        <x:v>1918</x:v>
      </x:c>
      <x:c r="D412" s="10" t="n">
        <x:v>0.9937931371215257</x:v>
      </x:c>
      <x:c r="E412" s="10" t="n">
        <x:v>0.9829983167451194</x:v>
      </x:c>
      <x:c r="F412" s="17" t="n">
        <x:v>0.49533022290882206</x:v>
      </x:c>
      <x:c r="G412" s="17" t="n">
        <x:v>0.22598101470281542</x:v>
      </x:c>
      <x:c r="H412" s="17" t="n">
        <x:v>0.09877269113660066</x:v>
      </x:c>
      <x:c r="I412" s="12" t="n">
        <x:v>256</x:v>
      </x:c>
      <x:c r="J412" s="12" t="n">
        <x:v>2</x:v>
      </x:c>
      <x:c r="K412" s="19" t="n">
        <x:v>0.002713975339231919</x:v>
      </x:c>
      <x:c r="L412" s="19" t="n">
        <x:v>0</x:v>
      </x:c>
      <x:c r="M412" s="19" t="n">
        <x:v>0.0001</x:v>
      </x:c>
      <x:c r="N412" s="12" t="n">
        <x:v>5</x:v>
      </x:c>
      <x:c r="O412" s="10" t="n">
        <x:v>0.0049018110148608685</x:v>
      </x:c>
      <x:c r="P412" s="22" t="n">
        <x:v>46.902718712575734</x:v>
      </x:c>
      <x:c r="Q412" s="26" t="str">
        <x:v>2009-10-01</x:v>
      </x:c>
      <x:c r="R412" s="26" t="str">
        <x:v>2014-12-31</x:v>
      </x:c>
    </x:row>
    <x:row r="413" ht="22" customHeight="1">
      <x:c r="A413" s="15" t="str">
        <x:f>"10249300"</x:f>
        <x:v>10249300</x:v>
      </x:c>
      <x:c r="B413" s="12" t="n">
        <x:v>42</x:v>
      </x:c>
      <x:c r="C413" s="12" t="n">
        <x:v>1918</x:v>
      </x:c>
      <x:c r="D413" s="10" t="n">
        <x:v>0.9603268063290262</x:v>
      </x:c>
      <x:c r="E413" s="10" t="n">
        <x:v>0.852556908930575</x:v>
      </x:c>
      <x:c r="F413" s="17" t="n">
        <x:v>1.6023929441971634</x:v>
      </x:c>
      <x:c r="G413" s="17" t="n">
        <x:v>0.9719206395411888</x:v>
      </x:c>
      <x:c r="H413" s="17" t="n">
        <x:v>0.5869931951720544</x:v>
      </x:c>
      <x:c r="I413" s="12" t="n">
        <x:v>256</x:v>
      </x:c>
      <x:c r="J413" s="12" t="n">
        <x:v>2</x:v>
      </x:c>
      <x:c r="K413" s="19" t="n">
        <x:v>0.002713975339231919</x:v>
      </x:c>
      <x:c r="L413" s="19" t="n">
        <x:v>0</x:v>
      </x:c>
      <x:c r="M413" s="19" t="n">
        <x:v>0.0001</x:v>
      </x:c>
      <x:c r="N413" s="12" t="n">
        <x:v>13</x:v>
      </x:c>
      <x:c r="O413" s="10" t="n">
        <x:v>0.02724594622850418</x:v>
      </x:c>
      <x:c r="P413" s="22" t="n">
        <x:v>46.99042480159551</x:v>
      </x:c>
      <x:c r="Q413" s="26" t="str">
        <x:v>2009-10-01</x:v>
      </x:c>
      <x:c r="R413" s="26" t="str">
        <x:v>2014-12-31</x:v>
      </x:c>
    </x:row>
    <x:row r="414" ht="22" customHeight="1">
      <x:c r="A414" s="15" t="str">
        <x:f>"10258500"</x:f>
        <x:v>10258500</x:v>
      </x:c>
      <x:c r="B414" s="12" t="n">
        <x:v>42</x:v>
      </x:c>
      <x:c r="C414" s="12" t="n">
        <x:v>1918</x:v>
      </x:c>
      <x:c r="D414" s="10" t="n">
        <x:v>0.292671885291124</x:v>
      </x:c>
      <x:c r="E414" s="10" t="n">
        <x:v>0.6099918731849121</x:v>
      </x:c>
      <x:c r="F414" s="17" t="n">
        <x:v>12.363971276295525</x:v>
      </x:c>
      <x:c r="G414" s="17" t="n">
        <x:v>4.354324076952881</x:v>
      </x:c>
      <x:c r="H414" s="17" t="n">
        <x:v>0.350736244742908</x:v>
      </x:c>
      <x:c r="I414" s="12" t="n">
        <x:v>256</x:v>
      </x:c>
      <x:c r="J414" s="12" t="n">
        <x:v>2</x:v>
      </x:c>
      <x:c r="K414" s="19" t="n">
        <x:v>0.002713975339231919</x:v>
      </x:c>
      <x:c r="L414" s="19" t="n">
        <x:v>0</x:v>
      </x:c>
      <x:c r="M414" s="19" t="n">
        <x:v>0.0001</x:v>
      </x:c>
      <x:c r="N414" s="12" t="n">
        <x:v>5</x:v>
      </x:c>
      <x:c r="O414" s="10" t="n">
        <x:v>0.15670795738697052</x:v>
      </x:c>
      <x:c r="P414" s="22" t="n">
        <x:v>46.94425180088729</x:v>
      </x:c>
      <x:c r="Q414" s="26" t="str">
        <x:v>2009-10-01</x:v>
      </x:c>
      <x:c r="R414" s="26" t="str">
        <x:v>2014-12-31</x:v>
      </x:c>
    </x:row>
    <x:row r="415" ht="22" customHeight="1">
      <x:c r="A415" s="15" t="str">
        <x:f>"10259000"</x:f>
        <x:v>10259000</x:v>
      </x:c>
      <x:c r="B415" s="12" t="n">
        <x:v>42</x:v>
      </x:c>
      <x:c r="C415" s="12" t="n">
        <x:v>1918</x:v>
      </x:c>
      <x:c r="D415" s="10" t="n">
        <x:v>0.18285658451738462</x:v>
      </x:c>
      <x:c r="E415" s="10" t="n">
        <x:v>0.5342457673294366</x:v>
      </x:c>
      <x:c r="F415" s="17" t="n">
        <x:v>3.2729697251355483</x:v>
      </x:c>
      <x:c r="G415" s="17" t="n">
        <x:v>0.7252360024191867</x:v>
      </x:c>
      <x:c r="H415" s="17" t="n">
        <x:v>0.3589524144108447</x:v>
      </x:c>
      <x:c r="I415" s="12" t="n">
        <x:v>256</x:v>
      </x:c>
      <x:c r="J415" s="12" t="n">
        <x:v>2</x:v>
      </x:c>
      <x:c r="K415" s="19" t="n">
        <x:v>0.002713975339231919</x:v>
      </x:c>
      <x:c r="L415" s="19" t="n">
        <x:v>0</x:v>
      </x:c>
      <x:c r="M415" s="19" t="n">
        <x:v>0.0001</x:v>
      </x:c>
      <x:c r="N415" s="12" t="n">
        <x:v>7</x:v>
      </x:c>
      <x:c r="O415" s="10" t="n">
        <x:v>0.37776756286621094</x:v>
      </x:c>
      <x:c r="P415" s="22" t="n">
        <x:v>47.068630274385214</x:v>
      </x:c>
      <x:c r="Q415" s="26" t="str">
        <x:v>2009-10-01</x:v>
      </x:c>
      <x:c r="R415" s="26" t="str">
        <x:v>2014-12-31</x:v>
      </x:c>
    </x:row>
    <x:row r="416" ht="22" customHeight="1">
      <x:c r="A416" s="15" t="str">
        <x:f>"10259200"</x:f>
        <x:v>10259200</x:v>
      </x:c>
      <x:c r="B416" s="12" t="n">
        <x:v>42</x:v>
      </x:c>
      <x:c r="C416" s="12" t="n">
        <x:v>1918</x:v>
      </x:c>
      <x:c r="D416" s="10" t="n">
        <x:v>-0.021769762658906622</x:v>
      </x:c>
      <x:c r="E416" s="10" t="n">
        <x:v>0.2904607247191324</x:v>
      </x:c>
      <x:c r="F416" s="17" t="n">
        <x:v>8.756323821795002</x:v>
      </x:c>
      <x:c r="G416" s="17" t="n">
        <x:v>1.5474873148129733</x:v>
      </x:c>
      <x:c r="H416" s="17" t="n">
        <x:v>-0.18174556614022075</x:v>
      </x:c>
      <x:c r="I416" s="12" t="n">
        <x:v>256</x:v>
      </x:c>
      <x:c r="J416" s="12" t="n">
        <x:v>2</x:v>
      </x:c>
      <x:c r="K416" s="19" t="n">
        <x:v>0.002713975339231919</x:v>
      </x:c>
      <x:c r="L416" s="19" t="n">
        <x:v>0</x:v>
      </x:c>
      <x:c r="M416" s="19" t="n">
        <x:v>0.0001</x:v>
      </x:c>
      <x:c r="N416" s="12" t="n">
        <x:v>5</x:v>
      </x:c>
      <x:c r="O416" s="10" t="n">
        <x:v>0.4858400523662567</x:v>
      </x:c>
      <x:c r="P416" s="22" t="n">
        <x:v>47.09372202027589</x:v>
      </x:c>
      <x:c r="Q416" s="26" t="str">
        <x:v>2009-10-01</x:v>
      </x:c>
      <x:c r="R416" s="26" t="str">
        <x:v>2014-12-31</x:v>
      </x:c>
    </x:row>
    <x:row r="417" ht="22" customHeight="1">
      <x:c r="A417" s="15" t="str">
        <x:f>"10263500"</x:f>
        <x:v>10263500</x:v>
      </x:c>
      <x:c r="B417" s="12" t="n">
        <x:v>42</x:v>
      </x:c>
      <x:c r="C417" s="12" t="n">
        <x:v>1918</x:v>
      </x:c>
      <x:c r="D417" s="10" t="n">
        <x:v>0.5753101823547941</x:v>
      </x:c>
      <x:c r="E417" s="10" t="n">
        <x:v>0.6131648727820237</x:v>
      </x:c>
      <x:c r="F417" s="17" t="n">
        <x:v>17.80317518260786</x:v>
      </x:c>
      <x:c r="G417" s="17" t="n">
        <x:v>5.30615208697341</x:v>
      </x:c>
      <x:c r="H417" s="17" t="n">
        <x:v>2.762753877041189</x:v>
      </x:c>
      <x:c r="I417" s="12" t="n">
        <x:v>256</x:v>
      </x:c>
      <x:c r="J417" s="12" t="n">
        <x:v>2</x:v>
      </x:c>
      <x:c r="K417" s="19" t="n">
        <x:v>0.002713975339231919</x:v>
      </x:c>
      <x:c r="L417" s="19" t="n">
        <x:v>0</x:v>
      </x:c>
      <x:c r="M417" s="19" t="n">
        <x:v>0.0001</x:v>
      </x:c>
      <x:c r="N417" s="12" t="n">
        <x:v>16</x:v>
      </x:c>
      <x:c r="O417" s="10" t="n">
        <x:v>0.41695404052734375</x:v>
      </x:c>
      <x:c r="P417" s="22" t="n">
        <x:v>47.089275198057294</x:v>
      </x:c>
      <x:c r="Q417" s="26" t="str">
        <x:v>2009-10-01</x:v>
      </x:c>
      <x:c r="R417" s="26" t="str">
        <x:v>2014-12-31</x:v>
      </x:c>
    </x:row>
    <x:row r="418" ht="22" customHeight="1">
      <x:c r="A418" s="15" t="str">
        <x:f>"10316500"</x:f>
        <x:v>10316500</x:v>
      </x:c>
      <x:c r="B418" s="12" t="n">
        <x:v>42</x:v>
      </x:c>
      <x:c r="C418" s="12" t="n">
        <x:v>1918</x:v>
      </x:c>
      <x:c r="D418" s="10" t="n">
        <x:v>0.9831583947303009</x:v>
      </x:c>
      <x:c r="E418" s="10" t="n">
        <x:v>0.9571532015322357</x:v>
      </x:c>
      <x:c r="F418" s="17" t="n">
        <x:v>10.59539684311632</x:v>
      </x:c>
      <x:c r="G418" s="17" t="n">
        <x:v>4.648076488952033</x:v>
      </x:c>
      <x:c r="H418" s="17" t="n">
        <x:v>0.49379629780500534</x:v>
      </x:c>
      <x:c r="I418" s="12" t="n">
        <x:v>256</x:v>
      </x:c>
      <x:c r="J418" s="12" t="n">
        <x:v>2</x:v>
      </x:c>
      <x:c r="K418" s="19" t="n">
        <x:v>0.002713975339231919</x:v>
      </x:c>
      <x:c r="L418" s="19" t="n">
        <x:v>0</x:v>
      </x:c>
      <x:c r="M418" s="19" t="n">
        <x:v>0.0001</x:v>
      </x:c>
      <x:c r="N418" s="12" t="n">
        <x:v>6</x:v>
      </x:c>
      <x:c r="O418" s="10" t="n">
        <x:v>0.010349443182349205</x:v>
      </x:c>
      <x:c r="P418" s="22" t="n">
        <x:v>47.131667798385024</x:v>
      </x:c>
      <x:c r="Q418" s="26" t="str">
        <x:v>2009-10-01</x:v>
      </x:c>
      <x:c r="R418" s="26" t="str">
        <x:v>2014-12-31</x:v>
      </x:c>
    </x:row>
    <x:row r="419" ht="22" customHeight="1">
      <x:c r="A419" s="15" t="str">
        <x:f>"10329500"</x:f>
        <x:v>10329500</x:v>
      </x:c>
      <x:c r="B419" s="12" t="n">
        <x:v>42</x:v>
      </x:c>
      <x:c r="C419" s="12" t="n">
        <x:v>1918</x:v>
      </x:c>
      <x:c r="D419" s="10" t="n">
        <x:v>0.8794054104594223</x:v>
      </x:c>
      <x:c r="E419" s="10" t="n">
        <x:v>0.8840406569813828</x:v>
      </x:c>
      <x:c r="F419" s="17" t="n">
        <x:v>21.261119437831844</x:v>
      </x:c>
      <x:c r="G419" s="17" t="n">
        <x:v>7.383637525433263</x:v>
      </x:c>
      <x:c r="H419" s="17" t="n">
        <x:v>-1.2075843442028151</x:v>
      </x:c>
      <x:c r="I419" s="12" t="n">
        <x:v>256</x:v>
      </x:c>
      <x:c r="J419" s="12" t="n">
        <x:v>2</x:v>
      </x:c>
      <x:c r="K419" s="19" t="n">
        <x:v>0.002713975339231919</x:v>
      </x:c>
      <x:c r="L419" s="19" t="n">
        <x:v>0</x:v>
      </x:c>
      <x:c r="M419" s="19" t="n">
        <x:v>0.0001</x:v>
      </x:c>
      <x:c r="N419" s="12" t="n">
        <x:v>12</x:v>
      </x:c>
      <x:c r="O419" s="10" t="n">
        <x:v>0.10931726545095444</x:v>
      </x:c>
      <x:c r="P419" s="22" t="n">
        <x:v>47.14454565849155</x:v>
      </x:c>
      <x:c r="Q419" s="26" t="str">
        <x:v>2009-10-01</x:v>
      </x:c>
      <x:c r="R419" s="26" t="str">
        <x:v>2014-12-31</x:v>
      </x:c>
    </x:row>
    <x:row r="420" ht="22" customHeight="1">
      <x:c r="A420" s="15" t="str">
        <x:f>"10336660"</x:f>
        <x:v>10336660</x:v>
      </x:c>
      <x:c r="B420" s="12" t="n">
        <x:v>42</x:v>
      </x:c>
      <x:c r="C420" s="12" t="n">
        <x:v>1918</x:v>
      </x:c>
      <x:c r="D420" s="10" t="n">
        <x:v>0.931337343710189</x:v>
      </x:c>
      <x:c r="E420" s="10" t="n">
        <x:v>0.9365528204859298</x:v>
      </x:c>
      <x:c r="F420" s="17" t="n">
        <x:v>14.405352297252913</x:v>
      </x:c>
      <x:c r="G420" s="17" t="n">
        <x:v>6.726670939338373</x:v>
      </x:c>
      <x:c r="H420" s="17" t="n">
        <x:v>-1.5113680468774768</x:v>
      </x:c>
      <x:c r="I420" s="12" t="n">
        <x:v>256</x:v>
      </x:c>
      <x:c r="J420" s="12" t="n">
        <x:v>2</x:v>
      </x:c>
      <x:c r="K420" s="19" t="n">
        <x:v>0.002713975339231919</x:v>
      </x:c>
      <x:c r="L420" s="19" t="n">
        <x:v>0</x:v>
      </x:c>
      <x:c r="M420" s="19" t="n">
        <x:v>0.0001</x:v>
      </x:c>
      <x:c r="N420" s="12" t="n">
        <x:v>16</x:v>
      </x:c>
      <x:c r="O420" s="10" t="n">
        <x:v>0.1285371333360672</x:v>
      </x:c>
      <x:c r="P420" s="22" t="n">
        <x:v>47.16671332065016</x:v>
      </x:c>
      <x:c r="Q420" s="26" t="str">
        <x:v>2009-10-01</x:v>
      </x:c>
      <x:c r="R420" s="26" t="str">
        <x:v>2014-12-31</x:v>
      </x:c>
    </x:row>
    <x:row r="421" ht="22" customHeight="1">
      <x:c r="A421" s="15" t="str">
        <x:f>"10343500"</x:f>
        <x:v>10343500</x:v>
      </x:c>
      <x:c r="B421" s="12" t="n">
        <x:v>42</x:v>
      </x:c>
      <x:c r="C421" s="12" t="n">
        <x:v>1918</x:v>
      </x:c>
      <x:c r="D421" s="10" t="n">
        <x:v>0.8818443431963623</x:v>
      </x:c>
      <x:c r="E421" s="10" t="n">
        <x:v>0.9009036728970526</x:v>
      </x:c>
      <x:c r="F421" s="17" t="n">
        <x:v>5.514320328178142</x:v>
      </x:c>
      <x:c r="G421" s="17" t="n">
        <x:v>1.976663588599583</x:v>
      </x:c>
      <x:c r="H421" s="17" t="n">
        <x:v>-0.5721504529374348</x:v>
      </x:c>
      <x:c r="I421" s="12" t="n">
        <x:v>256</x:v>
      </x:c>
      <x:c r="J421" s="12" t="n">
        <x:v>2</x:v>
      </x:c>
      <x:c r="K421" s="19" t="n">
        <x:v>0.002713975339231919</x:v>
      </x:c>
      <x:c r="L421" s="19" t="n">
        <x:v>0</x:v>
      </x:c>
      <x:c r="M421" s="19" t="n">
        <x:v>0.0001</x:v>
      </x:c>
      <x:c r="N421" s="12" t="n">
        <x:v>19</x:v>
      </x:c>
      <x:c r="O421" s="10" t="n">
        <x:v>0.07363875210285187</x:v>
      </x:c>
      <x:c r="P421" s="22" t="n">
        <x:v>47.13123627845198</x:v>
      </x:c>
      <x:c r="Q421" s="26" t="str">
        <x:v>2009-10-01</x:v>
      </x:c>
      <x:c r="R421" s="26" t="str">
        <x:v>2014-12-31</x:v>
      </x:c>
    </x:row>
    <x:row r="422" ht="22" customHeight="1">
      <x:c r="A422" s="15" t="str">
        <x:f>"10396000"</x:f>
        <x:v>10396000</x:v>
      </x:c>
      <x:c r="B422" s="12" t="n">
        <x:v>42</x:v>
      </x:c>
      <x:c r="C422" s="12" t="n">
        <x:v>1918</x:v>
      </x:c>
      <x:c r="D422" s="10" t="n">
        <x:v>0.8843057129026558</x:v>
      </x:c>
      <x:c r="E422" s="10" t="n">
        <x:v>0.8527132269338533</x:v>
      </x:c>
      <x:c r="F422" s="17" t="n">
        <x:v>64.38684717002816</x:v>
      </x:c>
      <x:c r="G422" s="17" t="n">
        <x:v>23.189552902346193</x:v>
      </x:c>
      <x:c r="H422" s="17" t="n">
        <x:v>-8.292594356986445</x:v>
      </x:c>
      <x:c r="I422" s="12" t="n">
        <x:v>256</x:v>
      </x:c>
      <x:c r="J422" s="12" t="n">
        <x:v>2</x:v>
      </x:c>
      <x:c r="K422" s="19" t="n">
        <x:v>0.002713975339231919</x:v>
      </x:c>
      <x:c r="L422" s="19" t="n">
        <x:v>0</x:v>
      </x:c>
      <x:c r="M422" s="19" t="n">
        <x:v>0.0001</x:v>
      </x:c>
      <x:c r="N422" s="12" t="n">
        <x:v>17</x:v>
      </x:c>
      <x:c r="O422" s="10" t="n">
        <x:v>0.15052099525928497</x:v>
      </x:c>
      <x:c r="P422" s="22" t="n">
        <x:v>47.13060191087425</x:v>
      </x:c>
      <x:c r="Q422" s="26" t="str">
        <x:v>2009-10-01</x:v>
      </x:c>
      <x:c r="R422" s="26" t="str">
        <x:v>2014-12-31</x:v>
      </x:c>
    </x:row>
    <x:row r="423" ht="22" customHeight="1">
      <x:c r="A423" s="15" t="str">
        <x:f>"11098000"</x:f>
        <x:v>11098000</x:v>
      </x:c>
      <x:c r="B423" s="12" t="n">
        <x:v>42</x:v>
      </x:c>
      <x:c r="C423" s="12" t="n">
        <x:v>1918</x:v>
      </x:c>
      <x:c r="D423" s="10" t="n">
        <x:v>-0.3787421748973092</x:v>
      </x:c>
      <x:c r="E423" s="10" t="n">
        <x:v>0.36358445540107054</x:v>
      </x:c>
      <x:c r="F423" s="17" t="n">
        <x:v>28.945426317167964</x:v>
      </x:c>
      <x:c r="G423" s="17" t="n">
        <x:v>5.444306500533889</x:v>
      </x:c>
      <x:c r="H423" s="17" t="n">
        <x:v>-0.1906402814473408</x:v>
      </x:c>
      <x:c r="I423" s="12" t="n">
        <x:v>256</x:v>
      </x:c>
      <x:c r="J423" s="12" t="n">
        <x:v>2</x:v>
      </x:c>
      <x:c r="K423" s="19" t="n">
        <x:v>0.002713975339231919</x:v>
      </x:c>
      <x:c r="L423" s="19" t="n">
        <x:v>0</x:v>
      </x:c>
      <x:c r="M423" s="19" t="n">
        <x:v>0.0001</x:v>
      </x:c>
      <x:c r="N423" s="12" t="n">
        <x:v>16</x:v>
      </x:c>
      <x:c r="O423" s="10" t="n">
        <x:v>1.0250846147537231</x:v>
      </x:c>
      <x:c r="P423" s="22" t="n">
        <x:v>46.98975764494389</x:v>
      </x:c>
      <x:c r="Q423" s="26" t="str">
        <x:v>2009-10-01</x:v>
      </x:c>
      <x:c r="R423" s="26" t="str">
        <x:v>2014-12-31</x:v>
      </x:c>
    </x:row>
    <x:row r="424" ht="22" customHeight="1">
      <x:c r="A424" s="15" t="str">
        <x:f>"11124500"</x:f>
        <x:v>11124500</x:v>
      </x:c>
      <x:c r="B424" s="12" t="n">
        <x:v>42</x:v>
      </x:c>
      <x:c r="C424" s="12" t="n">
        <x:v>1918</x:v>
      </x:c>
      <x:c r="D424" s="10" t="n">
        <x:v>0.3321137400864945</x:v>
      </x:c>
      <x:c r="E424" s="10" t="n">
        <x:v>0.44568809443805735</x:v>
      </x:c>
      <x:c r="F424" s="17" t="n">
        <x:v>39.97134277702653</x:v>
      </x:c>
      <x:c r="G424" s="17" t="n">
        <x:v>7.7066933999445775</x:v>
      </x:c>
      <x:c r="H424" s="17" t="n">
        <x:v>-1.3090340140091241</x:v>
      </x:c>
      <x:c r="I424" s="12" t="n">
        <x:v>256</x:v>
      </x:c>
      <x:c r="J424" s="12" t="n">
        <x:v>2</x:v>
      </x:c>
      <x:c r="K424" s="19" t="n">
        <x:v>0.002713975339231919</x:v>
      </x:c>
      <x:c r="L424" s="19" t="n">
        <x:v>0</x:v>
      </x:c>
      <x:c r="M424" s="19" t="n">
        <x:v>0.0001</x:v>
      </x:c>
      <x:c r="N424" s="12" t="n">
        <x:v>12</x:v>
      </x:c>
      <x:c r="O424" s="10" t="n">
        <x:v>0.9418578743934631</x:v>
      </x:c>
      <x:c r="P424" s="22" t="n">
        <x:v>46.89470585808158</x:v>
      </x:c>
      <x:c r="Q424" s="26" t="str">
        <x:v>2009-10-01</x:v>
      </x:c>
      <x:c r="R424" s="26" t="str">
        <x:v>2014-12-31</x:v>
      </x:c>
    </x:row>
    <x:row r="425" ht="22" customHeight="1">
      <x:c r="A425" s="15" t="str">
        <x:f>"11141280"</x:f>
        <x:v>11141280</x:v>
      </x:c>
      <x:c r="B425" s="12" t="n">
        <x:v>42</x:v>
      </x:c>
      <x:c r="C425" s="12" t="n">
        <x:v>1918</x:v>
      </x:c>
      <x:c r="D425" s="10" t="n">
        <x:v>0.401418988864806</x:v>
      </x:c>
      <x:c r="E425" s="10" t="n">
        <x:v>0.6058605053045786</x:v>
      </x:c>
      <x:c r="F425" s="17" t="n">
        <x:v>12.307271940290349</x:v>
      </x:c>
      <x:c r="G425" s="17" t="n">
        <x:v>2.908567687149635</x:v>
      </x:c>
      <x:c r="H425" s="17" t="n">
        <x:v>0.3706365662914495</x:v>
      </x:c>
      <x:c r="I425" s="12" t="n">
        <x:v>256</x:v>
      </x:c>
      <x:c r="J425" s="12" t="n">
        <x:v>2</x:v>
      </x:c>
      <x:c r="K425" s="19" t="n">
        <x:v>0.002713975339231919</x:v>
      </x:c>
      <x:c r="L425" s="19" t="n">
        <x:v>0</x:v>
      </x:c>
      <x:c r="M425" s="19" t="n">
        <x:v>0.0001</x:v>
      </x:c>
      <x:c r="N425" s="12" t="n">
        <x:v>9</x:v>
      </x:c>
      <x:c r="O425" s="10" t="n">
        <x:v>0.342133492231369</x:v>
      </x:c>
      <x:c r="P425" s="22" t="n">
        <x:v>46.903385502286255</x:v>
      </x:c>
      <x:c r="Q425" s="26" t="str">
        <x:v>2009-10-01</x:v>
      </x:c>
      <x:c r="R425" s="26" t="str">
        <x:v>2014-12-31</x:v>
      </x:c>
    </x:row>
    <x:row r="426" ht="22" customHeight="1">
      <x:c r="A426" s="15" t="str">
        <x:f>"11143000"</x:f>
        <x:v>11143000</x:v>
      </x:c>
      <x:c r="B426" s="12" t="n">
        <x:v>42</x:v>
      </x:c>
      <x:c r="C426" s="12" t="n">
        <x:v>1918</x:v>
      </x:c>
      <x:c r="D426" s="10" t="n">
        <x:v>0.7106807150060841</x:v>
      </x:c>
      <x:c r="E426" s="10" t="n">
        <x:v>0.7337430878146396</x:v>
      </x:c>
      <x:c r="F426" s="17" t="n">
        <x:v>88.8994869539791</x:v>
      </x:c>
      <x:c r="G426" s="17" t="n">
        <x:v>33.85948250072993</x:v>
      </x:c>
      <x:c r="H426" s="17" t="n">
        <x:v>12.828918728050052</x:v>
      </x:c>
      <x:c r="I426" s="12" t="n">
        <x:v>256</x:v>
      </x:c>
      <x:c r="J426" s="12" t="n">
        <x:v>2</x:v>
      </x:c>
      <x:c r="K426" s="19" t="n">
        <x:v>0.002713975339231919</x:v>
      </x:c>
      <x:c r="L426" s="19" t="n">
        <x:v>0</x:v>
      </x:c>
      <x:c r="M426" s="19" t="n">
        <x:v>0.0001</x:v>
      </x:c>
      <x:c r="N426" s="12" t="n">
        <x:v>6</x:v>
      </x:c>
      <x:c r="O426" s="10" t="n">
        <x:v>0.13050056993961334</x:v>
      </x:c>
      <x:c r="P426" s="22" t="n">
        <x:v>46.97831805050373</x:v>
      </x:c>
      <x:c r="Q426" s="26" t="str">
        <x:v>2009-10-01</x:v>
      </x:c>
      <x:c r="R426" s="26" t="str">
        <x:v>2014-12-31</x:v>
      </x:c>
    </x:row>
    <x:row r="427" ht="22" customHeight="1">
      <x:c r="A427" s="15" t="str">
        <x:f>"11148900"</x:f>
        <x:v>11148900</x:v>
      </x:c>
      <x:c r="B427" s="12" t="n">
        <x:v>42</x:v>
      </x:c>
      <x:c r="C427" s="12" t="n">
        <x:v>1918</x:v>
      </x:c>
      <x:c r="D427" s="10" t="n">
        <x:v>0.44063674795923247</x:v>
      </x:c>
      <x:c r="E427" s="10" t="n">
        <x:v>0.5586794042629919</x:v>
      </x:c>
      <x:c r="F427" s="17" t="n">
        <x:v>401.6884783299602</x:v>
      </x:c>
      <x:c r="G427" s="17" t="n">
        <x:v>102.26215873686758</x:v>
      </x:c>
      <x:c r="H427" s="17" t="n">
        <x:v>1.488231401032326</x:v>
      </x:c>
      <x:c r="I427" s="12" t="n">
        <x:v>256</x:v>
      </x:c>
      <x:c r="J427" s="12" t="n">
        <x:v>2</x:v>
      </x:c>
      <x:c r="K427" s="19" t="n">
        <x:v>0.002713975339231919</x:v>
      </x:c>
      <x:c r="L427" s="19" t="n">
        <x:v>0</x:v>
      </x:c>
      <x:c r="M427" s="19" t="n">
        <x:v>0.0001</x:v>
      </x:c>
      <x:c r="N427" s="12" t="n">
        <x:v>2</x:v>
      </x:c>
      <x:c r="O427" s="10" t="n">
        <x:v>0.2793422043323517</x:v>
      </x:c>
      <x:c r="P427" s="22" t="n">
        <x:v>47.02563066780567</x:v>
      </x:c>
      <x:c r="Q427" s="26" t="str">
        <x:v>2009-10-01</x:v>
      </x:c>
      <x:c r="R427" s="26" t="str">
        <x:v>2014-12-31</x:v>
      </x:c>
    </x:row>
    <x:row r="428" ht="22" customHeight="1">
      <x:c r="A428" s="15" t="str">
        <x:f>"11151300"</x:f>
        <x:v>11151300</x:v>
      </x:c>
      <x:c r="B428" s="12" t="n">
        <x:v>42</x:v>
      </x:c>
      <x:c r="C428" s="12" t="n">
        <x:v>1910</x:v>
      </x:c>
      <x:c r="D428" s="10" t="n">
        <x:v>0.22899599291163975</x:v>
      </x:c>
      <x:c r="E428" s="10" t="n">
        <x:v>0.1596065411527443</x:v>
      </x:c>
      <x:c r="F428" s="17" t="n">
        <x:v>64.30071051641298</x:v>
      </x:c>
      <x:c r="G428" s="17" t="n">
        <x:v>11.654563846984091</x:v>
      </x:c>
      <x:c r="H428" s="17" t="n">
        <x:v>3.9374349552458705</x:v>
      </x:c>
      <x:c r="I428" s="12" t="n">
        <x:v>256</x:v>
      </x:c>
      <x:c r="J428" s="12" t="n">
        <x:v>2</x:v>
      </x:c>
      <x:c r="K428" s="19" t="n">
        <x:v>0.002713975339231919</x:v>
      </x:c>
      <x:c r="L428" s="19" t="n">
        <x:v>0</x:v>
      </x:c>
      <x:c r="M428" s="19" t="n">
        <x:v>0.0001</x:v>
      </x:c>
      <x:c r="N428" s="12" t="n">
        <x:v>5</x:v>
      </x:c>
      <x:c r="O428" s="10" t="n">
        <x:v>0.24168825149536133</x:v>
      </x:c>
      <x:c r="P428" s="22" t="n">
        <x:v>47.02836129255593</x:v>
      </x:c>
      <x:c r="Q428" s="26" t="str">
        <x:v>2009-08-16</x:v>
      </x:c>
      <x:c r="R428" s="26" t="str">
        <x:v>2014-11-07</x:v>
      </x:c>
    </x:row>
    <x:row r="429" ht="22" customHeight="1">
      <x:c r="A429" s="15" t="str">
        <x:f>"11162500"</x:f>
        <x:v>11162500</x:v>
      </x:c>
      <x:c r="B429" s="12" t="n">
        <x:v>42</x:v>
      </x:c>
      <x:c r="C429" s="12" t="n">
        <x:v>1918</x:v>
      </x:c>
      <x:c r="D429" s="10" t="n">
        <x:v>0.4343005318256009</x:v>
      </x:c>
      <x:c r="E429" s="10" t="n">
        <x:v>0.40306672437967417</x:v>
      </x:c>
      <x:c r="F429" s="17" t="n">
        <x:v>67.31412130320142</x:v>
      </x:c>
      <x:c r="G429" s="17" t="n">
        <x:v>26.42842576294995</x:v>
      </x:c>
      <x:c r="H429" s="17" t="n">
        <x:v>13.033545755652762</x:v>
      </x:c>
      <x:c r="I429" s="12" t="n">
        <x:v>256</x:v>
      </x:c>
      <x:c r="J429" s="12" t="n">
        <x:v>2</x:v>
      </x:c>
      <x:c r="K429" s="19" t="n">
        <x:v>0.002713975339231919</x:v>
      </x:c>
      <x:c r="L429" s="19" t="n">
        <x:v>0</x:v>
      </x:c>
      <x:c r="M429" s="19" t="n">
        <x:v>0.0001</x:v>
      </x:c>
      <x:c r="N429" s="12" t="n">
        <x:v>4</x:v>
      </x:c>
      <x:c r="O429" s="10" t="n">
        <x:v>0.26238924264907837</x:v>
      </x:c>
      <x:c r="P429" s="22" t="n">
        <x:v>47.05315031763166</x:v>
      </x:c>
      <x:c r="Q429" s="26" t="str">
        <x:v>2009-10-01</x:v>
      </x:c>
      <x:c r="R429" s="26" t="str">
        <x:v>2014-12-31</x:v>
      </x:c>
    </x:row>
    <x:row r="430" ht="22" customHeight="1">
      <x:c r="A430" s="15" t="str">
        <x:f>"11176400"</x:f>
        <x:v>11176400</x:v>
      </x:c>
      <x:c r="B430" s="12" t="n">
        <x:v>42</x:v>
      </x:c>
      <x:c r="C430" s="12" t="n">
        <x:v>1918</x:v>
      </x:c>
      <x:c r="D430" s="10" t="n">
        <x:v>0.36544657564683913</x:v>
      </x:c>
      <x:c r="E430" s="10" t="n">
        <x:v>0.48439266059001174</x:v>
      </x:c>
      <x:c r="F430" s="17" t="n">
        <x:v>70.01312288229302</x:v>
      </x:c>
      <x:c r="G430" s="17" t="n">
        <x:v>17.948556831625133</x:v>
      </x:c>
      <x:c r="H430" s="17" t="n">
        <x:v>-5.2179692864645455</x:v>
      </x:c>
      <x:c r="I430" s="12" t="n">
        <x:v>256</x:v>
      </x:c>
      <x:c r="J430" s="12" t="n">
        <x:v>2</x:v>
      </x:c>
      <x:c r="K430" s="19" t="n">
        <x:v>0.002713975339231919</x:v>
      </x:c>
      <x:c r="L430" s="19" t="n">
        <x:v>0</x:v>
      </x:c>
      <x:c r="M430" s="19" t="n">
        <x:v>0.0001</x:v>
      </x:c>
      <x:c r="N430" s="12" t="n">
        <x:v>2</x:v>
      </x:c>
      <x:c r="O430" s="10" t="n">
        <x:v>0.12801241874694824</x:v>
      </x:c>
      <x:c r="P430" s="22" t="n">
        <x:v>47.03157207928598</x:v>
      </x:c>
      <x:c r="Q430" s="26" t="str">
        <x:v>2009-10-01</x:v>
      </x:c>
      <x:c r="R430" s="26" t="str">
        <x:v>2014-12-31</x:v>
      </x:c>
    </x:row>
    <x:row r="431" ht="22" customHeight="1">
      <x:c r="A431" s="15" t="str">
        <x:f>"11180500"</x:f>
        <x:v>11180500</x:v>
      </x:c>
      <x:c r="B431" s="12" t="n">
        <x:v>42</x:v>
      </x:c>
      <x:c r="C431" s="12" t="n">
        <x:v>1918</x:v>
      </x:c>
      <x:c r="D431" s="10" t="n">
        <x:v>0.2973094980137365</x:v>
      </x:c>
      <x:c r="E431" s="10" t="n">
        <x:v>0.5155379345498509</x:v>
      </x:c>
      <x:c r="F431" s="17" t="n">
        <x:v>7.241644557571824</x:v>
      </x:c>
      <x:c r="G431" s="17" t="n">
        <x:v>1.8120997021891232</x:v>
      </x:c>
      <x:c r="H431" s="17" t="n">
        <x:v>-0.05799928961165868</x:v>
      </x:c>
      <x:c r="I431" s="12" t="n">
        <x:v>256</x:v>
      </x:c>
      <x:c r="J431" s="12" t="n">
        <x:v>2</x:v>
      </x:c>
      <x:c r="K431" s="19" t="n">
        <x:v>0.002713975339231919</x:v>
      </x:c>
      <x:c r="L431" s="19" t="n">
        <x:v>0</x:v>
      </x:c>
      <x:c r="M431" s="19" t="n">
        <x:v>0.0001</x:v>
      </x:c>
      <x:c r="N431" s="12" t="n">
        <x:v>4</x:v>
      </x:c>
      <x:c r="O431" s="10" t="n">
        <x:v>0.20801134407520294</x:v>
      </x:c>
      <x:c r="P431" s="22" t="n">
        <x:v>47.17517341207713</x:v>
      </x:c>
      <x:c r="Q431" s="26" t="str">
        <x:v>2009-10-01</x:v>
      </x:c>
      <x:c r="R431" s="26" t="str">
        <x:v>2014-12-31</x:v>
      </x:c>
    </x:row>
    <x:row r="432" ht="22" customHeight="1">
      <x:c r="A432" s="15" t="str">
        <x:f>"11180960"</x:f>
        <x:v>11180960</x:v>
      </x:c>
      <x:c r="B432" s="12" t="n">
        <x:v>42</x:v>
      </x:c>
      <x:c r="C432" s="12" t="n">
        <x:v>1918</x:v>
      </x:c>
      <x:c r="D432" s="10" t="n">
        <x:v>0.3567386020077081</x:v>
      </x:c>
      <x:c r="E432" s="10" t="n">
        <x:v>0.31376909353010873</x:v>
      </x:c>
      <x:c r="F432" s="17" t="n">
        <x:v>5.910599552465101</x:v>
      </x:c>
      <x:c r="G432" s="17" t="n">
        <x:v>1.7875458021723463</x:v>
      </x:c>
      <x:c r="H432" s="17" t="n">
        <x:v>0.6155790619457561</x:v>
      </x:c>
      <x:c r="I432" s="12" t="n">
        <x:v>256</x:v>
      </x:c>
      <x:c r="J432" s="12" t="n">
        <x:v>2</x:v>
      </x:c>
      <x:c r="K432" s="19" t="n">
        <x:v>0.002713975339231919</x:v>
      </x:c>
      <x:c r="L432" s="19" t="n">
        <x:v>0</x:v>
      </x:c>
      <x:c r="M432" s="19" t="n">
        <x:v>0.0001</x:v>
      </x:c>
      <x:c r="N432" s="12" t="n">
        <x:v>12</x:v>
      </x:c>
      <x:c r="O432" s="10" t="n">
        <x:v>0.30106452107429504</x:v>
      </x:c>
      <x:c r="P432" s="22" t="n">
        <x:v>47.17304965574294</x:v>
      </x:c>
      <x:c r="Q432" s="26" t="str">
        <x:v>2009-10-01</x:v>
      </x:c>
      <x:c r="R432" s="26" t="str">
        <x:v>2014-12-31</x:v>
      </x:c>
    </x:row>
    <x:row r="433" ht="22" customHeight="1">
      <x:c r="A433" s="15" t="str">
        <x:f>"11224500"</x:f>
        <x:v>11224500</x:v>
      </x:c>
      <x:c r="B433" s="12" t="n">
        <x:v>42</x:v>
      </x:c>
      <x:c r="C433" s="12" t="n">
        <x:v>1918</x:v>
      </x:c>
      <x:c r="D433" s="10" t="n">
        <x:v>0.2582634419318568</x:v>
      </x:c>
      <x:c r="E433" s="10" t="n">
        <x:v>0.2516085977943908</x:v>
      </x:c>
      <x:c r="F433" s="17" t="n">
        <x:v>14.231098887795206</x:v>
      </x:c>
      <x:c r="G433" s="17" t="n">
        <x:v>4.167913726962461</x:v>
      </x:c>
      <x:c r="H433" s="17" t="n">
        <x:v>1.4298350361293015</x:v>
      </x:c>
      <x:c r="I433" s="12" t="n">
        <x:v>256</x:v>
      </x:c>
      <x:c r="J433" s="12" t="n">
        <x:v>2</x:v>
      </x:c>
      <x:c r="K433" s="19" t="n">
        <x:v>0.002713975339231919</x:v>
      </x:c>
      <x:c r="L433" s="19" t="n">
        <x:v>0</x:v>
      </x:c>
      <x:c r="M433" s="19" t="n">
        <x:v>0.0001</x:v>
      </x:c>
      <x:c r="N433" s="12" t="n">
        <x:v>1</x:v>
      </x:c>
      <x:c r="O433" s="10" t="n">
        <x:v>0.08790029585361481</x:v>
      </x:c>
      <x:c r="P433" s="22" t="n">
        <x:v>47.20156896393746</x:v>
      </x:c>
      <x:c r="Q433" s="26" t="str">
        <x:v>2009-10-01</x:v>
      </x:c>
      <x:c r="R433" s="26" t="str">
        <x:v>2014-12-31</x:v>
      </x:c>
    </x:row>
    <x:row r="434" ht="22" customHeight="1">
      <x:c r="A434" s="15" t="str">
        <x:f>"11230500"</x:f>
        <x:v>11230500</x:v>
      </x:c>
      <x:c r="B434" s="12" t="n">
        <x:v>42</x:v>
      </x:c>
      <x:c r="C434" s="12" t="n">
        <x:v>1904</x:v>
      </x:c>
      <x:c r="D434" s="10" t="n">
        <x:v>0.9745723298082763</x:v>
      </x:c>
      <x:c r="E434" s="10" t="n">
        <x:v>0.9710837682098871</x:v>
      </x:c>
      <x:c r="F434" s="17" t="n">
        <x:v>21.09861565097387</x:v>
      </x:c>
      <x:c r="G434" s="17" t="n">
        <x:v>10.173864853235294</x:v>
      </x:c>
      <x:c r="H434" s="17" t="n">
        <x:v>1.7354008300630255</x:v>
      </x:c>
      <x:c r="I434" s="12" t="n">
        <x:v>256</x:v>
      </x:c>
      <x:c r="J434" s="12" t="n">
        <x:v>2</x:v>
      </x:c>
      <x:c r="K434" s="19" t="n">
        <x:v>0.002713975339231919</x:v>
      </x:c>
      <x:c r="L434" s="19" t="n">
        <x:v>0</x:v>
      </x:c>
      <x:c r="M434" s="19" t="n">
        <x:v>0.0001</x:v>
      </x:c>
      <x:c r="N434" s="12" t="n">
        <x:v>24</x:v>
      </x:c>
      <x:c r="O434" s="10" t="n">
        <x:v>0.01686801016330719</x:v>
      </x:c>
      <x:c r="P434" s="22" t="n">
        <x:v>47.187216642312706</x:v>
      </x:c>
      <x:c r="Q434" s="26" t="str">
        <x:v>2009-07-15</x:v>
      </x:c>
      <x:c r="R434" s="26" t="str">
        <x:v>2014-09-30</x:v>
      </x:c>
    </x:row>
    <x:row r="435" ht="22" customHeight="1">
      <x:c r="A435" s="15" t="str">
        <x:f>"11237500"</x:f>
        <x:v>11237500</x:v>
      </x:c>
      <x:c r="B435" s="12" t="n">
        <x:v>42</x:v>
      </x:c>
      <x:c r="C435" s="12" t="n">
        <x:v>1904</x:v>
      </x:c>
      <x:c r="D435" s="10" t="n">
        <x:v>0.9688700866026912</x:v>
      </x:c>
      <x:c r="E435" s="10" t="n">
        <x:v>0.9655759663522285</x:v>
      </x:c>
      <x:c r="F435" s="17" t="n">
        <x:v>16.015158537987876</x:v>
      </x:c>
      <x:c r="G435" s="17" t="n">
        <x:v>6.667940624497374</x:v>
      </x:c>
      <x:c r="H435" s="17" t="n">
        <x:v>-1.149970264192752</x:v>
      </x:c>
      <x:c r="I435" s="12" t="n">
        <x:v>256</x:v>
      </x:c>
      <x:c r="J435" s="12" t="n">
        <x:v>2</x:v>
      </x:c>
      <x:c r="K435" s="19" t="n">
        <x:v>0.002713975339231919</x:v>
      </x:c>
      <x:c r="L435" s="19" t="n">
        <x:v>0</x:v>
      </x:c>
      <x:c r="M435" s="19" t="n">
        <x:v>0.0001</x:v>
      </x:c>
      <x:c r="N435" s="12" t="n">
        <x:v>4</x:v>
      </x:c>
      <x:c r="O435" s="10" t="n">
        <x:v>0.045896612107753754</x:v>
      </x:c>
      <x:c r="P435" s="22" t="n">
        <x:v>47.19294401817024</x:v>
      </x:c>
      <x:c r="Q435" s="26" t="str">
        <x:v>2009-07-15</x:v>
      </x:c>
      <x:c r="R435" s="26" t="str">
        <x:v>2014-09-30</x:v>
      </x:c>
    </x:row>
    <x:row r="436" ht="22" customHeight="1">
      <x:c r="A436" s="15" t="str">
        <x:f>"11253310"</x:f>
        <x:v>11253310</x:v>
      </x:c>
      <x:c r="B436" s="12" t="n">
        <x:v>42</x:v>
      </x:c>
      <x:c r="C436" s="12" t="n">
        <x:v>1918</x:v>
      </x:c>
      <x:c r="D436" s="10" t="n">
        <x:v>0.26595769906165834</x:v>
      </x:c>
      <x:c r="E436" s="10" t="n">
        <x:v>0.24269086120795957</x:v>
      </x:c>
      <x:c r="F436" s="17" t="n">
        <x:v>7.317002993832351</x:v>
      </x:c>
      <x:c r="G436" s="17" t="n">
        <x:v>2.019822753322315</x:v>
      </x:c>
      <x:c r="H436" s="17" t="n">
        <x:v>0.8347050945110531</x:v>
      </x:c>
      <x:c r="I436" s="12" t="n">
        <x:v>256</x:v>
      </x:c>
      <x:c r="J436" s="12" t="n">
        <x:v>2</x:v>
      </x:c>
      <x:c r="K436" s="19" t="n">
        <x:v>0.002713975339231919</x:v>
      </x:c>
      <x:c r="L436" s="19" t="n">
        <x:v>0</x:v>
      </x:c>
      <x:c r="M436" s="19" t="n">
        <x:v>0.0001</x:v>
      </x:c>
      <x:c r="N436" s="12" t="n">
        <x:v>1</x:v>
      </x:c>
      <x:c r="O436" s="10" t="n">
        <x:v>0.394353449344635</x:v>
      </x:c>
      <x:c r="P436" s="22" t="n">
        <x:v>47.20478499494493</x:v>
      </x:c>
      <x:c r="Q436" s="26" t="str">
        <x:v>2009-10-01</x:v>
      </x:c>
      <x:c r="R436" s="26" t="str">
        <x:v>2014-12-31</x:v>
      </x:c>
    </x:row>
    <x:row r="437" ht="22" customHeight="1">
      <x:c r="A437" s="15" t="str">
        <x:f>"11264500"</x:f>
        <x:v>11264500</x:v>
      </x:c>
      <x:c r="B437" s="12" t="n">
        <x:v>42</x:v>
      </x:c>
      <x:c r="C437" s="12" t="n">
        <x:v>1918</x:v>
      </x:c>
      <x:c r="D437" s="10" t="n">
        <x:v>0.9668501741229322</x:v>
      </x:c>
      <x:c r="E437" s="10" t="n">
        <x:v>0.945104762829535</x:v>
      </x:c>
      <x:c r="F437" s="17" t="n">
        <x:v>99.06143542079758</x:v>
      </x:c>
      <x:c r="G437" s="17" t="n">
        <x:v>41.34261219994578</x:v>
      </x:c>
      <x:c r="H437" s="17" t="n">
        <x:v>13.748148286289881</x:v>
      </x:c>
      <x:c r="I437" s="12" t="n">
        <x:v>256</x:v>
      </x:c>
      <x:c r="J437" s="12" t="n">
        <x:v>2</x:v>
      </x:c>
      <x:c r="K437" s="19" t="n">
        <x:v>0.002713975339231919</x:v>
      </x:c>
      <x:c r="L437" s="19" t="n">
        <x:v>0</x:v>
      </x:c>
      <x:c r="M437" s="19" t="n">
        <x:v>0.0001</x:v>
      </x:c>
      <x:c r="N437" s="12" t="n">
        <x:v>7</x:v>
      </x:c>
      <x:c r="O437" s="10" t="n">
        <x:v>0.020092088729143143</x:v>
      </x:c>
      <x:c r="P437" s="22" t="n">
        <x:v>46.943814733065665</x:v>
      </x:c>
      <x:c r="Q437" s="26" t="str">
        <x:v>2009-10-01</x:v>
      </x:c>
      <x:c r="R437" s="26" t="str">
        <x:v>2014-12-31</x:v>
      </x:c>
    </x:row>
    <x:row r="438" ht="22" customHeight="1">
      <x:c r="A438" s="15" t="str">
        <x:f>"11266500"</x:f>
        <x:v>11266500</x:v>
      </x:c>
      <x:c r="B438" s="12" t="n">
        <x:v>42</x:v>
      </x:c>
      <x:c r="C438" s="12" t="n">
        <x:v>1918</x:v>
      </x:c>
      <x:c r="D438" s="10" t="n">
        <x:v>0.9752733684019309</x:v>
      </x:c>
      <x:c r="E438" s="10" t="n">
        <x:v>0.9854346045572135</x:v>
      </x:c>
      <x:c r="F438" s="17" t="n">
        <x:v>148.19460853234</x:v>
      </x:c>
      <x:c r="G438" s="17" t="n">
        <x:v>58.47004817754953</x:v>
      </x:c>
      <x:c r="H438" s="17" t="n">
        <x:v>-3.3191824100834215</x:v>
      </x:c>
      <x:c r="I438" s="12" t="n">
        <x:v>256</x:v>
      </x:c>
      <x:c r="J438" s="12" t="n">
        <x:v>2</x:v>
      </x:c>
      <x:c r="K438" s="19" t="n">
        <x:v>0.002713975339231919</x:v>
      </x:c>
      <x:c r="L438" s="19" t="n">
        <x:v>0</x:v>
      </x:c>
      <x:c r="M438" s="19" t="n">
        <x:v>0.0001</x:v>
      </x:c>
      <x:c r="N438" s="12" t="n">
        <x:v>12</x:v>
      </x:c>
      <x:c r="O438" s="10" t="n">
        <x:v>0.021967705339193344</x:v>
      </x:c>
      <x:c r="P438" s="22" t="n">
        <x:v>47.01689700875431</x:v>
      </x:c>
      <x:c r="Q438" s="26" t="str">
        <x:v>2009-10-01</x:v>
      </x:c>
      <x:c r="R438" s="26" t="str">
        <x:v>2014-12-31</x:v>
      </x:c>
    </x:row>
    <x:row r="439" ht="22" customHeight="1">
      <x:c r="A439" s="15" t="str">
        <x:f>"11274500"</x:f>
        <x:v>11274500</x:v>
      </x:c>
      <x:c r="B439" s="12" t="n">
        <x:v>42</x:v>
      </x:c>
      <x:c r="C439" s="12" t="n">
        <x:v>1918</x:v>
      </x:c>
      <x:c r="D439" s="10" t="n">
        <x:v>0.2161201683902223</x:v>
      </x:c>
      <x:c r="E439" s="10" t="n">
        <x:v>0.5155518431882977</x:v>
      </x:c>
      <x:c r="F439" s="17" t="n">
        <x:v>77.49300469951498</x:v>
      </x:c>
      <x:c r="G439" s="17" t="n">
        <x:v>16.56215050924004</x:v>
      </x:c>
      <x:c r="H439" s="17" t="n">
        <x:v>-1.6539944694976012</x:v>
      </x:c>
      <x:c r="I439" s="12" t="n">
        <x:v>256</x:v>
      </x:c>
      <x:c r="J439" s="12" t="n">
        <x:v>2</x:v>
      </x:c>
      <x:c r="K439" s="19" t="n">
        <x:v>0.002713975339231919</x:v>
      </x:c>
      <x:c r="L439" s="19" t="n">
        <x:v>0</x:v>
      </x:c>
      <x:c r="M439" s="19" t="n">
        <x:v>0.0001</x:v>
      </x:c>
      <x:c r="N439" s="12" t="n">
        <x:v>7</x:v>
      </x:c>
      <x:c r="O439" s="10" t="n">
        <x:v>0.0817149206995964</x:v>
      </x:c>
      <x:c r="P439" s="22" t="n">
        <x:v>46.9387645944953</x:v>
      </x:c>
      <x:c r="Q439" s="26" t="str">
        <x:v>2009-10-01</x:v>
      </x:c>
      <x:c r="R439" s="26" t="str">
        <x:v>2014-12-31</x:v>
      </x:c>
    </x:row>
    <x:row r="440" ht="22" customHeight="1">
      <x:c r="A440" s="15" t="str">
        <x:f>"11274630"</x:f>
        <x:v>11274630</x:v>
      </x:c>
      <x:c r="B440" s="12" t="n">
        <x:v>42</x:v>
      </x:c>
      <x:c r="C440" s="12" t="n">
        <x:v>1918</x:v>
      </x:c>
      <x:c r="D440" s="10" t="n">
        <x:v>0.49846649342144633</x:v>
      </x:c>
      <x:c r="E440" s="10" t="n">
        <x:v>0.4927191830046568</x:v>
      </x:c>
      <x:c r="F440" s="17" t="n">
        <x:v>12.38059986068985</x:v>
      </x:c>
      <x:c r="G440" s="17" t="n">
        <x:v>4.053659056821658</x:v>
      </x:c>
      <x:c r="H440" s="17" t="n">
        <x:v>1.2299481128178</x:v>
      </x:c>
      <x:c r="I440" s="12" t="n">
        <x:v>256</x:v>
      </x:c>
      <x:c r="J440" s="12" t="n">
        <x:v>2</x:v>
      </x:c>
      <x:c r="K440" s="19" t="n">
        <x:v>0.002713975339231919</x:v>
      </x:c>
      <x:c r="L440" s="19" t="n">
        <x:v>0</x:v>
      </x:c>
      <x:c r="M440" s="19" t="n">
        <x:v>0.0001</x:v>
      </x:c>
      <x:c r="N440" s="12" t="n">
        <x:v>1</x:v>
      </x:c>
      <x:c r="O440" s="10" t="n">
        <x:v>0.04497095197439194</x:v>
      </x:c>
      <x:c r="P440" s="22" t="n">
        <x:v>46.8248924491927</x:v>
      </x:c>
      <x:c r="Q440" s="26" t="str">
        <x:v>2009-10-01</x:v>
      </x:c>
      <x:c r="R440" s="26" t="str">
        <x:v>2014-12-31</x:v>
      </x:c>
    </x:row>
    <x:row r="441" ht="22" customHeight="1">
      <x:c r="A441" s="15" t="str">
        <x:f>"11284400"</x:f>
        <x:v>11284400</x:v>
      </x:c>
      <x:c r="B441" s="12" t="n">
        <x:v>42</x:v>
      </x:c>
      <x:c r="C441" s="12" t="n">
        <x:v>1918</x:v>
      </x:c>
      <x:c r="D441" s="10" t="n">
        <x:v>0.2874148476577848</x:v>
      </x:c>
      <x:c r="E441" s="10" t="n">
        <x:v>0.4177246893519385</x:v>
      </x:c>
      <x:c r="F441" s="17" t="n">
        <x:v>29.928885635196206</x:v>
      </x:c>
      <x:c r="G441" s="17" t="n">
        <x:v>6.109508982997654</x:v>
      </x:c>
      <x:c r="H441" s="17" t="n">
        <x:v>-0.15582633144395186</x:v>
      </x:c>
      <x:c r="I441" s="12" t="n">
        <x:v>256</x:v>
      </x:c>
      <x:c r="J441" s="12" t="n">
        <x:v>2</x:v>
      </x:c>
      <x:c r="K441" s="19" t="n">
        <x:v>0.002713975339231919</x:v>
      </x:c>
      <x:c r="L441" s="19" t="n">
        <x:v>0</x:v>
      </x:c>
      <x:c r="M441" s="19" t="n">
        <x:v>0.0001</x:v>
      </x:c>
      <x:c r="N441" s="12" t="n">
        <x:v>13</x:v>
      </x:c>
      <x:c r="O441" s="10" t="n">
        <x:v>0.33751580119132996</x:v>
      </x:c>
      <x:c r="P441" s="22" t="n">
        <x:v>46.998025932349265</x:v>
      </x:c>
      <x:c r="Q441" s="26" t="str">
        <x:v>2009-10-01</x:v>
      </x:c>
      <x:c r="R441" s="26" t="str">
        <x:v>2014-12-31</x:v>
      </x:c>
    </x:row>
    <x:row r="442" ht="22" customHeight="1">
      <x:c r="A442" s="15" t="str">
        <x:f>"11381500"</x:f>
        <x:v>11381500</x:v>
      </x:c>
      <x:c r="B442" s="12" t="n">
        <x:v>42</x:v>
      </x:c>
      <x:c r="C442" s="12" t="n">
        <x:v>1918</x:v>
      </x:c>
      <x:c r="D442" s="10" t="n">
        <x:v>0.5306742116159154</x:v>
      </x:c>
      <x:c r="E442" s="10" t="n">
        <x:v>0.6872421680797545</x:v>
      </x:c>
      <x:c r="F442" s="17" t="n">
        <x:v>203.5651222962143</x:v>
      </x:c>
      <x:c r="G442" s="17" t="n">
        <x:v>81.63989411626694</x:v>
      </x:c>
      <x:c r="H442" s="17" t="n">
        <x:v>38.623628057872786</x:v>
      </x:c>
      <x:c r="I442" s="12" t="n">
        <x:v>256</x:v>
      </x:c>
      <x:c r="J442" s="12" t="n">
        <x:v>2</x:v>
      </x:c>
      <x:c r="K442" s="19" t="n">
        <x:v>0.002713975339231919</x:v>
      </x:c>
      <x:c r="L442" s="19" t="n">
        <x:v>0</x:v>
      </x:c>
      <x:c r="M442" s="19" t="n">
        <x:v>0.0001</x:v>
      </x:c>
      <x:c r="N442" s="12" t="n">
        <x:v>5</x:v>
      </x:c>
      <x:c r="O442" s="10" t="n">
        <x:v>0.3070758581161499</x:v>
      </x:c>
      <x:c r="P442" s="22" t="n">
        <x:v>47.00429459288716</x:v>
      </x:c>
      <x:c r="Q442" s="26" t="str">
        <x:v>2009-10-01</x:v>
      </x:c>
      <x:c r="R442" s="26" t="str">
        <x:v>2014-12-31</x:v>
      </x:c>
    </x:row>
    <x:row r="443" ht="22" customHeight="1">
      <x:c r="A443" s="15" t="str">
        <x:f>"11383500"</x:f>
        <x:v>11383500</x:v>
      </x:c>
      <x:c r="B443" s="12" t="n">
        <x:v>42</x:v>
      </x:c>
      <x:c r="C443" s="12" t="n">
        <x:v>1918</x:v>
      </x:c>
      <x:c r="D443" s="10" t="n">
        <x:v>0.6432552386876698</x:v>
      </x:c>
      <x:c r="E443" s="10" t="n">
        <x:v>0.7887863003530148</x:v>
      </x:c>
      <x:c r="F443" s="17" t="n">
        <x:v>214.86111813626476</x:v>
      </x:c>
      <x:c r="G443" s="17" t="n">
        <x:v>87.46755329684045</x:v>
      </x:c>
      <x:c r="H443" s="17" t="n">
        <x:v>30.884002832460897</x:v>
      </x:c>
      <x:c r="I443" s="12" t="n">
        <x:v>256</x:v>
      </x:c>
      <x:c r="J443" s="12" t="n">
        <x:v>2</x:v>
      </x:c>
      <x:c r="K443" s="19" t="n">
        <x:v>0.002713975339231919</x:v>
      </x:c>
      <x:c r="L443" s="19" t="n">
        <x:v>0</x:v>
      </x:c>
      <x:c r="M443" s="19" t="n">
        <x:v>0.0001</x:v>
      </x:c>
      <x:c r="N443" s="12" t="n">
        <x:v>11</x:v>
      </x:c>
      <x:c r="O443" s="10" t="n">
        <x:v>0.17999416589736938</x:v>
      </x:c>
      <x:c r="P443" s="22" t="n">
        <x:v>47.13037492521107</x:v>
      </x:c>
      <x:c r="Q443" s="26" t="str">
        <x:v>2009-10-01</x:v>
      </x:c>
      <x:c r="R443" s="26" t="str">
        <x:v>2014-12-31</x:v>
      </x:c>
    </x:row>
    <x:row r="444" ht="22" customHeight="1">
      <x:c r="A444" s="15" t="str">
        <x:f>"11451100"</x:f>
        <x:v>11451100</x:v>
      </x:c>
      <x:c r="B444" s="12" t="n">
        <x:v>42</x:v>
      </x:c>
      <x:c r="C444" s="12" t="n">
        <x:v>1918</x:v>
      </x:c>
      <x:c r="D444" s="10" t="n">
        <x:v>0.5728605129152681</x:v>
      </x:c>
      <x:c r="E444" s="10" t="n">
        <x:v>0.6608950209541827</x:v>
      </x:c>
      <x:c r="F444" s="17" t="n">
        <x:v>138.56771886905267</x:v>
      </x:c>
      <x:c r="G444" s="17" t="n">
        <x:v>46.63109559552454</x:v>
      </x:c>
      <x:c r="H444" s="17" t="n">
        <x:v>12.555018487851319</x:v>
      </x:c>
      <x:c r="I444" s="12" t="n">
        <x:v>256</x:v>
      </x:c>
      <x:c r="J444" s="12" t="n">
        <x:v>2</x:v>
      </x:c>
      <x:c r="K444" s="19" t="n">
        <x:v>0.002713975339231919</x:v>
      </x:c>
      <x:c r="L444" s="19" t="n">
        <x:v>0</x:v>
      </x:c>
      <x:c r="M444" s="19" t="n">
        <x:v>0.0001</x:v>
      </x:c>
      <x:c r="N444" s="12" t="n">
        <x:v>6</x:v>
      </x:c>
      <x:c r="O444" s="10" t="n">
        <x:v>0.19886963069438934</x:v>
      </x:c>
      <x:c r="P444" s="22" t="n">
        <x:v>47.02936739008874</x:v>
      </x:c>
      <x:c r="Q444" s="26" t="str">
        <x:v>2009-10-01</x:v>
      </x:c>
      <x:c r="R444" s="26" t="str">
        <x:v>2014-12-31</x:v>
      </x:c>
    </x:row>
    <x:row r="445" ht="22" customHeight="1">
      <x:c r="A445" s="15" t="str">
        <x:f>"11468500"</x:f>
        <x:v>11468500</x:v>
      </x:c>
      <x:c r="B445" s="12" t="n">
        <x:v>42</x:v>
      </x:c>
      <x:c r="C445" s="12" t="n">
        <x:v>1918</x:v>
      </x:c>
      <x:c r="D445" s="10" t="n">
        <x:v>0.7560766145505112</x:v>
      </x:c>
      <x:c r="E445" s="10" t="n">
        <x:v>0.7424376507973122</x:v>
      </x:c>
      <x:c r="F445" s="17" t="n">
        <x:v>170.78759051283427</x:v>
      </x:c>
      <x:c r="G445" s="17" t="n">
        <x:v>54.3163441012513</x:v>
      </x:c>
      <x:c r="H445" s="17" t="n">
        <x:v>-1.0999270100104281</x:v>
      </x:c>
      <x:c r="I445" s="12" t="n">
        <x:v>256</x:v>
      </x:c>
      <x:c r="J445" s="12" t="n">
        <x:v>2</x:v>
      </x:c>
      <x:c r="K445" s="19" t="n">
        <x:v>0.002713975339231919</x:v>
      </x:c>
      <x:c r="L445" s="19" t="n">
        <x:v>0</x:v>
      </x:c>
      <x:c r="M445" s="19" t="n">
        <x:v>0.0001</x:v>
      </x:c>
      <x:c r="N445" s="12" t="n">
        <x:v>25</x:v>
      </x:c>
      <x:c r="O445" s="10" t="n">
        <x:v>0.2387862205505371</x:v>
      </x:c>
      <x:c r="P445" s="22" t="n">
        <x:v>47.10227628238499</x:v>
      </x:c>
      <x:c r="Q445" s="26" t="str">
        <x:v>2009-10-01</x:v>
      </x:c>
      <x:c r="R445" s="26" t="str">
        <x:v>2014-12-31</x:v>
      </x:c>
    </x:row>
    <x:row r="446" ht="22" customHeight="1">
      <x:c r="A446" s="15" t="str">
        <x:f>"11473900"</x:f>
        <x:v>11473900</x:v>
      </x:c>
      <x:c r="B446" s="12" t="n">
        <x:v>42</x:v>
      </x:c>
      <x:c r="C446" s="12" t="n">
        <x:v>1918</x:v>
      </x:c>
      <x:c r="D446" s="10" t="n">
        <x:v>0.6384630011232995</x:v>
      </x:c>
      <x:c r="E446" s="10" t="n">
        <x:v>0.7532049583246094</x:v>
      </x:c>
      <x:c r="F446" s="17" t="n">
        <x:v>1268.988654260286</x:v>
      </x:c>
      <x:c r="G446" s="17" t="n">
        <x:v>492.00325274448386</x:v>
      </x:c>
      <x:c r="H446" s="17" t="n">
        <x:v>172.10595892319083</x:v>
      </x:c>
      <x:c r="I446" s="12" t="n">
        <x:v>256</x:v>
      </x:c>
      <x:c r="J446" s="12" t="n">
        <x:v>2</x:v>
      </x:c>
      <x:c r="K446" s="19" t="n">
        <x:v>0.002713975339231919</x:v>
      </x:c>
      <x:c r="L446" s="19" t="n">
        <x:v>0</x:v>
      </x:c>
      <x:c r="M446" s="19" t="n">
        <x:v>0.0001</x:v>
      </x:c>
      <x:c r="N446" s="12" t="n">
        <x:v>1</x:v>
      </x:c>
      <x:c r="O446" s="10" t="n">
        <x:v>0.2975899875164032</x:v>
      </x:c>
      <x:c r="P446" s="22" t="n">
        <x:v>47.12632536049932</x:v>
      </x:c>
      <x:c r="Q446" s="26" t="str">
        <x:v>2009-10-01</x:v>
      </x:c>
      <x:c r="R446" s="26" t="str">
        <x:v>2014-12-31</x:v>
      </x:c>
    </x:row>
    <x:row r="447" ht="22" customHeight="1">
      <x:c r="A447" s="15" t="str">
        <x:f>"11475560"</x:f>
        <x:v>11475560</x:v>
      </x:c>
      <x:c r="B447" s="12" t="n">
        <x:v>42</x:v>
      </x:c>
      <x:c r="C447" s="12" t="n">
        <x:v>1918</x:v>
      </x:c>
      <x:c r="D447" s="10" t="n">
        <x:v>0.7586517087652093</x:v>
      </x:c>
      <x:c r="E447" s="10" t="n">
        <x:v>0.8190189569583737</x:v>
      </x:c>
      <x:c r="F447" s="17" t="n">
        <x:v>19.592277802156016</x:v>
      </x:c>
      <x:c r="G447" s="17" t="n">
        <x:v>6.711135375215015</x:v>
      </x:c>
      <x:c r="H447" s="17" t="n">
        <x:v>-1.2660633179887382</x:v>
      </x:c>
      <x:c r="I447" s="12" t="n">
        <x:v>256</x:v>
      </x:c>
      <x:c r="J447" s="12" t="n">
        <x:v>2</x:v>
      </x:c>
      <x:c r="K447" s="19" t="n">
        <x:v>0.002713975339231919</x:v>
      </x:c>
      <x:c r="L447" s="19" t="n">
        <x:v>0</x:v>
      </x:c>
      <x:c r="M447" s="19" t="n">
        <x:v>0.0001</x:v>
      </x:c>
      <x:c r="N447" s="12" t="n">
        <x:v>19</x:v>
      </x:c>
      <x:c r="O447" s="10" t="n">
        <x:v>0.23922564089298248</x:v>
      </x:c>
      <x:c r="P447" s="22" t="n">
        <x:v>47.13717795256525</x:v>
      </x:c>
      <x:c r="Q447" s="26" t="str">
        <x:v>2009-10-01</x:v>
      </x:c>
      <x:c r="R447" s="26" t="str">
        <x:v>2014-12-31</x:v>
      </x:c>
    </x:row>
    <x:row r="448" ht="22" customHeight="1">
      <x:c r="A448" s="15" t="str">
        <x:f>"11476600"</x:f>
        <x:v>11476600</x:v>
      </x:c>
      <x:c r="B448" s="12" t="n">
        <x:v>42</x:v>
      </x:c>
      <x:c r="C448" s="12" t="n">
        <x:v>1918</x:v>
      </x:c>
      <x:c r="D448" s="10" t="n">
        <x:v>0.7840808982049259</x:v>
      </x:c>
      <x:c r="E448" s="10" t="n">
        <x:v>0.7970566776253526</x:v>
      </x:c>
      <x:c r="F448" s="17" t="n">
        <x:v>93.95815855169211</x:v>
      </x:c>
      <x:c r="G448" s="17" t="n">
        <x:v>33.99814334855558</x:v>
      </x:c>
      <x:c r="H448" s="17" t="n">
        <x:v>9.805179223348489</x:v>
      </x:c>
      <x:c r="I448" s="12" t="n">
        <x:v>256</x:v>
      </x:c>
      <x:c r="J448" s="12" t="n">
        <x:v>2</x:v>
      </x:c>
      <x:c r="K448" s="19" t="n">
        <x:v>0.002713975339231919</x:v>
      </x:c>
      <x:c r="L448" s="19" t="n">
        <x:v>0</x:v>
      </x:c>
      <x:c r="M448" s="19" t="n">
        <x:v>0.0001</x:v>
      </x:c>
      <x:c r="N448" s="12" t="n">
        <x:v>8</x:v>
      </x:c>
      <x:c r="O448" s="10" t="n">
        <x:v>0.1256255954504013</x:v>
      </x:c>
      <x:c r="P448" s="22" t="n">
        <x:v>47.073711023665965</x:v>
      </x:c>
      <x:c r="Q448" s="26" t="str">
        <x:v>2009-10-01</x:v>
      </x:c>
      <x:c r="R448" s="26" t="str">
        <x:v>2014-12-31</x:v>
      </x:c>
    </x:row>
    <x:row r="449" ht="22" customHeight="1">
      <x:c r="A449" s="15" t="str">
        <x:f>"11478500"</x:f>
        <x:v>11478500</x:v>
      </x:c>
      <x:c r="B449" s="12" t="n">
        <x:v>42</x:v>
      </x:c>
      <x:c r="C449" s="12" t="n">
        <x:v>1918</x:v>
      </x:c>
      <x:c r="D449" s="10" t="n">
        <x:v>0.6651181491148632</x:v>
      </x:c>
      <x:c r="E449" s="10" t="n">
        <x:v>0.7716170822212018</x:v>
      </x:c>
      <x:c r="F449" s="17" t="n">
        <x:v>755.7875018405618</x:v>
      </x:c>
      <x:c r="G449" s="17" t="n">
        <x:v>275.4982446618248</x:v>
      </x:c>
      <x:c r="H449" s="17" t="n">
        <x:v>0.05440886789363729</x:v>
      </x:c>
      <x:c r="I449" s="12" t="n">
        <x:v>256</x:v>
      </x:c>
      <x:c r="J449" s="12" t="n">
        <x:v>2</x:v>
      </x:c>
      <x:c r="K449" s="19" t="n">
        <x:v>0.002713975339231919</x:v>
      </x:c>
      <x:c r="L449" s="19" t="n">
        <x:v>0</x:v>
      </x:c>
      <x:c r="M449" s="19" t="n">
        <x:v>0.0001</x:v>
      </x:c>
      <x:c r="N449" s="12" t="n">
        <x:v>14</x:v>
      </x:c>
      <x:c r="O449" s="10" t="n">
        <x:v>0.2293907254934311</x:v>
      </x:c>
      <x:c r="P449" s="22" t="n">
        <x:v>47.13429607544094</x:v>
      </x:c>
      <x:c r="Q449" s="26" t="str">
        <x:v>2009-10-01</x:v>
      </x:c>
      <x:c r="R449" s="26" t="str">
        <x:v>2014-12-31</x:v>
      </x:c>
    </x:row>
    <x:row r="450" ht="22" customHeight="1">
      <x:c r="A450" s="15" t="str">
        <x:f>"11481200"</x:f>
        <x:v>11481200</x:v>
      </x:c>
      <x:c r="B450" s="12" t="n">
        <x:v>42</x:v>
      </x:c>
      <x:c r="C450" s="12" t="n">
        <x:v>1918</x:v>
      </x:c>
      <x:c r="D450" s="10" t="n">
        <x:v>0.6586500617922704</x:v>
      </x:c>
      <x:c r="E450" s="10" t="n">
        <x:v>0.6936154984082292</x:v>
      </x:c>
      <x:c r="F450" s="17" t="n">
        <x:v>115.32644093070728</x:v>
      </x:c>
      <x:c r="G450" s="17" t="n">
        <x:v>38.27921606006011</x:v>
      </x:c>
      <x:c r="H450" s="17" t="n">
        <x:v>-10.907650985294735</x:v>
      </x:c>
      <x:c r="I450" s="12" t="n">
        <x:v>256</x:v>
      </x:c>
      <x:c r="J450" s="12" t="n">
        <x:v>2</x:v>
      </x:c>
      <x:c r="K450" s="19" t="n">
        <x:v>0.002713975339231919</x:v>
      </x:c>
      <x:c r="L450" s="19" t="n">
        <x:v>0</x:v>
      </x:c>
      <x:c r="M450" s="19" t="n">
        <x:v>0.0001</x:v>
      </x:c>
      <x:c r="N450" s="12" t="n">
        <x:v>4</x:v>
      </x:c>
      <x:c r="O450" s="10" t="n">
        <x:v>0.2163698375225067</x:v>
      </x:c>
      <x:c r="P450" s="22" t="n">
        <x:v>47.13750912062824</x:v>
      </x:c>
      <x:c r="Q450" s="26" t="str">
        <x:v>2009-10-01</x:v>
      </x:c>
      <x:c r="R450" s="26" t="str">
        <x:v>2014-12-31</x:v>
      </x:c>
    </x:row>
    <x:row r="451" ht="22" customHeight="1">
      <x:c r="A451" s="15" t="str">
        <x:f>"11482500"</x:f>
        <x:v>11482500</x:v>
      </x:c>
      <x:c r="B451" s="12" t="n">
        <x:v>42</x:v>
      </x:c>
      <x:c r="C451" s="12" t="n">
        <x:v>1918</x:v>
      </x:c>
      <x:c r="D451" s="10" t="n">
        <x:v>0.844016608432513</x:v>
      </x:c>
      <x:c r="E451" s="10" t="n">
        <x:v>0.8337781891758249</x:v>
      </x:c>
      <x:c r="F451" s="17" t="n">
        <x:v>496.4458719680076</x:v>
      </x:c>
      <x:c r="G451" s="17" t="n">
        <x:v>232.79394203018447</x:v>
      </x:c>
      <x:c r="H451" s="17" t="n">
        <x:v>111.6077193395757</x:v>
      </x:c>
      <x:c r="I451" s="12" t="n">
        <x:v>256</x:v>
      </x:c>
      <x:c r="J451" s="12" t="n">
        <x:v>2</x:v>
      </x:c>
      <x:c r="K451" s="19" t="n">
        <x:v>0.002713975339231919</x:v>
      </x:c>
      <x:c r="L451" s="19" t="n">
        <x:v>0</x:v>
      </x:c>
      <x:c r="M451" s="19" t="n">
        <x:v>0.0001</x:v>
      </x:c>
      <x:c r="N451" s="12" t="n">
        <x:v>12</x:v>
      </x:c>
      <x:c r="O451" s="10" t="n">
        <x:v>0.14454880356788635</x:v>
      </x:c>
      <x:c r="P451" s="22" t="n">
        <x:v>47.007420444861054</x:v>
      </x:c>
      <x:c r="Q451" s="26" t="str">
        <x:v>2009-10-01</x:v>
      </x:c>
      <x:c r="R451" s="26" t="str">
        <x:v>2014-12-31</x:v>
      </x:c>
    </x:row>
    <x:row r="452" ht="22" customHeight="1">
      <x:c r="A452" s="15" t="str">
        <x:f>"11522500"</x:f>
        <x:v>11522500</x:v>
      </x:c>
      <x:c r="B452" s="12" t="n">
        <x:v>42</x:v>
      </x:c>
      <x:c r="C452" s="12" t="n">
        <x:v>1918</x:v>
      </x:c>
      <x:c r="D452" s="10" t="n">
        <x:v>0.8001734647509273</x:v>
      </x:c>
      <x:c r="E452" s="10" t="n">
        <x:v>0.8968021665208239</x:v>
      </x:c>
      <x:c r="F452" s="17" t="n">
        <x:v>828.0624527363354</x:v>
      </x:c>
      <x:c r="G452" s="17" t="n">
        <x:v>307.7209621535714</x:v>
      </x:c>
      <x:c r="H452" s="17" t="n">
        <x:v>-26.677787867857155</x:v>
      </x:c>
      <x:c r="I452" s="12" t="n">
        <x:v>256</x:v>
      </x:c>
      <x:c r="J452" s="12" t="n">
        <x:v>2</x:v>
      </x:c>
      <x:c r="K452" s="19" t="n">
        <x:v>0.002713975339231919</x:v>
      </x:c>
      <x:c r="L452" s="19" t="n">
        <x:v>0</x:v>
      </x:c>
      <x:c r="M452" s="19" t="n">
        <x:v>0.0001</x:v>
      </x:c>
      <x:c r="N452" s="12" t="n">
        <x:v>11</x:v>
      </x:c>
      <x:c r="O452" s="10" t="n">
        <x:v>0.2041102647781372</x:v>
      </x:c>
      <x:c r="P452" s="22" t="n">
        <x:v>46.90040812827647</x:v>
      </x:c>
      <x:c r="Q452" s="26" t="str">
        <x:v>2009-10-01</x:v>
      </x:c>
      <x:c r="R452" s="26" t="str">
        <x:v>2014-12-31</x:v>
      </x:c>
    </x:row>
    <x:row r="453" ht="22" customHeight="1">
      <x:c r="A453" s="15" t="str">
        <x:f>"11523200"</x:f>
        <x:v>11523200</x:v>
      </x:c>
      <x:c r="B453" s="12" t="n">
        <x:v>42</x:v>
      </x:c>
      <x:c r="C453" s="12" t="n">
        <x:v>1918</x:v>
      </x:c>
      <x:c r="D453" s="10" t="n">
        <x:v>0.8923952829830105</x:v>
      </x:c>
      <x:c r="E453" s="10" t="n">
        <x:v>0.8812232257760745</x:v>
      </x:c>
      <x:c r="F453" s="17" t="n">
        <x:v>166.10491419959814</x:v>
      </x:c>
      <x:c r="G453" s="17" t="n">
        <x:v>79.63775024296142</x:v>
      </x:c>
      <x:c r="H453" s="17" t="n">
        <x:v>25.38162867778937</x:v>
      </x:c>
      <x:c r="I453" s="12" t="n">
        <x:v>256</x:v>
      </x:c>
      <x:c r="J453" s="12" t="n">
        <x:v>2</x:v>
      </x:c>
      <x:c r="K453" s="19" t="n">
        <x:v>0.002713975339231919</x:v>
      </x:c>
      <x:c r="L453" s="19" t="n">
        <x:v>0</x:v>
      </x:c>
      <x:c r="M453" s="19" t="n">
        <x:v>0.0001</x:v>
      </x:c>
      <x:c r="N453" s="12" t="n">
        <x:v>3</x:v>
      </x:c>
      <x:c r="O453" s="10" t="n">
        <x:v>0.0648384839296341</x:v>
      </x:c>
      <x:c r="P453" s="22" t="n">
        <x:v>46.9462627787143</x:v>
      </x:c>
      <x:c r="Q453" s="26" t="str">
        <x:v>2009-10-01</x:v>
      </x:c>
      <x:c r="R453" s="26" t="str">
        <x:v>2014-12-31</x:v>
      </x:c>
    </x:row>
    <x:row r="454" ht="22" customHeight="1">
      <x:c r="A454" s="15" t="str">
        <x:f>"11528700"</x:f>
        <x:v>11528700</x:v>
      </x:c>
      <x:c r="B454" s="12" t="n">
        <x:v>42</x:v>
      </x:c>
      <x:c r="C454" s="12" t="n">
        <x:v>1918</x:v>
      </x:c>
      <x:c r="D454" s="10" t="n">
        <x:v>0.7878486592837839</x:v>
      </x:c>
      <x:c r="E454" s="10" t="n">
        <x:v>0.8565353081556887</x:v>
      </x:c>
      <x:c r="F454" s="17" t="n">
        <x:v>691.9778752366071</x:v>
      </x:c>
      <x:c r="G454" s="17" t="n">
        <x:v>244.79006672624973</x:v>
      </x:c>
      <x:c r="H454" s="17" t="n">
        <x:v>86.58079578782741</x:v>
      </x:c>
      <x:c r="I454" s="12" t="n">
        <x:v>256</x:v>
      </x:c>
      <x:c r="J454" s="12" t="n">
        <x:v>2</x:v>
      </x:c>
      <x:c r="K454" s="19" t="n">
        <x:v>0.002713975339231919</x:v>
      </x:c>
      <x:c r="L454" s="19" t="n">
        <x:v>0</x:v>
      </x:c>
      <x:c r="M454" s="19" t="n">
        <x:v>0.0001</x:v>
      </x:c>
      <x:c r="N454" s="12" t="n">
        <x:v>12</x:v>
      </x:c>
      <x:c r="O454" s="10" t="n">
        <x:v>0.113319531083107</x:v>
      </x:c>
      <x:c r="P454" s="22" t="n">
        <x:v>46.93737134244293</x:v>
      </x:c>
      <x:c r="Q454" s="26" t="str">
        <x:v>2009-10-01</x:v>
      </x:c>
      <x:c r="R454" s="26" t="str">
        <x:v>2014-12-31</x:v>
      </x:c>
    </x:row>
    <x:row r="455" ht="22" customHeight="1">
      <x:c r="A455" s="15" t="str">
        <x:f>"11532500"</x:f>
        <x:v>11532500</x:v>
      </x:c>
      <x:c r="B455" s="12" t="n">
        <x:v>42</x:v>
      </x:c>
      <x:c r="C455" s="12" t="n">
        <x:v>1918</x:v>
      </x:c>
      <x:c r="D455" s="10" t="n">
        <x:v>0.745388382041512</x:v>
      </x:c>
      <x:c r="E455" s="10" t="n">
        <x:v>0.7896033677202077</x:v>
      </x:c>
      <x:c r="F455" s="17" t="n">
        <x:v>2843.972339007686</x:v>
      </x:c>
      <x:c r="G455" s="17" t="n">
        <x:v>1041.402566388947</x:v>
      </x:c>
      <x:c r="H455" s="17" t="n">
        <x:v>167.77364619708027</x:v>
      </x:c>
      <x:c r="I455" s="12" t="n">
        <x:v>256</x:v>
      </x:c>
      <x:c r="J455" s="12" t="n">
        <x:v>2</x:v>
      </x:c>
      <x:c r="K455" s="19" t="n">
        <x:v>0.002713975339231919</x:v>
      </x:c>
      <x:c r="L455" s="19" t="n">
        <x:v>0</x:v>
      </x:c>
      <x:c r="M455" s="19" t="n">
        <x:v>0.0001</x:v>
      </x:c>
      <x:c r="N455" s="12" t="n">
        <x:v>8</x:v>
      </x:c>
      <x:c r="O455" s="10" t="n">
        <x:v>0.31870490312576294</x:v>
      </x:c>
      <x:c r="P455" s="22" t="n">
        <x:v>46.97863400541246</x:v>
      </x:c>
      <x:c r="Q455" s="26" t="str">
        <x:v>2009-10-01</x:v>
      </x:c>
      <x:c r="R455" s="26" t="str">
        <x:v>2014-12-31</x:v>
      </x:c>
    </x:row>
    <x:row r="456" ht="22" customHeight="1">
      <x:c r="A456" s="15" t="str">
        <x:f>"12010000"</x:f>
        <x:v>12010000</x:v>
      </x:c>
      <x:c r="B456" s="12" t="n">
        <x:v>42</x:v>
      </x:c>
      <x:c r="C456" s="12" t="n">
        <x:v>1918</x:v>
      </x:c>
      <x:c r="D456" s="10" t="n">
        <x:v>0.8020686056057543</x:v>
      </x:c>
      <x:c r="E456" s="10" t="n">
        <x:v>0.8660583360642006</x:v>
      </x:c>
      <x:c r="F456" s="17" t="n">
        <x:v>264.48639489946964</x:v>
      </x:c>
      <x:c r="G456" s="17" t="n">
        <x:v>114.128336005683</x:v>
      </x:c>
      <x:c r="H456" s="17" t="n">
        <x:v>1.4335065949426482</x:v>
      </x:c>
      <x:c r="I456" s="12" t="n">
        <x:v>256</x:v>
      </x:c>
      <x:c r="J456" s="12" t="n">
        <x:v>2</x:v>
      </x:c>
      <x:c r="K456" s="19" t="n">
        <x:v>0.002713975339231919</x:v>
      </x:c>
      <x:c r="L456" s="19" t="n">
        <x:v>0</x:v>
      </x:c>
      <x:c r="M456" s="19" t="n">
        <x:v>0.0001</x:v>
      </x:c>
      <x:c r="N456" s="12" t="n">
        <x:v>30</x:v>
      </x:c>
      <x:c r="O456" s="10" t="n">
        <x:v>0.2788815200328827</x:v>
      </x:c>
      <x:c r="P456" s="22" t="n">
        <x:v>47.076083686202765</x:v>
      </x:c>
      <x:c r="Q456" s="26" t="str">
        <x:v>2009-10-01</x:v>
      </x:c>
      <x:c r="R456" s="26" t="str">
        <x:v>2014-12-31</x:v>
      </x:c>
    </x:row>
    <x:row r="457" ht="22" customHeight="1">
      <x:c r="A457" s="15" t="str">
        <x:f>"12013500"</x:f>
        <x:v>12013500</x:v>
      </x:c>
      <x:c r="B457" s="12" t="n">
        <x:v>42</x:v>
      </x:c>
      <x:c r="C457" s="12" t="n">
        <x:v>1918</x:v>
      </x:c>
      <x:c r="D457" s="10" t="n">
        <x:v>0.8700594138453766</x:v>
      </x:c>
      <x:c r="E457" s="10" t="n">
        <x:v>0.8348194638286018</x:v>
      </x:c>
      <x:c r="F457" s="17" t="n">
        <x:v>372.5997914508231</x:v>
      </x:c>
      <x:c r="G457" s="17" t="n">
        <x:v>165.74874676389257</x:v>
      </x:c>
      <x:c r="H457" s="17" t="n">
        <x:v>15.348985615669445</x:v>
      </x:c>
      <x:c r="I457" s="12" t="n">
        <x:v>256</x:v>
      </x:c>
      <x:c r="J457" s="12" t="n">
        <x:v>2</x:v>
      </x:c>
      <x:c r="K457" s="19" t="n">
        <x:v>0.002713975339231919</x:v>
      </x:c>
      <x:c r="L457" s="19" t="n">
        <x:v>0</x:v>
      </x:c>
      <x:c r="M457" s="19" t="n">
        <x:v>0.0001</x:v>
      </x:c>
      <x:c r="N457" s="12" t="n">
        <x:v>7</x:v>
      </x:c>
      <x:c r="O457" s="10" t="n">
        <x:v>0.22276616096496582</x:v>
      </x:c>
      <x:c r="P457" s="22" t="n">
        <x:v>47.02183892019093</x:v>
      </x:c>
      <x:c r="Q457" s="26" t="str">
        <x:v>2009-10-01</x:v>
      </x:c>
      <x:c r="R457" s="26" t="str">
        <x:v>2014-12-31</x:v>
      </x:c>
    </x:row>
    <x:row r="458" ht="22" customHeight="1">
      <x:c r="A458" s="15" t="str">
        <x:f>"12020000"</x:f>
        <x:v>12020000</x:v>
      </x:c>
      <x:c r="B458" s="12" t="n">
        <x:v>42</x:v>
      </x:c>
      <x:c r="C458" s="12" t="n">
        <x:v>1918</x:v>
      </x:c>
      <x:c r="D458" s="10" t="n">
        <x:v>0.7899349301043095</x:v>
      </x:c>
      <x:c r="E458" s="10" t="n">
        <x:v>0.8434239048473765</x:v>
      </x:c>
      <x:c r="F458" s="17" t="n">
        <x:v>388.3489213466246</x:v>
      </x:c>
      <x:c r="G458" s="17" t="n">
        <x:v>160.9578119144734</x:v>
      </x:c>
      <x:c r="H458" s="17" t="n">
        <x:v>52.86190958291971</x:v>
      </x:c>
      <x:c r="I458" s="12" t="n">
        <x:v>256</x:v>
      </x:c>
      <x:c r="J458" s="12" t="n">
        <x:v>2</x:v>
      </x:c>
      <x:c r="K458" s="19" t="n">
        <x:v>0.002713975339231919</x:v>
      </x:c>
      <x:c r="L458" s="19" t="n">
        <x:v>0</x:v>
      </x:c>
      <x:c r="M458" s="19" t="n">
        <x:v>0.0001</x:v>
      </x:c>
      <x:c r="N458" s="12" t="n">
        <x:v>13</x:v>
      </x:c>
      <x:c r="O458" s="10" t="n">
        <x:v>1.9729386568069458</x:v>
      </x:c>
      <x:c r="P458" s="22" t="n">
        <x:v>47.08165726158768</x:v>
      </x:c>
      <x:c r="Q458" s="26" t="str">
        <x:v>2009-10-01</x:v>
      </x:c>
      <x:c r="R458" s="26" t="str">
        <x:v>2014-12-31</x:v>
      </x:c>
    </x:row>
    <x:row r="459" ht="22" customHeight="1">
      <x:c r="A459" s="15" t="str">
        <x:f>"12025700"</x:f>
        <x:v>12025700</x:v>
      </x:c>
      <x:c r="B459" s="12" t="n">
        <x:v>42</x:v>
      </x:c>
      <x:c r="C459" s="12" t="n">
        <x:v>1918</x:v>
      </x:c>
      <x:c r="D459" s="10" t="n">
        <x:v>0.7593258968437773</x:v>
      </x:c>
      <x:c r="E459" s="10" t="n">
        <x:v>0.8504600069828628</x:v>
      </x:c>
      <x:c r="F459" s="17" t="n">
        <x:v>133.126451112683</x:v>
      </x:c>
      <x:c r="G459" s="17" t="n">
        <x:v>61.62654497200209</x:v>
      </x:c>
      <x:c r="H459" s="17" t="n">
        <x:v>11.835045005057351</x:v>
      </x:c>
      <x:c r="I459" s="12" t="n">
        <x:v>256</x:v>
      </x:c>
      <x:c r="J459" s="12" t="n">
        <x:v>2</x:v>
      </x:c>
      <x:c r="K459" s="19" t="n">
        <x:v>0.002713975339231919</x:v>
      </x:c>
      <x:c r="L459" s="19" t="n">
        <x:v>0</x:v>
      </x:c>
      <x:c r="M459" s="19" t="n">
        <x:v>0.0001</x:v>
      </x:c>
      <x:c r="N459" s="12" t="n">
        <x:v>7</x:v>
      </x:c>
      <x:c r="O459" s="10" t="n">
        <x:v>0.5225303769111633</x:v>
      </x:c>
      <x:c r="P459" s="22" t="n">
        <x:v>47.07372727058828</x:v>
      </x:c>
      <x:c r="Q459" s="26" t="str">
        <x:v>2009-10-01</x:v>
      </x:c>
      <x:c r="R459" s="26" t="str">
        <x:v>2014-12-31</x:v>
      </x:c>
    </x:row>
    <x:row r="460" ht="22" customHeight="1">
      <x:c r="A460" s="15" t="str">
        <x:f>"12035000"</x:f>
        <x:v>12035000</x:v>
      </x:c>
      <x:c r="B460" s="12" t="n">
        <x:v>42</x:v>
      </x:c>
      <x:c r="C460" s="12" t="n">
        <x:v>1918</x:v>
      </x:c>
      <x:c r="D460" s="10" t="n">
        <x:v>0.9130180831005102</x:v>
      </x:c>
      <x:c r="E460" s="10" t="n">
        <x:v>0.9371136587276534</x:v>
      </x:c>
      <x:c r="F460" s="17" t="n">
        <x:v>756.8181181805139</x:v>
      </x:c>
      <x:c r="G460" s="17" t="n">
        <x:v>369.95568760636075</x:v>
      </x:c>
      <x:c r="H460" s="17" t="n">
        <x:v>29.91028130917622</x:v>
      </x:c>
      <x:c r="I460" s="12" t="n">
        <x:v>256</x:v>
      </x:c>
      <x:c r="J460" s="12" t="n">
        <x:v>2</x:v>
      </x:c>
      <x:c r="K460" s="19" t="n">
        <x:v>0.002713975339231919</x:v>
      </x:c>
      <x:c r="L460" s="19" t="n">
        <x:v>0</x:v>
      </x:c>
      <x:c r="M460" s="19" t="n">
        <x:v>0.0001</x:v>
      </x:c>
      <x:c r="N460" s="12" t="n">
        <x:v>13</x:v>
      </x:c>
      <x:c r="O460" s="10" t="n">
        <x:v>0.14291290938854218</x:v>
      </x:c>
      <x:c r="P460" s="22" t="n">
        <x:v>47.182724826969206</x:v>
      </x:c>
      <x:c r="Q460" s="26" t="str">
        <x:v>2009-10-01</x:v>
      </x:c>
      <x:c r="R460" s="26" t="str">
        <x:v>2014-12-31</x:v>
      </x:c>
    </x:row>
    <x:row r="461" ht="22" customHeight="1">
      <x:c r="A461" s="15" t="str">
        <x:f>"12040500"</x:f>
        <x:v>12040500</x:v>
      </x:c>
      <x:c r="B461" s="12" t="n">
        <x:v>42</x:v>
      </x:c>
      <x:c r="C461" s="12" t="n">
        <x:v>1918</x:v>
      </x:c>
      <x:c r="D461" s="10" t="n">
        <x:v>0.694387513682692</x:v>
      </x:c>
      <x:c r="E461" s="10" t="n">
        <x:v>0.8391348582445465</x:v>
      </x:c>
      <x:c r="F461" s="17" t="n">
        <x:v>2816.4493600423243</x:v>
      </x:c>
      <x:c r="G461" s="17" t="n">
        <x:v>1343.836705816997</x:v>
      </x:c>
      <x:c r="H461" s="17" t="n">
        <x:v>274.5413105333681</x:v>
      </x:c>
      <x:c r="I461" s="12" t="n">
        <x:v>256</x:v>
      </x:c>
      <x:c r="J461" s="12" t="n">
        <x:v>2</x:v>
      </x:c>
      <x:c r="K461" s="19" t="n">
        <x:v>0.002713975339231919</x:v>
      </x:c>
      <x:c r="L461" s="19" t="n">
        <x:v>0</x:v>
      </x:c>
      <x:c r="M461" s="19" t="n">
        <x:v>0.0001</x:v>
      </x:c>
      <x:c r="N461" s="12" t="n">
        <x:v>15</x:v>
      </x:c>
      <x:c r="O461" s="10" t="n">
        <x:v>0.2805549204349518</x:v>
      </x:c>
      <x:c r="P461" s="22" t="n">
        <x:v>47.158357803709805</x:v>
      </x:c>
      <x:c r="Q461" s="26" t="str">
        <x:v>2009-10-01</x:v>
      </x:c>
      <x:c r="R461" s="26" t="str">
        <x:v>2014-12-31</x:v>
      </x:c>
    </x:row>
    <x:row r="462" ht="22" customHeight="1">
      <x:c r="A462" s="15" t="str">
        <x:f>"12041200"</x:f>
        <x:v>12041200</x:v>
      </x:c>
      <x:c r="B462" s="12" t="n">
        <x:v>42</x:v>
      </x:c>
      <x:c r="C462" s="12" t="n">
        <x:v>1918</x:v>
      </x:c>
      <x:c r="D462" s="10" t="n">
        <x:v>0.7037755745065726</x:v>
      </x:c>
      <x:c r="E462" s="10" t="n">
        <x:v>0.8304736231874446</x:v>
      </x:c>
      <x:c r="F462" s="17" t="n">
        <x:v>1231.1579389623284</x:v>
      </x:c>
      <x:c r="G462" s="17" t="n">
        <x:v>582.9988598175183</x:v>
      </x:c>
      <x:c r="H462" s="17" t="n">
        <x:v>161.45772487486965</x:v>
      </x:c>
      <x:c r="I462" s="12" t="n">
        <x:v>256</x:v>
      </x:c>
      <x:c r="J462" s="12" t="n">
        <x:v>2</x:v>
      </x:c>
      <x:c r="K462" s="19" t="n">
        <x:v>0.002713975339231919</x:v>
      </x:c>
      <x:c r="L462" s="19" t="n">
        <x:v>0</x:v>
      </x:c>
      <x:c r="M462" s="19" t="n">
        <x:v>0.0001</x:v>
      </x:c>
      <x:c r="N462" s="12" t="n">
        <x:v>9</x:v>
      </x:c>
      <x:c r="O462" s="10" t="n">
        <x:v>0.3482074737548828</x:v>
      </x:c>
      <x:c r="P462" s="22" t="n">
        <x:v>47.168445855379105</x:v>
      </x:c>
      <x:c r="Q462" s="26" t="str">
        <x:v>2009-10-01</x:v>
      </x:c>
      <x:c r="R462" s="26" t="str">
        <x:v>2014-12-31</x:v>
      </x:c>
    </x:row>
    <x:row r="463" ht="22" customHeight="1">
      <x:c r="A463" s="15" t="str">
        <x:f>"12048000"</x:f>
        <x:v>12048000</x:v>
      </x:c>
      <x:c r="B463" s="12" t="n">
        <x:v>42</x:v>
      </x:c>
      <x:c r="C463" s="12" t="n">
        <x:v>1918</x:v>
      </x:c>
      <x:c r="D463" s="10" t="n">
        <x:v>0.7935523174902075</x:v>
      </x:c>
      <x:c r="E463" s="10" t="n">
        <x:v>0.8524103064064712</x:v>
      </x:c>
      <x:c r="F463" s="17" t="n">
        <x:v>149.34745361230986</x:v>
      </x:c>
      <x:c r="G463" s="17" t="n">
        <x:v>58.7982806173097</x:v>
      </x:c>
      <x:c r="H463" s="17" t="n">
        <x:v>7.672039564129301</x:v>
      </x:c>
      <x:c r="I463" s="12" t="n">
        <x:v>256</x:v>
      </x:c>
      <x:c r="J463" s="12" t="n">
        <x:v>2</x:v>
      </x:c>
      <x:c r="K463" s="19" t="n">
        <x:v>0.002713975339231919</x:v>
      </x:c>
      <x:c r="L463" s="19" t="n">
        <x:v>0</x:v>
      </x:c>
      <x:c r="M463" s="19" t="n">
        <x:v>0.0001</x:v>
      </x:c>
      <x:c r="N463" s="12" t="n">
        <x:v>8</x:v>
      </x:c>
      <x:c r="O463" s="10" t="n">
        <x:v>0.09417926520109177</x:v>
      </x:c>
      <x:c r="P463" s="22" t="n">
        <x:v>47.172578549943864</x:v>
      </x:c>
      <x:c r="Q463" s="26" t="str">
        <x:v>2009-10-01</x:v>
      </x:c>
      <x:c r="R463" s="26" t="str">
        <x:v>2014-12-31</x:v>
      </x:c>
    </x:row>
    <x:row r="464" ht="22" customHeight="1">
      <x:c r="A464" s="15" t="str">
        <x:f>"12054000"</x:f>
        <x:v>12054000</x:v>
      </x:c>
      <x:c r="B464" s="12" t="n">
        <x:v>42</x:v>
      </x:c>
      <x:c r="C464" s="12" t="n">
        <x:v>1918</x:v>
      </x:c>
      <x:c r="D464" s="10" t="n">
        <x:v>0.6917816257589713</x:v>
      </x:c>
      <x:c r="E464" s="10" t="n">
        <x:v>0.8174861312254814</x:v>
      </x:c>
      <x:c r="F464" s="17" t="n">
        <x:v>241.75396056076988</x:v>
      </x:c>
      <x:c r="G464" s="17" t="n">
        <x:v>110.06477607351407</x:v>
      </x:c>
      <x:c r="H464" s="17" t="n">
        <x:v>16.890281414494265</x:v>
      </x:c>
      <x:c r="I464" s="12" t="n">
        <x:v>256</x:v>
      </x:c>
      <x:c r="J464" s="12" t="n">
        <x:v>2</x:v>
      </x:c>
      <x:c r="K464" s="19" t="n">
        <x:v>0.002713975339231919</x:v>
      </x:c>
      <x:c r="L464" s="19" t="n">
        <x:v>0</x:v>
      </x:c>
      <x:c r="M464" s="19" t="n">
        <x:v>0.0001</x:v>
      </x:c>
      <x:c r="N464" s="12" t="n">
        <x:v>5</x:v>
      </x:c>
      <x:c r="O464" s="10" t="n">
        <x:v>0.25876384973526</x:v>
      </x:c>
      <x:c r="P464" s="22" t="n">
        <x:v>47.128866884857416</x:v>
      </x:c>
      <x:c r="Q464" s="26" t="str">
        <x:v>2009-10-01</x:v>
      </x:c>
      <x:c r="R464" s="26" t="str">
        <x:v>2014-12-31</x:v>
      </x:c>
    </x:row>
    <x:row r="465" ht="22" customHeight="1">
      <x:c r="A465" s="15" t="str">
        <x:f>"12056500"</x:f>
        <x:v>12056500</x:v>
      </x:c>
      <x:c r="B465" s="12" t="n">
        <x:v>42</x:v>
      </x:c>
      <x:c r="C465" s="12" t="n">
        <x:v>1918</x:v>
      </x:c>
      <x:c r="D465" s="10" t="n">
        <x:v>0.7033993438879471</x:v>
      </x:c>
      <x:c r="E465" s="10" t="n">
        <x:v>0.8200054535504222</x:v>
      </x:c>
      <x:c r="F465" s="17" t="n">
        <x:v>343.967897849933</x:v>
      </x:c>
      <x:c r="G465" s="17" t="n">
        <x:v>159.4866958292909</x:v>
      </x:c>
      <x:c r="H465" s="17" t="n">
        <x:v>20.540785607622528</x:v>
      </x:c>
      <x:c r="I465" s="12" t="n">
        <x:v>256</x:v>
      </x:c>
      <x:c r="J465" s="12" t="n">
        <x:v>2</x:v>
      </x:c>
      <x:c r="K465" s="19" t="n">
        <x:v>0.002713975339231919</x:v>
      </x:c>
      <x:c r="L465" s="19" t="n">
        <x:v>0</x:v>
      </x:c>
      <x:c r="M465" s="19" t="n">
        <x:v>0.0001</x:v>
      </x:c>
      <x:c r="N465" s="12" t="n">
        <x:v>10</x:v>
      </x:c>
      <x:c r="O465" s="10" t="n">
        <x:v>0.41469570994377136</x:v>
      </x:c>
      <x:c r="P465" s="22" t="n">
        <x:v>46.92369830980897</x:v>
      </x:c>
      <x:c r="Q465" s="26" t="str">
        <x:v>2009-10-01</x:v>
      </x:c>
      <x:c r="R465" s="26" t="str">
        <x:v>2014-12-31</x:v>
      </x:c>
    </x:row>
    <x:row r="466" ht="22" customHeight="1">
      <x:c r="A466" s="15" t="str">
        <x:f>"12073500"</x:f>
        <x:v>12073500</x:v>
      </x:c>
      <x:c r="B466" s="12" t="n">
        <x:v>42</x:v>
      </x:c>
      <x:c r="C466" s="12" t="n">
        <x:v>1918</x:v>
      </x:c>
      <x:c r="D466" s="10" t="n">
        <x:v>0.5569879022842348</x:v>
      </x:c>
      <x:c r="E466" s="10" t="n">
        <x:v>0.5999118896408667</x:v>
      </x:c>
      <x:c r="F466" s="17" t="n">
        <x:v>9.026272128060215</x:v>
      </x:c>
      <x:c r="G466" s="17" t="n">
        <x:v>1.9404010001042753</x:v>
      </x:c>
      <x:c r="H466" s="17" t="n">
        <x:v>-0.6499182165797706</x:v>
      </x:c>
      <x:c r="I466" s="12" t="n">
        <x:v>256</x:v>
      </x:c>
      <x:c r="J466" s="12" t="n">
        <x:v>2</x:v>
      </x:c>
      <x:c r="K466" s="19" t="n">
        <x:v>0.002713975339231919</x:v>
      </x:c>
      <x:c r="L466" s="19" t="n">
        <x:v>0</x:v>
      </x:c>
      <x:c r="M466" s="19" t="n">
        <x:v>0.0001</x:v>
      </x:c>
      <x:c r="N466" s="12" t="n">
        <x:v>2</x:v>
      </x:c>
      <x:c r="O466" s="10" t="n">
        <x:v>0.28434547781944275</x:v>
      </x:c>
      <x:c r="P466" s="22" t="n">
        <x:v>46.920379049144685</x:v>
      </x:c>
      <x:c r="Q466" s="26" t="str">
        <x:v>2009-10-01</x:v>
      </x:c>
      <x:c r="R466" s="26" t="str">
        <x:v>2014-12-31</x:v>
      </x:c>
    </x:row>
    <x:row r="467" ht="22" customHeight="1">
      <x:c r="A467" s="15" t="str">
        <x:f>"12082500"</x:f>
        <x:v>12082500</x:v>
      </x:c>
      <x:c r="B467" s="12" t="n">
        <x:v>42</x:v>
      </x:c>
      <x:c r="C467" s="12" t="n">
        <x:v>1918</x:v>
      </x:c>
      <x:c r="D467" s="10" t="n">
        <x:v>0.7549732071687011</x:v>
      </x:c>
      <x:c r="E467" s="10" t="n">
        <x:v>0.8609821985664443</x:v>
      </x:c>
      <x:c r="F467" s="17" t="n">
        <x:v>258.1752987230799</x:v>
      </x:c>
      <x:c r="G467" s="17" t="n">
        <x:v>112.68038860271115</x:v>
      </x:c>
      <x:c r="H467" s="17" t="n">
        <x:v>1.6335340667361822</x:v>
      </x:c>
      <x:c r="I467" s="12" t="n">
        <x:v>256</x:v>
      </x:c>
      <x:c r="J467" s="12" t="n">
        <x:v>2</x:v>
      </x:c>
      <x:c r="K467" s="19" t="n">
        <x:v>0.002713975339231919</x:v>
      </x:c>
      <x:c r="L467" s="19" t="n">
        <x:v>0</x:v>
      </x:c>
      <x:c r="M467" s="19" t="n">
        <x:v>0.0001</x:v>
      </x:c>
      <x:c r="N467" s="12" t="n">
        <x:v>24</x:v>
      </x:c>
      <x:c r="O467" s="10" t="n">
        <x:v>0.445526659488678</x:v>
      </x:c>
      <x:c r="P467" s="22" t="n">
        <x:v>46.860225923359394</x:v>
      </x:c>
      <x:c r="Q467" s="26" t="str">
        <x:v>2009-10-01</x:v>
      </x:c>
      <x:c r="R467" s="26" t="str">
        <x:v>2014-12-31</x:v>
      </x:c>
    </x:row>
    <x:row r="468" ht="22" customHeight="1">
      <x:c r="A468" s="15" t="str">
        <x:f>"12092000"</x:f>
        <x:v>12092000</x:v>
      </x:c>
      <x:c r="B468" s="12" t="n">
        <x:v>42</x:v>
      </x:c>
      <x:c r="C468" s="12" t="n">
        <x:v>1918</x:v>
      </x:c>
      <x:c r="D468" s="10" t="n">
        <x:v>0.3935208253008883</x:v>
      </x:c>
      <x:c r="E468" s="10" t="n">
        <x:v>0.7044321609417297</x:v>
      </x:c>
      <x:c r="F468" s="17" t="n">
        <x:v>263.3433862438752</x:v>
      </x:c>
      <x:c r="G468" s="17" t="n">
        <x:v>115.60141102711157</x:v>
      </x:c>
      <x:c r="H468" s="17" t="n">
        <x:v>39.631109556830026</x:v>
      </x:c>
      <x:c r="I468" s="12" t="n">
        <x:v>256</x:v>
      </x:c>
      <x:c r="J468" s="12" t="n">
        <x:v>2</x:v>
      </x:c>
      <x:c r="K468" s="19" t="n">
        <x:v>0.002713975339231919</x:v>
      </x:c>
      <x:c r="L468" s="19" t="n">
        <x:v>0</x:v>
      </x:c>
      <x:c r="M468" s="19" t="n">
        <x:v>0.0001</x:v>
      </x:c>
      <x:c r="N468" s="12" t="n">
        <x:v>22</x:v>
      </x:c>
      <x:c r="O468" s="10" t="n">
        <x:v>0.5484037399291992</x:v>
      </x:c>
      <x:c r="P468" s="22" t="n">
        <x:v>46.83971577230841</x:v>
      </x:c>
      <x:c r="Q468" s="26" t="str">
        <x:v>2009-10-01</x:v>
      </x:c>
      <x:c r="R468" s="26" t="str">
        <x:v>2014-12-31</x:v>
      </x:c>
    </x:row>
    <x:row r="469" ht="22" customHeight="1">
      <x:c r="A469" s="15" t="str">
        <x:f>"12114500"</x:f>
        <x:v>12114500</x:v>
      </x:c>
      <x:c r="B469" s="12" t="n">
        <x:v>42</x:v>
      </x:c>
      <x:c r="C469" s="12" t="n">
        <x:v>1918</x:v>
      </x:c>
      <x:c r="D469" s="10" t="n">
        <x:v>0.7693581503369415</x:v>
      </x:c>
      <x:c r="E469" s="10" t="n">
        <x:v>0.8532769072333122</x:v>
      </x:c>
      <x:c r="F469" s="17" t="n">
        <x:v>85.28808766071818</x:v>
      </x:c>
      <x:c r="G469" s="17" t="n">
        <x:v>38.33875765745568</x:v>
      </x:c>
      <x:c r="H469" s="17" t="n">
        <x:v>8.113629315432744</x:v>
      </x:c>
      <x:c r="I469" s="12" t="n">
        <x:v>256</x:v>
      </x:c>
      <x:c r="J469" s="12" t="n">
        <x:v>2</x:v>
      </x:c>
      <x:c r="K469" s="19" t="n">
        <x:v>0.002713975339231919</x:v>
      </x:c>
      <x:c r="L469" s="19" t="n">
        <x:v>0</x:v>
      </x:c>
      <x:c r="M469" s="19" t="n">
        <x:v>0.0001</x:v>
      </x:c>
      <x:c r="N469" s="12" t="n">
        <x:v>10</x:v>
      </x:c>
      <x:c r="O469" s="10" t="n">
        <x:v>0.2622099220752716</x:v>
      </x:c>
      <x:c r="P469" s="22" t="n">
        <x:v>46.93322396092117</x:v>
      </x:c>
      <x:c r="Q469" s="26" t="str">
        <x:v>2009-10-01</x:v>
      </x:c>
      <x:c r="R469" s="26" t="str">
        <x:v>2014-12-31</x:v>
      </x:c>
    </x:row>
    <x:row r="470" ht="22" customHeight="1">
      <x:c r="A470" s="15" t="str">
        <x:f>"12115000"</x:f>
        <x:v>12115000</x:v>
      </x:c>
      <x:c r="B470" s="12" t="n">
        <x:v>42</x:v>
      </x:c>
      <x:c r="C470" s="12" t="n">
        <x:v>1918</x:v>
      </x:c>
      <x:c r="D470" s="10" t="n">
        <x:v>0.5404091361240677</x:v>
      </x:c>
      <x:c r="E470" s="10" t="n">
        <x:v>0.7583525956126347</x:v>
      </x:c>
      <x:c r="F470" s="17" t="n">
        <x:v>188.54709631800378</x:v>
      </x:c>
      <x:c r="G470" s="17" t="n">
        <x:v>61.788529062252344</x:v>
      </x:c>
      <x:c r="H470" s="17" t="n">
        <x:v>13.21075781574557</x:v>
      </x:c>
      <x:c r="I470" s="12" t="n">
        <x:v>256</x:v>
      </x:c>
      <x:c r="J470" s="12" t="n">
        <x:v>2</x:v>
      </x:c>
      <x:c r="K470" s="19" t="n">
        <x:v>0.002713975339231919</x:v>
      </x:c>
      <x:c r="L470" s="19" t="n">
        <x:v>0</x:v>
      </x:c>
      <x:c r="M470" s="19" t="n">
        <x:v>0.0001</x:v>
      </x:c>
      <x:c r="N470" s="12" t="n">
        <x:v>24</x:v>
      </x:c>
      <x:c r="O470" s="10" t="n">
        <x:v>0.2976242005825043</x:v>
      </x:c>
      <x:c r="P470" s="22" t="n">
        <x:v>47.07799550425261</x:v>
      </x:c>
      <x:c r="Q470" s="26" t="str">
        <x:v>2009-10-01</x:v>
      </x:c>
      <x:c r="R470" s="26" t="str">
        <x:v>2014-12-31</x:v>
      </x:c>
    </x:row>
    <x:row r="471" ht="22" customHeight="1">
      <x:c r="A471" s="15" t="str">
        <x:f>"12115500"</x:f>
        <x:v>12115500</x:v>
      </x:c>
      <x:c r="B471" s="12" t="n">
        <x:v>42</x:v>
      </x:c>
      <x:c r="C471" s="12" t="n">
        <x:v>1918</x:v>
      </x:c>
      <x:c r="D471" s="10" t="n">
        <x:v>0.5030049546524509</x:v>
      </x:c>
      <x:c r="E471" s="10" t="n">
        <x:v>0.7526149203260888</x:v>
      </x:c>
      <x:c r="F471" s="17" t="n">
        <x:v>89.73320849174992</x:v>
      </x:c>
      <x:c r="G471" s="17" t="n">
        <x:v>36.59468962596454</x:v>
      </x:c>
      <x:c r="H471" s="17" t="n">
        <x:v>3.5688524565172046</x:v>
      </x:c>
      <x:c r="I471" s="12" t="n">
        <x:v>256</x:v>
      </x:c>
      <x:c r="J471" s="12" t="n">
        <x:v>2</x:v>
      </x:c>
      <x:c r="K471" s="19" t="n">
        <x:v>0.002713975339231919</x:v>
      </x:c>
      <x:c r="L471" s="19" t="n">
        <x:v>0</x:v>
      </x:c>
      <x:c r="M471" s="19" t="n">
        <x:v>0.0001</x:v>
      </x:c>
      <x:c r="N471" s="12" t="n">
        <x:v>11</x:v>
      </x:c>
      <x:c r="O471" s="10" t="n">
        <x:v>0.4815636873245239</x:v>
      </x:c>
      <x:c r="P471" s="22" t="n">
        <x:v>47.00763678085059</x:v>
      </x:c>
      <x:c r="Q471" s="26" t="str">
        <x:v>2009-10-01</x:v>
      </x:c>
      <x:c r="R471" s="26" t="str">
        <x:v>2014-12-31</x:v>
      </x:c>
    </x:row>
    <x:row r="472" ht="22" customHeight="1">
      <x:c r="A472" s="15" t="str">
        <x:f>"12117000"</x:f>
        <x:v>12117000</x:v>
      </x:c>
      <x:c r="B472" s="12" t="n">
        <x:v>42</x:v>
      </x:c>
      <x:c r="C472" s="12" t="n">
        <x:v>1918</x:v>
      </x:c>
      <x:c r="D472" s="10" t="n">
        <x:v>0.8050976039082731</x:v>
      </x:c>
      <x:c r="E472" s="10" t="n">
        <x:v>0.8928656197341551</x:v>
      </x:c>
      <x:c r="F472" s="17" t="n">
        <x:v>35.31639940832265</x:v>
      </x:c>
      <x:c r="G472" s="17" t="n">
        <x:v>16.892494917883212</x:v>
      </x:c>
      <x:c r="H472" s="17" t="n">
        <x:v>0.5861111457247136</x:v>
      </x:c>
      <x:c r="I472" s="12" t="n">
        <x:v>256</x:v>
      </x:c>
      <x:c r="J472" s="12" t="n">
        <x:v>2</x:v>
      </x:c>
      <x:c r="K472" s="19" t="n">
        <x:v>0.002713975339231919</x:v>
      </x:c>
      <x:c r="L472" s="19" t="n">
        <x:v>0</x:v>
      </x:c>
      <x:c r="M472" s="19" t="n">
        <x:v>0.0001</x:v>
      </x:c>
      <x:c r="N472" s="12" t="n">
        <x:v>1</x:v>
      </x:c>
      <x:c r="O472" s="10" t="n">
        <x:v>0.22854754328727722</x:v>
      </x:c>
      <x:c r="P472" s="22" t="n">
        <x:v>47.13627360574901</x:v>
      </x:c>
      <x:c r="Q472" s="26" t="str">
        <x:v>2009-10-01</x:v>
      </x:c>
      <x:c r="R472" s="26" t="str">
        <x:v>2014-12-31</x:v>
      </x:c>
    </x:row>
    <x:row r="473" ht="22" customHeight="1">
      <x:c r="A473" s="15" t="str">
        <x:f>"12145500"</x:f>
        <x:v>12145500</x:v>
      </x:c>
      <x:c r="B473" s="12" t="n">
        <x:v>42</x:v>
      </x:c>
      <x:c r="C473" s="12" t="n">
        <x:v>1918</x:v>
      </x:c>
      <x:c r="D473" s="10" t="n">
        <x:v>0.7373144866431891</x:v>
      </x:c>
      <x:c r="E473" s="10" t="n">
        <x:v>0.8636237372884117</x:v>
      </x:c>
      <x:c r="F473" s="17" t="n">
        <x:v>97.75996937304505</x:v>
      </x:c>
      <x:c r="G473" s="17" t="n">
        <x:v>48.63229722739833</x:v>
      </x:c>
      <x:c r="H473" s="17" t="n">
        <x:v>4.778565179275286</x:v>
      </x:c>
      <x:c r="I473" s="12" t="n">
        <x:v>256</x:v>
      </x:c>
      <x:c r="J473" s="12" t="n">
        <x:v>2</x:v>
      </x:c>
      <x:c r="K473" s="19" t="n">
        <x:v>0.002713975339231919</x:v>
      </x:c>
      <x:c r="L473" s="19" t="n">
        <x:v>0</x:v>
      </x:c>
      <x:c r="M473" s="19" t="n">
        <x:v>0.0001</x:v>
      </x:c>
      <x:c r="N473" s="12" t="n">
        <x:v>5</x:v>
      </x:c>
      <x:c r="O473" s="10" t="n">
        <x:v>0.34335047006607056</x:v>
      </x:c>
      <x:c r="P473" s="22" t="n">
        <x:v>47.073302099481225</x:v>
      </x:c>
      <x:c r="Q473" s="26" t="str">
        <x:v>2009-10-01</x:v>
      </x:c>
      <x:c r="R473" s="26" t="str">
        <x:v>2014-12-31</x:v>
      </x:c>
    </x:row>
    <x:row r="474" ht="22" customHeight="1">
      <x:c r="A474" s="15" t="str">
        <x:f>"12147500"</x:f>
        <x:v>12147500</x:v>
      </x:c>
      <x:c r="B474" s="12" t="n">
        <x:v>42</x:v>
      </x:c>
      <x:c r="C474" s="12" t="n">
        <x:v>1918</x:v>
      </x:c>
      <x:c r="D474" s="10" t="n">
        <x:v>0.5136013403326285</x:v>
      </x:c>
      <x:c r="E474" s="10" t="n">
        <x:v>0.6811142173687119</x:v>
      </x:c>
      <x:c r="F474" s="17" t="n">
        <x:v>255.8401026377174</x:v>
      </x:c>
      <x:c r="G474" s="17" t="n">
        <x:v>132.37654166423357</x:v>
      </x:c>
      <x:c r="H474" s="17" t="n">
        <x:v>41.974467606882165</x:v>
      </x:c>
      <x:c r="I474" s="12" t="n">
        <x:v>256</x:v>
      </x:c>
      <x:c r="J474" s="12" t="n">
        <x:v>2</x:v>
      </x:c>
      <x:c r="K474" s="19" t="n">
        <x:v>0.002713975339231919</x:v>
      </x:c>
      <x:c r="L474" s="19" t="n">
        <x:v>0</x:v>
      </x:c>
      <x:c r="M474" s="19" t="n">
        <x:v>0.0001</x:v>
      </x:c>
      <x:c r="N474" s="12" t="n">
        <x:v>7</x:v>
      </x:c>
      <x:c r="O474" s="10" t="n">
        <x:v>0.626943051815033</x:v>
      </x:c>
      <x:c r="P474" s="22" t="n">
        <x:v>47.06063099578023</x:v>
      </x:c>
      <x:c r="Q474" s="26" t="str">
        <x:v>2009-10-01</x:v>
      </x:c>
      <x:c r="R474" s="26" t="str">
        <x:v>2014-12-31</x:v>
      </x:c>
    </x:row>
    <x:row r="475" ht="22" customHeight="1">
      <x:c r="A475" s="15" t="str">
        <x:f>"12147600"</x:f>
        <x:v>12147600</x:v>
      </x:c>
      <x:c r="B475" s="12" t="n">
        <x:v>42</x:v>
      </x:c>
      <x:c r="C475" s="12" t="n">
        <x:v>1918</x:v>
      </x:c>
      <x:c r="D475" s="10" t="n">
        <x:v>0.3988795972885011</x:v>
      </x:c>
      <x:c r="E475" s="10" t="n">
        <x:v>0.5425776247403382</x:v>
      </x:c>
      <x:c r="F475" s="17" t="n">
        <x:v>67.82159915561601</x:v>
      </x:c>
      <x:c r="G475" s="17" t="n">
        <x:v>33.07567041069448</x:v>
      </x:c>
      <x:c r="H475" s="17" t="n">
        <x:v>9.26783955979562</x:v>
      </x:c>
      <x:c r="I475" s="12" t="n">
        <x:v>256</x:v>
      </x:c>
      <x:c r="J475" s="12" t="n">
        <x:v>2</x:v>
      </x:c>
      <x:c r="K475" s="19" t="n">
        <x:v>0.002713975339231919</x:v>
      </x:c>
      <x:c r="L475" s="19" t="n">
        <x:v>0</x:v>
      </x:c>
      <x:c r="M475" s="19" t="n">
        <x:v>0.0001</x:v>
      </x:c>
      <x:c r="N475" s="12" t="n">
        <x:v>5</x:v>
      </x:c>
      <x:c r="O475" s="10" t="n">
        <x:v>0.919167697429657</x:v>
      </x:c>
      <x:c r="P475" s="22" t="n">
        <x:v>47.05889842938632</x:v>
      </x:c>
      <x:c r="Q475" s="26" t="str">
        <x:v>2009-10-01</x:v>
      </x:c>
      <x:c r="R475" s="26" t="str">
        <x:v>2014-12-31</x:v>
      </x:c>
    </x:row>
    <x:row r="476" ht="22" customHeight="1">
      <x:c r="A476" s="15" t="str">
        <x:f>"12167000"</x:f>
        <x:v>12167000</x:v>
      </x:c>
      <x:c r="B476" s="12" t="n">
        <x:v>42</x:v>
      </x:c>
      <x:c r="C476" s="12" t="n">
        <x:v>1918</x:v>
      </x:c>
      <x:c r="D476" s="10" t="n">
        <x:v>0.5816265151297623</x:v>
      </x:c>
      <x:c r="E476" s="10" t="n">
        <x:v>0.6874568707304698</x:v>
      </x:c>
      <x:c r="F476" s="17" t="n">
        <x:v>1408.0757167613194</x:v>
      </x:c>
      <x:c r="G476" s="17" t="n">
        <x:v>615.5446492596454</x:v>
      </x:c>
      <x:c r="H476" s="17" t="n">
        <x:v>143.71329445255475</x:v>
      </x:c>
      <x:c r="I476" s="12" t="n">
        <x:v>256</x:v>
      </x:c>
      <x:c r="J476" s="12" t="n">
        <x:v>2</x:v>
      </x:c>
      <x:c r="K476" s="19" t="n">
        <x:v>0.002713975339231919</x:v>
      </x:c>
      <x:c r="L476" s="19" t="n">
        <x:v>0</x:v>
      </x:c>
      <x:c r="M476" s="19" t="n">
        <x:v>0.0001</x:v>
      </x:c>
      <x:c r="N476" s="12" t="n">
        <x:v>9</x:v>
      </x:c>
      <x:c r="O476" s="10" t="n">
        <x:v>0.2782907783985138</x:v>
      </x:c>
      <x:c r="P476" s="22" t="n">
        <x:v>47.130905114114285</x:v>
      </x:c>
      <x:c r="Q476" s="26" t="str">
        <x:v>2009-10-01</x:v>
      </x:c>
      <x:c r="R476" s="26" t="str">
        <x:v>2014-12-31</x:v>
      </x:c>
    </x:row>
    <x:row r="477" ht="22" customHeight="1">
      <x:c r="A477" s="15" t="str">
        <x:f>"12175500"</x:f>
        <x:v>12175500</x:v>
      </x:c>
      <x:c r="B477" s="12" t="n">
        <x:v>42</x:v>
      </x:c>
      <x:c r="C477" s="12" t="n">
        <x:v>1918</x:v>
      </x:c>
      <x:c r="D477" s="10" t="n">
        <x:v>0.8580398480008036</x:v>
      </x:c>
      <x:c r="E477" s="10" t="n">
        <x:v>0.8874015285734709</x:v>
      </x:c>
      <x:c r="F477" s="17" t="n">
        <x:v>194.46729127620324</x:v>
      </x:c>
      <x:c r="G477" s="17" t="n">
        <x:v>104.46762191240876</x:v>
      </x:c>
      <x:c r="H477" s="17" t="n">
        <x:v>21.396336613138686</x:v>
      </x:c>
      <x:c r="I477" s="12" t="n">
        <x:v>256</x:v>
      </x:c>
      <x:c r="J477" s="12" t="n">
        <x:v>2</x:v>
      </x:c>
      <x:c r="K477" s="19" t="n">
        <x:v>0.002713975339231919</x:v>
      </x:c>
      <x:c r="L477" s="19" t="n">
        <x:v>0</x:v>
      </x:c>
      <x:c r="M477" s="19" t="n">
        <x:v>0.0001</x:v>
      </x:c>
      <x:c r="N477" s="12" t="n">
        <x:v>2</x:v>
      </x:c>
      <x:c r="O477" s="10" t="n">
        <x:v>0.15012362599372864</x:v>
      </x:c>
      <x:c r="P477" s="22" t="n">
        <x:v>47.123658100143075</x:v>
      </x:c>
      <x:c r="Q477" s="26" t="str">
        <x:v>2009-10-01</x:v>
      </x:c>
      <x:c r="R477" s="26" t="str">
        <x:v>2014-12-31</x:v>
      </x:c>
    </x:row>
    <x:row r="478" ht="22" customHeight="1">
      <x:c r="A478" s="15" t="str">
        <x:f>"12178100"</x:f>
        <x:v>12178100</x:v>
      </x:c>
      <x:c r="B478" s="12" t="n">
        <x:v>42</x:v>
      </x:c>
      <x:c r="C478" s="12" t="n">
        <x:v>1918</x:v>
      </x:c>
      <x:c r="D478" s="10" t="n">
        <x:v>0.7064194975952045</x:v>
      </x:c>
      <x:c r="E478" s="10" t="n">
        <x:v>0.7950991414146488</x:v>
      </x:c>
      <x:c r="F478" s="17" t="n">
        <x:v>85.89630139880776</x:v>
      </x:c>
      <x:c r="G478" s="17" t="n">
        <x:v>39.13537702450469</x:v>
      </x:c>
      <x:c r="H478" s="17" t="n">
        <x:v>4.2985295990615215</x:v>
      </x:c>
      <x:c r="I478" s="12" t="n">
        <x:v>256</x:v>
      </x:c>
      <x:c r="J478" s="12" t="n">
        <x:v>2</x:v>
      </x:c>
      <x:c r="K478" s="19" t="n">
        <x:v>0.002713975339231919</x:v>
      </x:c>
      <x:c r="L478" s="19" t="n">
        <x:v>0</x:v>
      </x:c>
      <x:c r="M478" s="19" t="n">
        <x:v>0.0001</x:v>
      </x:c>
      <x:c r="N478" s="12" t="n">
        <x:v>24</x:v>
      </x:c>
      <x:c r="O478" s="10" t="n">
        <x:v>0.31612756848335266</x:v>
      </x:c>
      <x:c r="P478" s="22" t="n">
        <x:v>47.149903858080506</x:v>
      </x:c>
      <x:c r="Q478" s="26" t="str">
        <x:v>2009-10-01</x:v>
      </x:c>
      <x:c r="R478" s="26" t="str">
        <x:v>2014-12-31</x:v>
      </x:c>
    </x:row>
    <x:row r="479" ht="22" customHeight="1">
      <x:c r="A479" s="15" t="str">
        <x:f>"12186000"</x:f>
        <x:v>12186000</x:v>
      </x:c>
      <x:c r="B479" s="12" t="n">
        <x:v>42</x:v>
      </x:c>
      <x:c r="C479" s="12" t="n">
        <x:v>1918</x:v>
      </x:c>
      <x:c r="D479" s="10" t="n">
        <x:v>0.7404836970369877</x:v>
      </x:c>
      <x:c r="E479" s="10" t="n">
        <x:v>0.8603080813817523</x:v>
      </x:c>
      <x:c r="F479" s="17" t="n">
        <x:v>493.9405026789633</x:v>
      </x:c>
      <x:c r="G479" s="17" t="n">
        <x:v>236.36484375078206</x:v>
      </x:c>
      <x:c r="H479" s="17" t="n">
        <x:v>23.1855446016684</x:v>
      </x:c>
      <x:c r="I479" s="12" t="n">
        <x:v>256</x:v>
      </x:c>
      <x:c r="J479" s="12" t="n">
        <x:v>2</x:v>
      </x:c>
      <x:c r="K479" s="19" t="n">
        <x:v>0.002713975339231919</x:v>
      </x:c>
      <x:c r="L479" s="19" t="n">
        <x:v>0</x:v>
      </x:c>
      <x:c r="M479" s="19" t="n">
        <x:v>0.0001</x:v>
      </x:c>
      <x:c r="N479" s="12" t="n">
        <x:v>9</x:v>
      </x:c>
      <x:c r="O479" s="10" t="n">
        <x:v>0.2875157594680786</x:v>
      </x:c>
      <x:c r="P479" s="22" t="n">
        <x:v>46.951094524003565</x:v>
      </x:c>
      <x:c r="Q479" s="26" t="str">
        <x:v>2009-10-01</x:v>
      </x:c>
      <x:c r="R479" s="26" t="str">
        <x:v>2014-12-31</x:v>
      </x:c>
    </x:row>
    <x:row r="480" ht="22" customHeight="1">
      <x:c r="A480" s="15" t="str">
        <x:f>"12189500"</x:f>
        <x:v>12189500</x:v>
      </x:c>
      <x:c r="B480" s="12" t="n">
        <x:v>42</x:v>
      </x:c>
      <x:c r="C480" s="12" t="n">
        <x:v>1918</x:v>
      </x:c>
      <x:c r="D480" s="10" t="n">
        <x:v>0.731676512018232</x:v>
      </x:c>
      <x:c r="E480" s="10" t="n">
        <x:v>0.8622921107214019</x:v>
      </x:c>
      <x:c r="F480" s="17" t="n">
        <x:v>1646.8749997621273</x:v>
      </x:c>
      <x:c r="G480" s="17" t="n">
        <x:v>796.515553342023</x:v>
      </x:c>
      <x:c r="H480" s="17" t="n">
        <x:v>88.53337199687174</x:v>
      </x:c>
      <x:c r="I480" s="12" t="n">
        <x:v>256</x:v>
      </x:c>
      <x:c r="J480" s="12" t="n">
        <x:v>2</x:v>
      </x:c>
      <x:c r="K480" s="19" t="n">
        <x:v>0.002713975339231919</x:v>
      </x:c>
      <x:c r="L480" s="19" t="n">
        <x:v>0</x:v>
      </x:c>
      <x:c r="M480" s="19" t="n">
        <x:v>0.0001</x:v>
      </x:c>
      <x:c r="N480" s="12" t="n">
        <x:v>15</x:v>
      </x:c>
      <x:c r="O480" s="10" t="n">
        <x:v>0.20473378896713257</x:v>
      </x:c>
      <x:c r="P480" s="22" t="n">
        <x:v>46.85825503151864</x:v>
      </x:c>
      <x:c r="Q480" s="26" t="str">
        <x:v>2009-10-01</x:v>
      </x:c>
      <x:c r="R480" s="26" t="str">
        <x:v>2014-12-31</x:v>
      </x:c>
    </x:row>
    <x:row r="481" ht="22" customHeight="1">
      <x:c r="A481" s="15" t="str">
        <x:f>"12358500"</x:f>
        <x:v>12358500</x:v>
      </x:c>
      <x:c r="B481" s="12" t="n">
        <x:v>42</x:v>
      </x:c>
      <x:c r="C481" s="12" t="n">
        <x:v>1918</x:v>
      </x:c>
      <x:c r="D481" s="10" t="n">
        <x:v>0.9908253033757486</x:v>
      </x:c>
      <x:c r="E481" s="10" t="n">
        <x:v>0.9937820289241048</x:v>
      </x:c>
      <x:c r="F481" s="17" t="n">
        <x:v>420.0910543076458</x:v>
      </x:c>
      <x:c r="G481" s="17" t="n">
        <x:v>179.39388820646505</x:v>
      </x:c>
      <x:c r="H481" s="17" t="n">
        <x:v>-8.489388498435872</x:v>
      </x:c>
      <x:c r="I481" s="12" t="n">
        <x:v>256</x:v>
      </x:c>
      <x:c r="J481" s="12" t="n">
        <x:v>2</x:v>
      </x:c>
      <x:c r="K481" s="19" t="n">
        <x:v>0.002713975339231919</x:v>
      </x:c>
      <x:c r="L481" s="19" t="n">
        <x:v>0</x:v>
      </x:c>
      <x:c r="M481" s="19" t="n">
        <x:v>0.0001</x:v>
      </x:c>
      <x:c r="N481" s="12" t="n">
        <x:v>29</x:v>
      </x:c>
      <x:c r="O481" s="10" t="n">
        <x:v>0.013568233698606491</x:v>
      </x:c>
      <x:c r="P481" s="22" t="n">
        <x:v>46.86689381767064</x:v>
      </x:c>
      <x:c r="Q481" s="26" t="str">
        <x:v>2009-10-01</x:v>
      </x:c>
      <x:c r="R481" s="26" t="str">
        <x:v>2014-12-31</x:v>
      </x:c>
    </x:row>
    <x:row r="482" ht="22" customHeight="1">
      <x:c r="A482" s="15" t="str">
        <x:f>"12390700"</x:f>
        <x:v>12390700</x:v>
      </x:c>
      <x:c r="B482" s="12" t="n">
        <x:v>42</x:v>
      </x:c>
      <x:c r="C482" s="12" t="n">
        <x:v>1918</x:v>
      </x:c>
      <x:c r="D482" s="10" t="n">
        <x:v>0.9828788884506638</x:v>
      </x:c>
      <x:c r="E482" s="10" t="n">
        <x:v>0.9838962665175981</x:v>
      </x:c>
      <x:c r="F482" s="17" t="n">
        <x:v>37.58642700143245</x:v>
      </x:c>
      <x:c r="G482" s="17" t="n">
        <x:v>11.280150726277373</x:v>
      </x:c>
      <x:c r="H482" s="17" t="n">
        <x:v>-2.720601241397289</x:v>
      </x:c>
      <x:c r="I482" s="12" t="n">
        <x:v>256</x:v>
      </x:c>
      <x:c r="J482" s="12" t="n">
        <x:v>2</x:v>
      </x:c>
      <x:c r="K482" s="19" t="n">
        <x:v>0.002713975339231919</x:v>
      </x:c>
      <x:c r="L482" s="19" t="n">
        <x:v>0</x:v>
      </x:c>
      <x:c r="M482" s="19" t="n">
        <x:v>0.0001</x:v>
      </x:c>
      <x:c r="N482" s="12" t="n">
        <x:v>30</x:v>
      </x:c>
      <x:c r="O482" s="10" t="n">
        <x:v>0.0052892002277076244</x:v>
      </x:c>
      <x:c r="P482" s="22" t="n">
        <x:v>46.66941202804446</x:v>
      </x:c>
      <x:c r="Q482" s="26" t="str">
        <x:v>2009-10-01</x:v>
      </x:c>
      <x:c r="R482" s="26" t="str">
        <x:v>2014-12-31</x:v>
      </x:c>
    </x:row>
    <x:row r="483" ht="22" customHeight="1">
      <x:c r="A483" s="15" t="str">
        <x:f>"12411000"</x:f>
        <x:v>12411000</x:v>
      </x:c>
      <x:c r="B483" s="12" t="n">
        <x:v>42</x:v>
      </x:c>
      <x:c r="C483" s="12" t="n">
        <x:v>1918</x:v>
      </x:c>
      <x:c r="D483" s="10" t="n">
        <x:v>0.929776733374296</x:v>
      </x:c>
      <x:c r="E483" s="10" t="n">
        <x:v>0.9542494177486084</x:v>
      </x:c>
      <x:c r="F483" s="17" t="n">
        <x:v>290.8971620843669</x:v>
      </x:c>
      <x:c r="G483" s="17" t="n">
        <x:v>84.24970747497393</x:v>
      </x:c>
      <x:c r="H483" s="17" t="n">
        <x:v>6.15109244890511</x:v>
      </x:c>
      <x:c r="I483" s="12" t="n">
        <x:v>256</x:v>
      </x:c>
      <x:c r="J483" s="12" t="n">
        <x:v>2</x:v>
      </x:c>
      <x:c r="K483" s="19" t="n">
        <x:v>0.002713975339231919</x:v>
      </x:c>
      <x:c r="L483" s="19" t="n">
        <x:v>0</x:v>
      </x:c>
      <x:c r="M483" s="19" t="n">
        <x:v>0.0001</x:v>
      </x:c>
      <x:c r="N483" s="12" t="n">
        <x:v>18</x:v>
      </x:c>
      <x:c r="O483" s="10" t="n">
        <x:v>0.027240900322794914</x:v>
      </x:c>
      <x:c r="P483" s="22" t="n">
        <x:v>46.95206994190812</x:v>
      </x:c>
      <x:c r="Q483" s="26" t="str">
        <x:v>2009-10-01</x:v>
      </x:c>
      <x:c r="R483" s="26" t="str">
        <x:v>2014-12-31</x:v>
      </x:c>
    </x:row>
    <x:row r="484" ht="22" customHeight="1">
      <x:c r="A484" s="15" t="str">
        <x:f>"12414500"</x:f>
        <x:v>12414500</x:v>
      </x:c>
      <x:c r="B484" s="12" t="n">
        <x:v>42</x:v>
      </x:c>
      <x:c r="C484" s="12" t="n">
        <x:v>1918</x:v>
      </x:c>
      <x:c r="D484" s="10" t="n">
        <x:v>0.9617346922478328</x:v>
      </x:c>
      <x:c r="E484" s="10" t="n">
        <x:v>0.9802506248044415</x:v>
      </x:c>
      <x:c r="F484" s="17" t="n">
        <x:v>599.7929576192641</x:v>
      </x:c>
      <x:c r="G484" s="17" t="n">
        <x:v>203.09502958811262</x:v>
      </x:c>
      <x:c r="H484" s="17" t="n">
        <x:v>-8.628301746611031</x:v>
      </x:c>
      <x:c r="I484" s="12" t="n">
        <x:v>256</x:v>
      </x:c>
      <x:c r="J484" s="12" t="n">
        <x:v>2</x:v>
      </x:c>
      <x:c r="K484" s="19" t="n">
        <x:v>0.002713975339231919</x:v>
      </x:c>
      <x:c r="L484" s="19" t="n">
        <x:v>0</x:v>
      </x:c>
      <x:c r="M484" s="19" t="n">
        <x:v>0.0001</x:v>
      </x:c>
      <x:c r="N484" s="12" t="n">
        <x:v>28</x:v>
      </x:c>
      <x:c r="O484" s="10" t="n">
        <x:v>0.009778328239917755</x:v>
      </x:c>
      <x:c r="P484" s="22" t="n">
        <x:v>47.02285384666175</x:v>
      </x:c>
      <x:c r="Q484" s="26" t="str">
        <x:v>2009-10-01</x:v>
      </x:c>
      <x:c r="R484" s="26" t="str">
        <x:v>2014-12-31</x:v>
      </x:c>
    </x:row>
    <x:row r="485" ht="22" customHeight="1">
      <x:c r="A485" s="15" t="str">
        <x:f>"12447390"</x:f>
        <x:v>12447390</x:v>
      </x:c>
      <x:c r="B485" s="12" t="n">
        <x:v>42</x:v>
      </x:c>
      <x:c r="C485" s="12" t="n">
        <x:v>1918</x:v>
      </x:c>
      <x:c r="D485" s="10" t="n">
        <x:v>0.986287494135722</x:v>
      </x:c>
      <x:c r="E485" s="10" t="n">
        <x:v>0.9656371380808741</x:v>
      </x:c>
      <x:c r="F485" s="17" t="n">
        <x:v>7.5968619830148345</x:v>
      </x:c>
      <x:c r="G485" s="17" t="n">
        <x:v>3.8983380006488533</x:v>
      </x:c>
      <x:c r="H485" s="17" t="n">
        <x:v>-0.3792289876144422</x:v>
      </x:c>
      <x:c r="I485" s="12" t="n">
        <x:v>256</x:v>
      </x:c>
      <x:c r="J485" s="12" t="n">
        <x:v>2</x:v>
      </x:c>
      <x:c r="K485" s="19" t="n">
        <x:v>0.002713975339231919</x:v>
      </x:c>
      <x:c r="L485" s="19" t="n">
        <x:v>0</x:v>
      </x:c>
      <x:c r="M485" s="19" t="n">
        <x:v>0.0001</x:v>
      </x:c>
      <x:c r="N485" s="12" t="n">
        <x:v>5</x:v>
      </x:c>
      <x:c r="O485" s="10" t="n">
        <x:v>0.019579404965043068</x:v>
      </x:c>
      <x:c r="P485" s="22" t="n">
        <x:v>47.01173577737063</x:v>
      </x:c>
      <x:c r="Q485" s="26" t="str">
        <x:v>2009-10-01</x:v>
      </x:c>
      <x:c r="R485" s="26" t="str">
        <x:v>2014-12-31</x:v>
      </x:c>
    </x:row>
    <x:row r="486" ht="22" customHeight="1">
      <x:c r="A486" s="15" t="str">
        <x:f>"12451000"</x:f>
        <x:v>12451000</x:v>
      </x:c>
      <x:c r="B486" s="12" t="n">
        <x:v>42</x:v>
      </x:c>
      <x:c r="C486" s="12" t="n">
        <x:v>1918</x:v>
      </x:c>
      <x:c r="D486" s="10" t="n">
        <x:v>0.9749232933948219</x:v>
      </x:c>
      <x:c r="E486" s="10" t="n">
        <x:v>0.9550934138394035</x:v>
      </x:c>
      <x:c r="F486" s="17" t="n">
        <x:v>249.39423948148476</x:v>
      </x:c>
      <x:c r="G486" s="17" t="n">
        <x:v>148.36728969760168</x:v>
      </x:c>
      <x:c r="H486" s="17" t="n">
        <x:v>51.29107489051094</x:v>
      </x:c>
      <x:c r="I486" s="12" t="n">
        <x:v>256</x:v>
      </x:c>
      <x:c r="J486" s="12" t="n">
        <x:v>2</x:v>
      </x:c>
      <x:c r="K486" s="19" t="n">
        <x:v>0.002713975339231919</x:v>
      </x:c>
      <x:c r="L486" s="19" t="n">
        <x:v>0</x:v>
      </x:c>
      <x:c r="M486" s="19" t="n">
        <x:v>0.0001</x:v>
      </x:c>
      <x:c r="N486" s="12" t="n">
        <x:v>6</x:v>
      </x:c>
      <x:c r="O486" s="10" t="n">
        <x:v>0.048123884946107864</x:v>
      </x:c>
      <x:c r="P486" s="22" t="n">
        <x:v>47.08400119654834</x:v>
      </x:c>
      <x:c r="Q486" s="26" t="str">
        <x:v>2009-10-01</x:v>
      </x:c>
      <x:c r="R486" s="26" t="str">
        <x:v>2014-12-31</x:v>
      </x:c>
    </x:row>
    <x:row r="487" ht="22" customHeight="1">
      <x:c r="A487" s="15" t="str">
        <x:f>"12488500"</x:f>
        <x:v>12488500</x:v>
      </x:c>
      <x:c r="B487" s="12" t="n">
        <x:v>42</x:v>
      </x:c>
      <x:c r="C487" s="12" t="n">
        <x:v>1918</x:v>
      </x:c>
      <x:c r="D487" s="10" t="n">
        <x:v>0.9495635733218695</x:v>
      </x:c>
      <x:c r="E487" s="10" t="n">
        <x:v>0.9634352981129175</x:v>
      </x:c>
      <x:c r="F487" s="17" t="n">
        <x:v>55.14190954310128</x:v>
      </x:c>
      <x:c r="G487" s="17" t="n">
        <x:v>27.65215524139729</x:v>
      </x:c>
      <x:c r="H487" s="17" t="n">
        <x:v>-3.609785336287801</x:v>
      </x:c>
      <x:c r="I487" s="12" t="n">
        <x:v>256</x:v>
      </x:c>
      <x:c r="J487" s="12" t="n">
        <x:v>2</x:v>
      </x:c>
      <x:c r="K487" s="19" t="n">
        <x:v>0.002713975339231919</x:v>
      </x:c>
      <x:c r="L487" s="19" t="n">
        <x:v>0</x:v>
      </x:c>
      <x:c r="M487" s="19" t="n">
        <x:v>0.0001</x:v>
      </x:c>
      <x:c r="N487" s="12" t="n">
        <x:v>7</x:v>
      </x:c>
      <x:c r="O487" s="10" t="n">
        <x:v>0.041531264781951904</x:v>
      </x:c>
      <x:c r="P487" s="22" t="n">
        <x:v>47.076658931560814</x:v>
      </x:c>
      <x:c r="Q487" s="26" t="str">
        <x:v>2009-10-01</x:v>
      </x:c>
      <x:c r="R487" s="26" t="str">
        <x:v>2014-12-31</x:v>
      </x:c>
    </x:row>
    <x:row r="488" ht="22" customHeight="1">
      <x:c r="A488" s="15" t="str">
        <x:f>"13011500"</x:f>
        <x:v>13011500</x:v>
      </x:c>
      <x:c r="B488" s="12" t="n">
        <x:v>42</x:v>
      </x:c>
      <x:c r="C488" s="12" t="n">
        <x:v>1918</x:v>
      </x:c>
      <x:c r="D488" s="10" t="n">
        <x:v>0.9867848297018794</x:v>
      </x:c>
      <x:c r="E488" s="10" t="n">
        <x:v>0.9748710729891777</x:v>
      </x:c>
      <x:c r="F488" s="17" t="n">
        <x:v>54.486414798404866</x:v>
      </x:c>
      <x:c r="G488" s="17" t="n">
        <x:v>24.5572253826903</x:v>
      </x:c>
      <x:c r="H488" s="17" t="n">
        <x:v>5.892200927007298</x:v>
      </x:c>
      <x:c r="I488" s="12" t="n">
        <x:v>256</x:v>
      </x:c>
      <x:c r="J488" s="12" t="n">
        <x:v>2</x:v>
      </x:c>
      <x:c r="K488" s="19" t="n">
        <x:v>0.002713975339231919</x:v>
      </x:c>
      <x:c r="L488" s="19" t="n">
        <x:v>0</x:v>
      </x:c>
      <x:c r="M488" s="19" t="n">
        <x:v>0.0001</x:v>
      </x:c>
      <x:c r="N488" s="12" t="n">
        <x:v>30</x:v>
      </x:c>
      <x:c r="O488" s="10" t="n">
        <x:v>0.012960364110767841</x:v>
      </x:c>
      <x:c r="P488" s="22" t="n">
        <x:v>47.0307772224769</x:v>
      </x:c>
      <x:c r="Q488" s="26" t="str">
        <x:v>2009-10-01</x:v>
      </x:c>
      <x:c r="R488" s="26" t="str">
        <x:v>2014-12-31</x:v>
      </x:c>
    </x:row>
    <x:row r="489" ht="22" customHeight="1">
      <x:c r="A489" s="15" t="str">
        <x:f>"13011900"</x:f>
        <x:v>13011900</x:v>
      </x:c>
      <x:c r="B489" s="12" t="n">
        <x:v>42</x:v>
      </x:c>
      <x:c r="C489" s="12" t="n">
        <x:v>1918</x:v>
      </x:c>
      <x:c r="D489" s="10" t="n">
        <x:v>0.994160906321522</x:v>
      </x:c>
      <x:c r="E489" s="10" t="n">
        <x:v>0.9797080565255544</x:v>
      </x:c>
      <x:c r="F489" s="17" t="n">
        <x:v>64.3613281170939</x:v>
      </x:c>
      <x:c r="G489" s="17" t="n">
        <x:v>32.96285235140772</x:v>
      </x:c>
      <x:c r="H489" s="17" t="n">
        <x:v>-0.16864819708029283</x:v>
      </x:c>
      <x:c r="I489" s="12" t="n">
        <x:v>256</x:v>
      </x:c>
      <x:c r="J489" s="12" t="n">
        <x:v>2</x:v>
      </x:c>
      <x:c r="K489" s="19" t="n">
        <x:v>0.002713975339231919</x:v>
      </x:c>
      <x:c r="L489" s="19" t="n">
        <x:v>0</x:v>
      </x:c>
      <x:c r="M489" s="19" t="n">
        <x:v>0.0001</x:v>
      </x:c>
      <x:c r="N489" s="12" t="n">
        <x:v>23</x:v>
      </x:c>
      <x:c r="O489" s="10" t="n">
        <x:v>0.005602720193564892</x:v>
      </x:c>
      <x:c r="P489" s="22" t="n">
        <x:v>47.08746632374823</x:v>
      </x:c>
      <x:c r="Q489" s="26" t="str">
        <x:v>2009-10-01</x:v>
      </x:c>
      <x:c r="R489" s="26" t="str">
        <x:v>2014-12-31</x:v>
      </x:c>
    </x:row>
    <x:row r="490" ht="22" customHeight="1">
      <x:c r="A490" s="15" t="str">
        <x:f>"13018300"</x:f>
        <x:v>13018300</x:v>
      </x:c>
      <x:c r="B490" s="12" t="n">
        <x:v>42</x:v>
      </x:c>
      <x:c r="C490" s="12" t="n">
        <x:v>1918</x:v>
      </x:c>
      <x:c r="D490" s="10" t="n">
        <x:v>0.9940509610892907</x:v>
      </x:c>
      <x:c r="E490" s="10" t="n">
        <x:v>0.9890029797383827</x:v>
      </x:c>
      <x:c r="F490" s="17" t="n">
        <x:v>1.2624581532538497</x:v>
      </x:c>
      <x:c r="G490" s="17" t="n">
        <x:v>0.5539306230448383</x:v>
      </x:c>
      <x:c r="H490" s="17" t="n">
        <x:v>0.06126807194994784</x:v>
      </x:c>
      <x:c r="I490" s="12" t="n">
        <x:v>256</x:v>
      </x:c>
      <x:c r="J490" s="12" t="n">
        <x:v>2</x:v>
      </x:c>
      <x:c r="K490" s="19" t="n">
        <x:v>0.002713975339231919</x:v>
      </x:c>
      <x:c r="L490" s="19" t="n">
        <x:v>0</x:v>
      </x:c>
      <x:c r="M490" s="19" t="n">
        <x:v>0.0001</x:v>
      </x:c>
      <x:c r="N490" s="12" t="n">
        <x:v>6</x:v>
      </x:c>
      <x:c r="O490" s="10" t="n">
        <x:v>0.00673385476693511</x:v>
      </x:c>
      <x:c r="P490" s="22" t="n">
        <x:v>47.069869824685156</x:v>
      </x:c>
      <x:c r="Q490" s="26" t="str">
        <x:v>2009-10-01</x:v>
      </x:c>
      <x:c r="R490" s="26" t="str">
        <x:v>2014-12-31</x:v>
      </x:c>
    </x:row>
    <x:row r="491" ht="22" customHeight="1">
      <x:c r="A491" s="15" t="str">
        <x:f>"13023000"</x:f>
        <x:v>13023000</x:v>
      </x:c>
      <x:c r="B491" s="12" t="n">
        <x:v>42</x:v>
      </x:c>
      <x:c r="C491" s="12" t="n">
        <x:v>1918</x:v>
      </x:c>
      <x:c r="D491" s="10" t="n">
        <x:v>0.9945044199467449</x:v>
      </x:c>
      <x:c r="E491" s="10" t="n">
        <x:v>0.9909995565969559</x:v>
      </x:c>
      <x:c r="F491" s="17" t="n">
        <x:v>54.98153686311516</x:v>
      </x:c>
      <x:c r="G491" s="17" t="n">
        <x:v>26.583981527111572</x:v>
      </x:c>
      <x:c r="H491" s="17" t="n">
        <x:v>-4.379292262252346</x:v>
      </x:c>
      <x:c r="I491" s="12" t="n">
        <x:v>256</x:v>
      </x:c>
      <x:c r="J491" s="12" t="n">
        <x:v>2</x:v>
      </x:c>
      <x:c r="K491" s="19" t="n">
        <x:v>0.002713975339231919</x:v>
      </x:c>
      <x:c r="L491" s="19" t="n">
        <x:v>0</x:v>
      </x:c>
      <x:c r="M491" s="19" t="n">
        <x:v>0.0001</x:v>
      </x:c>
      <x:c r="N491" s="12" t="n">
        <x:v>22</x:v>
      </x:c>
      <x:c r="O491" s="10" t="n">
        <x:v>0.003623340278863907</x:v>
      </x:c>
      <x:c r="P491" s="22" t="n">
        <x:v>47.074210663326085</x:v>
      </x:c>
      <x:c r="Q491" s="26" t="str">
        <x:v>2009-10-01</x:v>
      </x:c>
      <x:c r="R491" s="26" t="str">
        <x:v>2014-12-31</x:v>
      </x:c>
    </x:row>
    <x:row r="492" ht="22" customHeight="1">
      <x:c r="A492" s="15" t="str">
        <x:f>"13083000"</x:f>
        <x:v>13083000</x:v>
      </x:c>
      <x:c r="B492" s="12" t="n">
        <x:v>42</x:v>
      </x:c>
      <x:c r="C492" s="12" t="n">
        <x:v>1918</x:v>
      </x:c>
      <x:c r="D492" s="10" t="n">
        <x:v>0.9666656744706882</x:v>
      </x:c>
      <x:c r="E492" s="10" t="n">
        <x:v>0.9697206585501431</x:v>
      </x:c>
      <x:c r="F492" s="17" t="n">
        <x:v>1.227082420675233</x:v>
      </x:c>
      <x:c r="G492" s="17" t="n">
        <x:v>0.657773971324296</x:v>
      </x:c>
      <x:c r="H492" s="17" t="n">
        <x:v>0.07827262148070901</x:v>
      </x:c>
      <x:c r="I492" s="12" t="n">
        <x:v>256</x:v>
      </x:c>
      <x:c r="J492" s="12" t="n">
        <x:v>2</x:v>
      </x:c>
      <x:c r="K492" s="19" t="n">
        <x:v>0.002713975339231919</x:v>
      </x:c>
      <x:c r="L492" s="19" t="n">
        <x:v>0</x:v>
      </x:c>
      <x:c r="M492" s="19" t="n">
        <x:v>0.0001</x:v>
      </x:c>
      <x:c r="N492" s="12" t="n">
        <x:v>29</x:v>
      </x:c>
      <x:c r="O492" s="10" t="n">
        <x:v>0.03317471221089363</x:v>
      </x:c>
      <x:c r="P492" s="22" t="n">
        <x:v>47.10749469604343</x:v>
      </x:c>
      <x:c r="Q492" s="26" t="str">
        <x:v>2009-10-01</x:v>
      </x:c>
      <x:c r="R492" s="26" t="str">
        <x:v>2014-12-31</x:v>
      </x:c>
    </x:row>
    <x:row r="493" ht="22" customHeight="1">
      <x:c r="A493" s="15" t="str">
        <x:f>"13161500"</x:f>
        <x:v>13161500</x:v>
      </x:c>
      <x:c r="B493" s="12" t="n">
        <x:v>42</x:v>
      </x:c>
      <x:c r="C493" s="12" t="n">
        <x:v>1918</x:v>
      </x:c>
      <x:c r="D493" s="10" t="n">
        <x:v>0.9902077623952754</x:v>
      </x:c>
      <x:c r="E493" s="10" t="n">
        <x:v>0.9872661365928456</x:v>
      </x:c>
      <x:c r="F493" s="17" t="n">
        <x:v>15.627715339175223</x:v>
      </x:c>
      <x:c r="G493" s="17" t="n">
        <x:v>7.07566246261366</x:v>
      </x:c>
      <x:c r="H493" s="17" t="n">
        <x:v>-0.45780108357299254</x:v>
      </x:c>
      <x:c r="I493" s="12" t="n">
        <x:v>256</x:v>
      </x:c>
      <x:c r="J493" s="12" t="n">
        <x:v>2</x:v>
      </x:c>
      <x:c r="K493" s="19" t="n">
        <x:v>0.002713975339231919</x:v>
      </x:c>
      <x:c r="L493" s="19" t="n">
        <x:v>0</x:v>
      </x:c>
      <x:c r="M493" s="19" t="n">
        <x:v>0.0001</x:v>
      </x:c>
      <x:c r="N493" s="12" t="n">
        <x:v>24</x:v>
      </x:c>
      <x:c r="O493" s="10" t="n">
        <x:v>0.01622631587088108</x:v>
      </x:c>
      <x:c r="P493" s="22" t="n">
        <x:v>46.86538811400533</x:v>
      </x:c>
      <x:c r="Q493" s="26" t="str">
        <x:v>2009-10-01</x:v>
      </x:c>
      <x:c r="R493" s="26" t="str">
        <x:v>2014-12-31</x:v>
      </x:c>
    </x:row>
    <x:row r="494" ht="22" customHeight="1">
      <x:c r="A494" s="15" t="str">
        <x:f>"13235000"</x:f>
        <x:v>13235000</x:v>
      </x:c>
      <x:c r="B494" s="12" t="n">
        <x:v>42</x:v>
      </x:c>
      <x:c r="C494" s="12" t="n">
        <x:v>1918</x:v>
      </x:c>
      <x:c r="D494" s="10" t="n">
        <x:v>0.9865972100377569</x:v>
      </x:c>
      <x:c r="E494" s="10" t="n">
        <x:v>0.9917310082641041</x:v>
      </x:c>
      <x:c r="F494" s="17" t="n">
        <x:v>105.50292178761362</x:v>
      </x:c>
      <x:c r="G494" s="17" t="n">
        <x:v>39.06369728884254</x:v>
      </x:c>
      <x:c r="H494" s="17" t="n">
        <x:v>-2.6338948279457797</x:v>
      </x:c>
      <x:c r="I494" s="12" t="n">
        <x:v>256</x:v>
      </x:c>
      <x:c r="J494" s="12" t="n">
        <x:v>2</x:v>
      </x:c>
      <x:c r="K494" s="19" t="n">
        <x:v>0.002713975339231919</x:v>
      </x:c>
      <x:c r="L494" s="19" t="n">
        <x:v>0</x:v>
      </x:c>
      <x:c r="M494" s="19" t="n">
        <x:v>0.0001</x:v>
      </x:c>
      <x:c r="N494" s="12" t="n">
        <x:v>27</x:v>
      </x:c>
      <x:c r="O494" s="10" t="n">
        <x:v>0.004085347522050142</x:v>
      </x:c>
      <x:c r="P494" s="22" t="n">
        <x:v>47.00202632136643</x:v>
      </x:c>
      <x:c r="Q494" s="26" t="str">
        <x:v>2009-10-01</x:v>
      </x:c>
      <x:c r="R494" s="26" t="str">
        <x:v>2014-12-31</x:v>
      </x:c>
    </x:row>
    <x:row r="495" ht="22" customHeight="1">
      <x:c r="A495" s="15" t="str">
        <x:f>"13240000"</x:f>
        <x:v>13240000</x:v>
      </x:c>
      <x:c r="B495" s="12" t="n">
        <x:v>42</x:v>
      </x:c>
      <x:c r="C495" s="12" t="n">
        <x:v>1918</x:v>
      </x:c>
      <x:c r="D495" s="10" t="n">
        <x:v>0.8882323010194528</x:v>
      </x:c>
      <x:c r="E495" s="10" t="n">
        <x:v>0.9100182249960698</x:v>
      </x:c>
      <x:c r="F495" s="17" t="n">
        <x:v>82.7409726036421</x:v>
      </x:c>
      <x:c r="G495" s="17" t="n">
        <x:v>18.82911607586027</x:v>
      </x:c>
      <x:c r="H495" s="17" t="n">
        <x:v>1.691708358967674</x:v>
      </x:c>
      <x:c r="I495" s="12" t="n">
        <x:v>256</x:v>
      </x:c>
      <x:c r="J495" s="12" t="n">
        <x:v>2</x:v>
      </x:c>
      <x:c r="K495" s="19" t="n">
        <x:v>0.002713975339231919</x:v>
      </x:c>
      <x:c r="L495" s="19" t="n">
        <x:v>0</x:v>
      </x:c>
      <x:c r="M495" s="19" t="n">
        <x:v>0.0001</x:v>
      </x:c>
      <x:c r="N495" s="12" t="n">
        <x:v>24</x:v>
      </x:c>
      <x:c r="O495" s="10" t="n">
        <x:v>0.024084363132715225</x:v>
      </x:c>
      <x:c r="P495" s="22" t="n">
        <x:v>47.019725447520614</x:v>
      </x:c>
      <x:c r="Q495" s="26" t="str">
        <x:v>2009-10-01</x:v>
      </x:c>
      <x:c r="R495" s="26" t="str">
        <x:v>2014-12-31</x:v>
      </x:c>
    </x:row>
    <x:row r="496" ht="22" customHeight="1">
      <x:c r="A496" s="15" t="str">
        <x:f>"13313000"</x:f>
        <x:v>13313000</x:v>
      </x:c>
      <x:c r="B496" s="12" t="n">
        <x:v>42</x:v>
      </x:c>
      <x:c r="C496" s="12" t="n">
        <x:v>1918</x:v>
      </x:c>
      <x:c r="D496" s="10" t="n">
        <x:v>0.9858812137418987</x:v>
      </x:c>
      <x:c r="E496" s="10" t="n">
        <x:v>0.9883486641535543</x:v>
      </x:c>
      <x:c r="F496" s="17" t="n">
        <x:v>71.33484769370017</x:v>
      </x:c>
      <x:c r="G496" s="17" t="n">
        <x:v>24.705008937434826</x:v>
      </x:c>
      <x:c r="H496" s="17" t="n">
        <x:v>-1.303514184567257</x:v>
      </x:c>
      <x:c r="I496" s="12" t="n">
        <x:v>256</x:v>
      </x:c>
      <x:c r="J496" s="12" t="n">
        <x:v>2</x:v>
      </x:c>
      <x:c r="K496" s="19" t="n">
        <x:v>0.002713975339231919</x:v>
      </x:c>
      <x:c r="L496" s="19" t="n">
        <x:v>0</x:v>
      </x:c>
      <x:c r="M496" s="19" t="n">
        <x:v>0.0001</x:v>
      </x:c>
      <x:c r="N496" s="12" t="n">
        <x:v>30</x:v>
      </x:c>
      <x:c r="O496" s="10" t="n">
        <x:v>0.008138640783727169</x:v>
      </x:c>
      <x:c r="P496" s="22" t="n">
        <x:v>46.67463810183108</x:v>
      </x:c>
      <x:c r="Q496" s="26" t="str">
        <x:v>2009-10-01</x:v>
      </x:c>
      <x:c r="R496" s="26" t="str">
        <x:v>2014-12-31</x:v>
      </x:c>
    </x:row>
    <x:row r="497" ht="22" customHeight="1">
      <x:c r="A497" s="15" t="str">
        <x:f>"13331500"</x:f>
        <x:v>13331500</x:v>
      </x:c>
      <x:c r="B497" s="12" t="n">
        <x:v>42</x:v>
      </x:c>
      <x:c r="C497" s="12" t="n">
        <x:v>1918</x:v>
      </x:c>
      <x:c r="D497" s="10" t="n">
        <x:v>0.9732520520895193</x:v>
      </x:c>
      <x:c r="E497" s="10" t="n">
        <x:v>0.9654224400685208</x:v>
      </x:c>
      <x:c r="F497" s="17" t="n">
        <x:v>103.00170796857738</x:v>
      </x:c>
      <x:c r="G497" s="17" t="n">
        <x:v>43.75131687278415</x:v>
      </x:c>
      <x:c r="H497" s="17" t="n">
        <x:v>9.29263015015641</x:v>
      </x:c>
      <x:c r="I497" s="12" t="n">
        <x:v>256</x:v>
      </x:c>
      <x:c r="J497" s="12" t="n">
        <x:v>2</x:v>
      </x:c>
      <x:c r="K497" s="19" t="n">
        <x:v>0.002713975339231919</x:v>
      </x:c>
      <x:c r="L497" s="19" t="n">
        <x:v>0</x:v>
      </x:c>
      <x:c r="M497" s="19" t="n">
        <x:v>0.0001</x:v>
      </x:c>
      <x:c r="N497" s="12" t="n">
        <x:v>18</x:v>
      </x:c>
      <x:c r="O497" s="10" t="n">
        <x:v>0.010083269327878952</x:v>
      </x:c>
      <x:c r="P497" s="22" t="n">
        <x:v>47.015956186689436</x:v>
      </x:c>
      <x:c r="Q497" s="26" t="str">
        <x:v>2009-10-01</x:v>
      </x:c>
      <x:c r="R497" s="26" t="str">
        <x:v>2014-12-31</x:v>
      </x:c>
    </x:row>
    <x:row r="498" ht="22" customHeight="1">
      <x:c r="A498" s="15" t="str">
        <x:f>"13337000"</x:f>
        <x:v>13337000</x:v>
      </x:c>
      <x:c r="B498" s="12" t="n">
        <x:v>42</x:v>
      </x:c>
      <x:c r="C498" s="12" t="n">
        <x:v>1918</x:v>
      </x:c>
      <x:c r="D498" s="10" t="n">
        <x:v>0.9873266658042783</x:v>
      </x:c>
      <x:c r="E498" s="10" t="n">
        <x:v>0.9811164323839543</x:v>
      </x:c>
      <x:c r="F498" s="17" t="n">
        <x:v>430.2560386768114</x:v>
      </x:c>
      <x:c r="G498" s="17" t="n">
        <x:v>199.39752089155368</x:v>
      </x:c>
      <x:c r="H498" s="17" t="n">
        <x:v>42.98218395724714</x:v>
      </x:c>
      <x:c r="I498" s="12" t="n">
        <x:v>256</x:v>
      </x:c>
      <x:c r="J498" s="12" t="n">
        <x:v>2</x:v>
      </x:c>
      <x:c r="K498" s="19" t="n">
        <x:v>0.002713975339231919</x:v>
      </x:c>
      <x:c r="L498" s="19" t="n">
        <x:v>0</x:v>
      </x:c>
      <x:c r="M498" s="19" t="n">
        <x:v>0.0001</x:v>
      </x:c>
      <x:c r="N498" s="12" t="n">
        <x:v>25</x:v>
      </x:c>
      <x:c r="O498" s="10" t="n">
        <x:v>0.00499585410580039</x:v>
      </x:c>
      <x:c r="P498" s="22" t="n">
        <x:v>47.126680304296315</x:v>
      </x:c>
      <x:c r="Q498" s="26" t="str">
        <x:v>2009-10-01</x:v>
      </x:c>
      <x:c r="R498" s="26" t="str">
        <x:v>2014-12-31</x:v>
      </x:c>
    </x:row>
    <x:row r="499" ht="22" customHeight="1">
      <x:c r="A499" s="15" t="str">
        <x:f>"13338500"</x:f>
        <x:v>13338500</x:v>
      </x:c>
      <x:c r="B499" s="12" t="n">
        <x:v>42</x:v>
      </x:c>
      <x:c r="C499" s="12" t="n">
        <x:v>1918</x:v>
      </x:c>
      <x:c r="D499" s="10" t="n">
        <x:v>0.9610374337334613</x:v>
      </x:c>
      <x:c r="E499" s="10" t="n">
        <x:v>0.9606817147337537</x:v>
      </x:c>
      <x:c r="F499" s="17" t="n">
        <x:v>246.17914079351158</x:v>
      </x:c>
      <x:c r="G499" s="17" t="n">
        <x:v>96.59911600990615</x:v>
      </x:c>
      <x:c r="H499" s="17" t="n">
        <x:v>14.400815873305529</x:v>
      </x:c>
      <x:c r="I499" s="12" t="n">
        <x:v>256</x:v>
      </x:c>
      <x:c r="J499" s="12" t="n">
        <x:v>2</x:v>
      </x:c>
      <x:c r="K499" s="19" t="n">
        <x:v>0.002713975339231919</x:v>
      </x:c>
      <x:c r="L499" s="19" t="n">
        <x:v>0</x:v>
      </x:c>
      <x:c r="M499" s="19" t="n">
        <x:v>0.0001</x:v>
      </x:c>
      <x:c r="N499" s="12" t="n">
        <x:v>20</x:v>
      </x:c>
      <x:c r="O499" s="10" t="n">
        <x:v>0.019053936004638672</x:v>
      </x:c>
      <x:c r="P499" s="22" t="n">
        <x:v>47.1117817601189</x:v>
      </x:c>
      <x:c r="Q499" s="26" t="str">
        <x:v>2009-10-01</x:v>
      </x:c>
      <x:c r="R499" s="26" t="str">
        <x:v>2014-12-31</x:v>
      </x:c>
    </x:row>
    <x:row r="500" ht="22" customHeight="1">
      <x:c r="A500" s="15" t="str">
        <x:f>"13340000"</x:f>
        <x:v>13340000</x:v>
      </x:c>
      <x:c r="B500" s="12" t="n">
        <x:v>42</x:v>
      </x:c>
      <x:c r="C500" s="12" t="n">
        <x:v>1918</x:v>
      </x:c>
      <x:c r="D500" s="10" t="n">
        <x:v>0.9849920500967367</x:v>
      </x:c>
      <x:c r="E500" s="10" t="n">
        <x:v>0.9845382480432584</x:v>
      </x:c>
      <x:c r="F500" s="17" t="n">
        <x:v>1396.7791977467969</x:v>
      </x:c>
      <x:c r="G500" s="17" t="n">
        <x:v>568.1729562513034</x:v>
      </x:c>
      <x:c r="H500" s="17" t="n">
        <x:v>83.19042308133463</x:v>
      </x:c>
      <x:c r="I500" s="12" t="n">
        <x:v>256</x:v>
      </x:c>
      <x:c r="J500" s="12" t="n">
        <x:v>2</x:v>
      </x:c>
      <x:c r="K500" s="19" t="n">
        <x:v>0.002713975339231919</x:v>
      </x:c>
      <x:c r="L500" s="19" t="n">
        <x:v>0</x:v>
      </x:c>
      <x:c r="M500" s="19" t="n">
        <x:v>0.0001</x:v>
      </x:c>
      <x:c r="N500" s="12" t="n">
        <x:v>30</x:v>
      </x:c>
      <x:c r="O500" s="10" t="n">
        <x:v>0.005488070193678141</x:v>
      </x:c>
      <x:c r="P500" s="22" t="n">
        <x:v>47.185593066737056</x:v>
      </x:c>
      <x:c r="Q500" s="26" t="str">
        <x:v>2009-10-01</x:v>
      </x:c>
      <x:c r="R500" s="26" t="str">
        <x:v>2014-12-31</x:v>
      </x:c>
    </x:row>
    <x:row r="501" ht="22" customHeight="1">
      <x:c r="A501" s="15" t="str">
        <x:f>"13340600"</x:f>
        <x:v>13340600</x:v>
      </x:c>
      <x:c r="B501" s="12" t="n">
        <x:v>42</x:v>
      </x:c>
      <x:c r="C501" s="12" t="n">
        <x:v>1918</x:v>
      </x:c>
      <x:c r="D501" s="10" t="n">
        <x:v>0.9767241716965429</x:v>
      </x:c>
      <x:c r="E501" s="10" t="n">
        <x:v>0.9781743987662149</x:v>
      </x:c>
      <x:c r="F501" s="17" t="n">
        <x:v>605.418383789702</x:v>
      </x:c>
      <x:c r="G501" s="17" t="n">
        <x:v>261.22018564129297</x:v>
      </x:c>
      <x:c r="H501" s="17" t="n">
        <x:v>21.88596363920749</x:v>
      </x:c>
      <x:c r="I501" s="12" t="n">
        <x:v>256</x:v>
      </x:c>
      <x:c r="J501" s="12" t="n">
        <x:v>2</x:v>
      </x:c>
      <x:c r="K501" s="19" t="n">
        <x:v>0.002713975339231919</x:v>
      </x:c>
      <x:c r="L501" s="19" t="n">
        <x:v>0</x:v>
      </x:c>
      <x:c r="M501" s="19" t="n">
        <x:v>0.0001</x:v>
      </x:c>
      <x:c r="N501" s="12" t="n">
        <x:v>25</x:v>
      </x:c>
      <x:c r="O501" s="10" t="n">
        <x:v>0.008613469079136848</x:v>
      </x:c>
      <x:c r="P501" s="22" t="n">
        <x:v>47.16363359708339</x:v>
      </x:c>
      <x:c r="Q501" s="26" t="str">
        <x:v>2009-10-01</x:v>
      </x:c>
      <x:c r="R501" s="26" t="str">
        <x:v>2014-12-31</x:v>
      </x:c>
    </x:row>
    <x:row r="502" ht="22" customHeight="1">
      <x:c r="A502" s="15" t="str">
        <x:f>"14020000"</x:f>
        <x:v>14020000</x:v>
      </x:c>
      <x:c r="B502" s="12" t="n">
        <x:v>42</x:v>
      </x:c>
      <x:c r="C502" s="12" t="n">
        <x:v>1918</x:v>
      </x:c>
      <x:c r="D502" s="10" t="n">
        <x:v>0.8637981324923643</x:v>
      </x:c>
      <x:c r="E502" s="10" t="n">
        <x:v>0.9026256351807462</x:v>
      </x:c>
      <x:c r="F502" s="17" t="n">
        <x:v>114.79910347228449</x:v>
      </x:c>
      <x:c r="G502" s="17" t="n">
        <x:v>38.584226806047965</x:v>
      </x:c>
      <x:c r="H502" s="17" t="n">
        <x:v>3.220801075078206</x:v>
      </x:c>
      <x:c r="I502" s="12" t="n">
        <x:v>256</x:v>
      </x:c>
      <x:c r="J502" s="12" t="n">
        <x:v>2</x:v>
      </x:c>
      <x:c r="K502" s="19" t="n">
        <x:v>0.002713975339231919</x:v>
      </x:c>
      <x:c r="L502" s="19" t="n">
        <x:v>0</x:v>
      </x:c>
      <x:c r="M502" s="19" t="n">
        <x:v>0.0001</x:v>
      </x:c>
      <x:c r="N502" s="12" t="n">
        <x:v>7</x:v>
      </x:c>
      <x:c r="O502" s="10" t="n">
        <x:v>0.05246668681502342</x:v>
      </x:c>
      <x:c r="P502" s="22" t="n">
        <x:v>47.174641081131995</x:v>
      </x:c>
      <x:c r="Q502" s="26" t="str">
        <x:v>2009-10-01</x:v>
      </x:c>
      <x:c r="R502" s="26" t="str">
        <x:v>2014-12-31</x:v>
      </x:c>
    </x:row>
    <x:row r="503" ht="22" customHeight="1">
      <x:c r="A503" s="15" t="str">
        <x:f>"14137000"</x:f>
        <x:v>14137000</x:v>
      </x:c>
      <x:c r="B503" s="12" t="n">
        <x:v>42</x:v>
      </x:c>
      <x:c r="C503" s="12" t="n">
        <x:v>1917</x:v>
      </x:c>
      <x:c r="D503" s="10" t="n">
        <x:v>0.6045813358779895</x:v>
      </x:c>
      <x:c r="E503" s="10" t="n">
        <x:v>0.8047315688578678</x:v>
      </x:c>
      <x:c r="F503" s="17" t="n">
        <x:v>858.8302653298449</x:v>
      </x:c>
      <x:c r="G503" s="17" t="n">
        <x:v>301.504627866458</x:v>
      </x:c>
      <x:c r="H503" s="17" t="n">
        <x:v>41.70395556598853</x:v>
      </x:c>
      <x:c r="I503" s="12" t="n">
        <x:v>256</x:v>
      </x:c>
      <x:c r="J503" s="12" t="n">
        <x:v>2</x:v>
      </x:c>
      <x:c r="K503" s="19" t="n">
        <x:v>0.002713975339231919</x:v>
      </x:c>
      <x:c r="L503" s="19" t="n">
        <x:v>0</x:v>
      </x:c>
      <x:c r="M503" s="19" t="n">
        <x:v>0.0001</x:v>
      </x:c>
      <x:c r="N503" s="12" t="n">
        <x:v>13</x:v>
      </x:c>
      <x:c r="O503" s="10" t="n">
        <x:v>0.13884299993515015</x:v>
      </x:c>
      <x:c r="P503" s="22" t="n">
        <x:v>47.22156282514334</x:v>
      </x:c>
      <x:c r="Q503" s="26" t="str">
        <x:v>2009-09-28</x:v>
      </x:c>
      <x:c r="R503" s="26" t="str">
        <x:v>2014-12-27</x:v>
      </x:c>
    </x:row>
    <x:row r="504" ht="22" customHeight="1">
      <x:c r="A504" s="15" t="str">
        <x:f>"14138800"</x:f>
        <x:v>14138800</x:v>
      </x:c>
      <x:c r="B504" s="12" t="n">
        <x:v>42</x:v>
      </x:c>
      <x:c r="C504" s="12" t="n">
        <x:v>1918</x:v>
      </x:c>
      <x:c r="D504" s="10" t="n">
        <x:v>0.5216932660262044</x:v>
      </x:c>
      <x:c r="E504" s="10" t="n">
        <x:v>0.7533009223212563</x:v>
      </x:c>
      <x:c r="F504" s="17" t="n">
        <x:v>63.540226089876306</x:v>
      </x:c>
      <x:c r="G504" s="17" t="n">
        <x:v>27.97967462052315</x:v>
      </x:c>
      <x:c r="H504" s="17" t="n">
        <x:v>4.492299372698958</x:v>
      </x:c>
      <x:c r="I504" s="12" t="n">
        <x:v>256</x:v>
      </x:c>
      <x:c r="J504" s="12" t="n">
        <x:v>2</x:v>
      </x:c>
      <x:c r="K504" s="19" t="n">
        <x:v>0.002713975339231919</x:v>
      </x:c>
      <x:c r="L504" s="19" t="n">
        <x:v>0</x:v>
      </x:c>
      <x:c r="M504" s="19" t="n">
        <x:v>0.0001</x:v>
      </x:c>
      <x:c r="N504" s="12" t="n">
        <x:v>8</x:v>
      </x:c>
      <x:c r="O504" s="10" t="n">
        <x:v>0.23973429203033447</x:v>
      </x:c>
      <x:c r="P504" s="22" t="n">
        <x:v>47.156066877767444</x:v>
      </x:c>
      <x:c r="Q504" s="26" t="str">
        <x:v>2009-10-01</x:v>
      </x:c>
      <x:c r="R504" s="26" t="str">
        <x:v>2014-12-31</x:v>
      </x:c>
    </x:row>
    <x:row r="505" ht="22" customHeight="1">
      <x:c r="A505" s="15" t="str">
        <x:f>"14138870"</x:f>
        <x:v>14138870</x:v>
      </x:c>
      <x:c r="B505" s="12" t="n">
        <x:v>42</x:v>
      </x:c>
      <x:c r="C505" s="12" t="n">
        <x:v>1918</x:v>
      </x:c>
      <x:c r="D505" s="10" t="n">
        <x:v>0.6555571047787745</x:v>
      </x:c>
      <x:c r="E505" s="10" t="n">
        <x:v>0.7277636305275836</x:v>
      </x:c>
      <x:c r="F505" s="17" t="n">
        <x:v>28.0053421931917</x:v>
      </x:c>
      <x:c r="G505" s="17" t="n">
        <x:v>12.62864745974974</x:v>
      </x:c>
      <x:c r="H505" s="17" t="n">
        <x:v>1.0055623189781022</x:v>
      </x:c>
      <x:c r="I505" s="12" t="n">
        <x:v>256</x:v>
      </x:c>
      <x:c r="J505" s="12" t="n">
        <x:v>2</x:v>
      </x:c>
      <x:c r="K505" s="19" t="n">
        <x:v>0.002713975339231919</x:v>
      </x:c>
      <x:c r="L505" s="19" t="n">
        <x:v>0</x:v>
      </x:c>
      <x:c r="M505" s="19" t="n">
        <x:v>0.0001</x:v>
      </x:c>
      <x:c r="N505" s="12" t="n">
        <x:v>23</x:v>
      </x:c>
      <x:c r="O505" s="10" t="n">
        <x:v>0.20855578780174255</x:v>
      </x:c>
      <x:c r="P505" s="22" t="n">
        <x:v>47.20680066663772</x:v>
      </x:c>
      <x:c r="Q505" s="26" t="str">
        <x:v>2009-10-01</x:v>
      </x:c>
      <x:c r="R505" s="26" t="str">
        <x:v>2014-12-31</x:v>
      </x:c>
    </x:row>
    <x:row r="506" ht="22" customHeight="1">
      <x:c r="A506" s="15" t="str">
        <x:f>"14138900"</x:f>
        <x:v>14138900</x:v>
      </x:c>
      <x:c r="B506" s="12" t="n">
        <x:v>42</x:v>
      </x:c>
      <x:c r="C506" s="12" t="n">
        <x:v>1918</x:v>
      </x:c>
      <x:c r="D506" s="10" t="n">
        <x:v>0.6246424755232968</x:v>
      </x:c>
      <x:c r="E506" s="10" t="n">
        <x:v>0.7650184361579652</x:v>
      </x:c>
      <x:c r="F506" s="17" t="n">
        <x:v>62.05271167565301</x:v>
      </x:c>
      <x:c r="G506" s="17" t="n">
        <x:v>28.487994792231493</x:v>
      </x:c>
      <x:c r="H506" s="17" t="n">
        <x:v>1.3364056488529712</x:v>
      </x:c>
      <x:c r="I506" s="12" t="n">
        <x:v>256</x:v>
      </x:c>
      <x:c r="J506" s="12" t="n">
        <x:v>2</x:v>
      </x:c>
      <x:c r="K506" s="19" t="n">
        <x:v>0.002713975339231919</x:v>
      </x:c>
      <x:c r="L506" s="19" t="n">
        <x:v>0</x:v>
      </x:c>
      <x:c r="M506" s="19" t="n">
        <x:v>0.0001</x:v>
      </x:c>
      <x:c r="N506" s="12" t="n">
        <x:v>8</x:v>
      </x:c>
      <x:c r="O506" s="10" t="n">
        <x:v>0.318935751914978</x:v>
      </x:c>
      <x:c r="P506" s="22" t="n">
        <x:v>47.24388949852437</x:v>
      </x:c>
      <x:c r="Q506" s="26" t="str">
        <x:v>2009-10-01</x:v>
      </x:c>
      <x:c r="R506" s="26" t="str">
        <x:v>2014-12-31</x:v>
      </x:c>
    </x:row>
    <x:row r="507" ht="22" customHeight="1">
      <x:c r="A507" s="15" t="str">
        <x:f>"14139800"</x:f>
        <x:v>14139800</x:v>
      </x:c>
      <x:c r="B507" s="12" t="n">
        <x:v>42</x:v>
      </x:c>
      <x:c r="C507" s="12" t="n">
        <x:v>1918</x:v>
      </x:c>
      <x:c r="D507" s="10" t="n">
        <x:v>0.5975331475938774</x:v>
      </x:c>
      <x:c r="E507" s="10" t="n">
        <x:v>0.7384955434310705</x:v>
      </x:c>
      <x:c r="F507" s="17" t="n">
        <x:v>103.25983723842262</x:v>
      </x:c>
      <x:c r="G507" s="17" t="n">
        <x:v>37.597163485036496</x:v>
      </x:c>
      <x:c r="H507" s="17" t="n">
        <x:v>-7.151116279614183</x:v>
      </x:c>
      <x:c r="I507" s="12" t="n">
        <x:v>256</x:v>
      </x:c>
      <x:c r="J507" s="12" t="n">
        <x:v>2</x:v>
      </x:c>
      <x:c r="K507" s="19" t="n">
        <x:v>0.002713975339231919</x:v>
      </x:c>
      <x:c r="L507" s="19" t="n">
        <x:v>0</x:v>
      </x:c>
      <x:c r="M507" s="19" t="n">
        <x:v>0.0001</x:v>
      </x:c>
      <x:c r="N507" s="12" t="n">
        <x:v>28</x:v>
      </x:c>
      <x:c r="O507" s="10" t="n">
        <x:v>0.23807287216186523</x:v>
      </x:c>
      <x:c r="P507" s="22" t="n">
        <x:v>47.08656798955053</x:v>
      </x:c>
      <x:c r="Q507" s="26" t="str">
        <x:v>2009-10-01</x:v>
      </x:c>
      <x:c r="R507" s="26" t="str">
        <x:v>2014-12-31</x:v>
      </x:c>
    </x:row>
    <x:row r="508" ht="22" customHeight="1">
      <x:c r="A508" s="15" t="str">
        <x:f>"14141500"</x:f>
        <x:v>14141500</x:v>
      </x:c>
      <x:c r="B508" s="12" t="n">
        <x:v>42</x:v>
      </x:c>
      <x:c r="C508" s="12" t="n">
        <x:v>1918</x:v>
      </x:c>
      <x:c r="D508" s="10" t="n">
        <x:v>0.6985190976038911</x:v>
      </x:c>
      <x:c r="E508" s="10" t="n">
        <x:v>0.8117917554301811</x:v>
      </x:c>
      <x:c r="F508" s="17" t="n">
        <x:v>93.40742550263505</x:v>
      </x:c>
      <x:c r="G508" s="17" t="n">
        <x:v>41.50645289438478</x:v>
      </x:c>
      <x:c r="H508" s="17" t="n">
        <x:v>-6.005243030985402</x:v>
      </x:c>
      <x:c r="I508" s="12" t="n">
        <x:v>256</x:v>
      </x:c>
      <x:c r="J508" s="12" t="n">
        <x:v>2</x:v>
      </x:c>
      <x:c r="K508" s="19" t="n">
        <x:v>0.002713975339231919</x:v>
      </x:c>
      <x:c r="L508" s="19" t="n">
        <x:v>0</x:v>
      </x:c>
      <x:c r="M508" s="19" t="n">
        <x:v>0.0001</x:v>
      </x:c>
      <x:c r="N508" s="12" t="n">
        <x:v>8</x:v>
      </x:c>
      <x:c r="O508" s="10" t="n">
        <x:v>0.19821813702583313</x:v>
      </x:c>
      <x:c r="P508" s="22" t="n">
        <x:v>47.025055937469006</x:v>
      </x:c>
      <x:c r="Q508" s="26" t="str">
        <x:v>2009-10-01</x:v>
      </x:c>
      <x:c r="R508" s="26" t="str">
        <x:v>2014-12-31</x:v>
      </x:c>
    </x:row>
    <x:row r="509" ht="22" customHeight="1">
      <x:c r="A509" s="15" t="str">
        <x:f>"14154500"</x:f>
        <x:v>14154500</x:v>
      </x:c>
      <x:c r="B509" s="12" t="n">
        <x:v>42</x:v>
      </x:c>
      <x:c r="C509" s="12" t="n">
        <x:v>1918</x:v>
      </x:c>
      <x:c r="D509" s="10" t="n">
        <x:v>0.6852265371698005</x:v>
      </x:c>
      <x:c r="E509" s="10" t="n">
        <x:v>0.765076570076241</x:v>
      </x:c>
      <x:c r="F509" s="17" t="n">
        <x:v>556.2455801565466</x:v>
      </x:c>
      <x:c r="G509" s="17" t="n">
        <x:v>211.13970578623565</x:v>
      </x:c>
      <x:c r="H509" s="17" t="n">
        <x:v>24.724592740354538</x:v>
      </x:c>
      <x:c r="I509" s="12" t="n">
        <x:v>256</x:v>
      </x:c>
      <x:c r="J509" s="12" t="n">
        <x:v>2</x:v>
      </x:c>
      <x:c r="K509" s="19" t="n">
        <x:v>0.002713975339231919</x:v>
      </x:c>
      <x:c r="L509" s="19" t="n">
        <x:v>0</x:v>
      </x:c>
      <x:c r="M509" s="19" t="n">
        <x:v>0.0001</x:v>
      </x:c>
      <x:c r="N509" s="12" t="n">
        <x:v>3</x:v>
      </x:c>
      <x:c r="O509" s="10" t="n">
        <x:v>0.18740643560886383</x:v>
      </x:c>
      <x:c r="P509" s="22" t="n">
        <x:v>47.02705185767263</x:v>
      </x:c>
      <x:c r="Q509" s="26" t="str">
        <x:v>2009-10-01</x:v>
      </x:c>
      <x:c r="R509" s="26" t="str">
        <x:v>2014-12-31</x:v>
      </x:c>
    </x:row>
    <x:row r="510" ht="22" customHeight="1">
      <x:c r="A510" s="15" t="str">
        <x:f>"14158500"</x:f>
        <x:v>14158500</x:v>
      </x:c>
      <x:c r="B510" s="12" t="n">
        <x:v>42</x:v>
      </x:c>
      <x:c r="C510" s="12" t="n">
        <x:v>1918</x:v>
      </x:c>
      <x:c r="D510" s="10" t="n">
        <x:v>0.9462975540467027</x:v>
      </x:c>
      <x:c r="E510" s="10" t="n">
        <x:v>0.9666820609286515</x:v>
      </x:c>
      <x:c r="F510" s="17" t="n">
        <x:v>56.11896702265159</x:v>
      </x:c>
      <x:c r="G510" s="17" t="n">
        <x:v>18.734479421272162</x:v>
      </x:c>
      <x:c r="H510" s="17" t="n">
        <x:v>-2.1382949791449417</x:v>
      </x:c>
      <x:c r="I510" s="12" t="n">
        <x:v>256</x:v>
      </x:c>
      <x:c r="J510" s="12" t="n">
        <x:v>2</x:v>
      </x:c>
      <x:c r="K510" s="19" t="n">
        <x:v>0.002713975339231919</x:v>
      </x:c>
      <x:c r="L510" s="19" t="n">
        <x:v>0</x:v>
      </x:c>
      <x:c r="M510" s="19" t="n">
        <x:v>0.0001</x:v>
      </x:c>
      <x:c r="N510" s="12" t="n">
        <x:v>20</x:v>
      </x:c>
      <x:c r="O510" s="10" t="n">
        <x:v>0.013410991989076138</x:v>
      </x:c>
      <x:c r="P510" s="22" t="n">
        <x:v>46.9630690747872</x:v>
      </x:c>
      <x:c r="Q510" s="26" t="str">
        <x:v>2009-10-01</x:v>
      </x:c>
      <x:c r="R510" s="26" t="str">
        <x:v>2014-12-31</x:v>
      </x:c>
    </x:row>
    <x:row r="511" ht="22" customHeight="1">
      <x:c r="A511" s="15" t="str">
        <x:f>"14158790"</x:f>
        <x:v>14158790</x:v>
      </x:c>
      <x:c r="B511" s="12" t="n">
        <x:v>42</x:v>
      </x:c>
      <x:c r="C511" s="12" t="n">
        <x:v>1918</x:v>
      </x:c>
      <x:c r="D511" s="10" t="n">
        <x:v>0.6698540029049986</x:v>
      </x:c>
      <x:c r="E511" s="10" t="n">
        <x:v>0.7991434348373503</x:v>
      </x:c>
      <x:c r="F511" s="17" t="n">
        <x:v>85.08537094993139</x:v>
      </x:c>
      <x:c r="G511" s="17" t="n">
        <x:v>30.178388958832116</x:v>
      </x:c>
      <x:c r="H511" s="17" t="n">
        <x:v>0.9560429783941603</x:v>
      </x:c>
      <x:c r="I511" s="12" t="n">
        <x:v>256</x:v>
      </x:c>
      <x:c r="J511" s="12" t="n">
        <x:v>2</x:v>
      </x:c>
      <x:c r="K511" s="19" t="n">
        <x:v>0.002713975339231919</x:v>
      </x:c>
      <x:c r="L511" s="19" t="n">
        <x:v>0</x:v>
      </x:c>
      <x:c r="M511" s="19" t="n">
        <x:v>0.0001</x:v>
      </x:c>
      <x:c r="N511" s="12" t="n">
        <x:v>26</x:v>
      </x:c>
      <x:c r="O511" s="10" t="n">
        <x:v>0.14679956436157227</x:v>
      </x:c>
      <x:c r="P511" s="22" t="n">
        <x:v>47.124371443875134</x:v>
      </x:c>
      <x:c r="Q511" s="26" t="str">
        <x:v>2009-10-01</x:v>
      </x:c>
      <x:c r="R511" s="26" t="str">
        <x:v>2014-12-31</x:v>
      </x:c>
    </x:row>
    <x:row r="512" ht="22" customHeight="1">
      <x:c r="A512" s="15" t="str">
        <x:f>"14166500"</x:f>
        <x:v>14166500</x:v>
      </x:c>
      <x:c r="B512" s="12" t="n">
        <x:v>42</x:v>
      </x:c>
      <x:c r="C512" s="12" t="n">
        <x:v>1918</x:v>
      </x:c>
      <x:c r="D512" s="10" t="n">
        <x:v>0.8951374484304071</x:v>
      </x:c>
      <x:c r="E512" s="10" t="n">
        <x:v>0.8562523354285838</x:v>
      </x:c>
      <x:c r="F512" s="17" t="n">
        <x:v>121.31781204233117</x:v>
      </x:c>
      <x:c r="G512" s="17" t="n">
        <x:v>43.27808762960218</x:v>
      </x:c>
      <x:c r="H512" s="17" t="n">
        <x:v>-12.94903538559802</x:v>
      </x:c>
      <x:c r="I512" s="12" t="n">
        <x:v>256</x:v>
      </x:c>
      <x:c r="J512" s="12" t="n">
        <x:v>2</x:v>
      </x:c>
      <x:c r="K512" s="19" t="n">
        <x:v>0.002713975339231919</x:v>
      </x:c>
      <x:c r="L512" s="19" t="n">
        <x:v>0</x:v>
      </x:c>
      <x:c r="M512" s="19" t="n">
        <x:v>0.0001</x:v>
      </x:c>
      <x:c r="N512" s="12" t="n">
        <x:v>4</x:v>
      </x:c>
      <x:c r="O512" s="10" t="n">
        <x:v>0.079176165163517</x:v>
      </x:c>
      <x:c r="P512" s="22" t="n">
        <x:v>47.02062196005136</x:v>
      </x:c>
      <x:c r="Q512" s="26" t="str">
        <x:v>2009-10-01</x:v>
      </x:c>
      <x:c r="R512" s="26" t="str">
        <x:v>2014-12-31</x:v>
      </x:c>
    </x:row>
    <x:row r="513" ht="22" customHeight="1">
      <x:c r="A513" s="15" t="str">
        <x:f>"14182500"</x:f>
        <x:v>14182500</x:v>
      </x:c>
      <x:c r="B513" s="12" t="n">
        <x:v>42</x:v>
      </x:c>
      <x:c r="C513" s="12" t="n">
        <x:v>1918</x:v>
      </x:c>
      <x:c r="D513" s="10" t="n">
        <x:v>0.6810247350737249</x:v>
      </x:c>
      <x:c r="E513" s="10" t="n">
        <x:v>0.7882250633925716</x:v>
      </x:c>
      <x:c r="F513" s="17" t="n">
        <x:v>576.8450267255456</x:v>
      </x:c>
      <x:c r="G513" s="17" t="n">
        <x:v>228.1036985518952</x:v>
      </x:c>
      <x:c r="H513" s="17" t="n">
        <x:v>12.236736375112095</x:v>
      </x:c>
      <x:c r="I513" s="12" t="n">
        <x:v>256</x:v>
      </x:c>
      <x:c r="J513" s="12" t="n">
        <x:v>2</x:v>
      </x:c>
      <x:c r="K513" s="19" t="n">
        <x:v>0.002713975339231919</x:v>
      </x:c>
      <x:c r="L513" s="19" t="n">
        <x:v>0</x:v>
      </x:c>
      <x:c r="M513" s="19" t="n">
        <x:v>0.0001</x:v>
      </x:c>
      <x:c r="N513" s="12" t="n">
        <x:v>8</x:v>
      </x:c>
      <x:c r="O513" s="10" t="n">
        <x:v>0.24241191148757935</x:v>
      </x:c>
      <x:c r="P513" s="22" t="n">
        <x:v>47.07586849294603</x:v>
      </x:c>
      <x:c r="Q513" s="26" t="str">
        <x:v>2009-10-01</x:v>
      </x:c>
      <x:c r="R513" s="26" t="str">
        <x:v>2014-12-31</x:v>
      </x:c>
    </x:row>
    <x:row r="514" ht="22" customHeight="1">
      <x:c r="A514" s="15" t="str">
        <x:f>"14185000"</x:f>
        <x:v>14185000</x:v>
      </x:c>
      <x:c r="B514" s="12" t="n">
        <x:v>42</x:v>
      </x:c>
      <x:c r="C514" s="12" t="n">
        <x:v>1918</x:v>
      </x:c>
      <x:c r="D514" s="10" t="n">
        <x:v>0.6196995453657619</x:v>
      </x:c>
      <x:c r="E514" s="10" t="n">
        <x:v>0.7745450917661634</x:v>
      </x:c>
      <x:c r="F514" s="17" t="n">
        <x:v>768.9384576342263</x:v>
      </x:c>
      <x:c r="G514" s="17" t="n">
        <x:v>261.6396547002607</x:v>
      </x:c>
      <x:c r="H514" s="17" t="n">
        <x:v>-10.910272429144943</x:v>
      </x:c>
      <x:c r="I514" s="12" t="n">
        <x:v>256</x:v>
      </x:c>
      <x:c r="J514" s="12" t="n">
        <x:v>2</x:v>
      </x:c>
      <x:c r="K514" s="19" t="n">
        <x:v>0.002713975339231919</x:v>
      </x:c>
      <x:c r="L514" s="19" t="n">
        <x:v>0</x:v>
      </x:c>
      <x:c r="M514" s="19" t="n">
        <x:v>0.0001</x:v>
      </x:c>
      <x:c r="N514" s="12" t="n">
        <x:v>20</x:v>
      </x:c>
      <x:c r="O514" s="10" t="n">
        <x:v>0.12670086324214935</x:v>
      </x:c>
      <x:c r="P514" s="22" t="n">
        <x:v>47.17494803573936</x:v>
      </x:c>
      <x:c r="Q514" s="26" t="str">
        <x:v>2009-10-01</x:v>
      </x:c>
      <x:c r="R514" s="26" t="str">
        <x:v>2014-12-31</x:v>
      </x:c>
    </x:row>
    <x:row r="515" ht="22" customHeight="1">
      <x:c r="A515" s="15" t="str">
        <x:f>"14185900"</x:f>
        <x:v>14185900</x:v>
      </x:c>
      <x:c r="B515" s="12" t="n">
        <x:v>42</x:v>
      </x:c>
      <x:c r="C515" s="12" t="n">
        <x:v>1918</x:v>
      </x:c>
      <x:c r="D515" s="10" t="n">
        <x:v>0.6500189335300328</x:v>
      </x:c>
      <x:c r="E515" s="10" t="n">
        <x:v>0.7531269833925682</x:v>
      </x:c>
      <x:c r="F515" s="17" t="n">
        <x:v>570.4870488841203</x:v>
      </x:c>
      <x:c r="G515" s="17" t="n">
        <x:v>228.6822543920751</x:v>
      </x:c>
      <x:c r="H515" s="17" t="n">
        <x:v>10.022125889468194</x:v>
      </x:c>
      <x:c r="I515" s="12" t="n">
        <x:v>256</x:v>
      </x:c>
      <x:c r="J515" s="12" t="n">
        <x:v>2</x:v>
      </x:c>
      <x:c r="K515" s="19" t="n">
        <x:v>0.002713975339231919</x:v>
      </x:c>
      <x:c r="L515" s="19" t="n">
        <x:v>0</x:v>
      </x:c>
      <x:c r="M515" s="19" t="n">
        <x:v>0.0001</x:v>
      </x:c>
      <x:c r="N515" s="12" t="n">
        <x:v>18</x:v>
      </x:c>
      <x:c r="O515" s="10" t="n">
        <x:v>0.1661074310541153</x:v>
      </x:c>
      <x:c r="P515" s="22" t="n">
        <x:v>47.18881204724312</x:v>
      </x:c>
      <x:c r="Q515" s="26" t="str">
        <x:v>2009-10-01</x:v>
      </x:c>
      <x:c r="R515" s="26" t="str">
        <x:v>2014-12-31</x:v>
      </x:c>
    </x:row>
    <x:row r="516" ht="22" customHeight="1">
      <x:c r="A516" s="15" t="str">
        <x:f>"14222500"</x:f>
        <x:v>14222500</x:v>
      </x:c>
      <x:c r="B516" s="12" t="n">
        <x:v>42</x:v>
      </x:c>
      <x:c r="C516" s="12" t="n">
        <x:v>1918</x:v>
      </x:c>
      <x:c r="D516" s="10" t="n">
        <x:v>0.8132003228592294</x:v>
      </x:c>
      <x:c r="E516" s="10" t="n">
        <x:v>0.8372447639188688</x:v>
      </x:c>
      <x:c r="F516" s="17" t="n">
        <x:v>383.23844327959654</x:v>
      </x:c>
      <x:c r="G516" s="17" t="n">
        <x:v>186.4670554442127</x:v>
      </x:c>
      <x:c r="H516" s="17" t="n">
        <x:v>34.98551058498436</x:v>
      </x:c>
      <x:c r="I516" s="12" t="n">
        <x:v>256</x:v>
      </x:c>
      <x:c r="J516" s="12" t="n">
        <x:v>2</x:v>
      </x:c>
      <x:c r="K516" s="19" t="n">
        <x:v>0.002713975339231919</x:v>
      </x:c>
      <x:c r="L516" s="19" t="n">
        <x:v>0</x:v>
      </x:c>
      <x:c r="M516" s="19" t="n">
        <x:v>0.0001</x:v>
      </x:c>
      <x:c r="N516" s="12" t="n">
        <x:v>3</x:v>
      </x:c>
      <x:c r="O516" s="10" t="n">
        <x:v>0.16034148633480072</x:v>
      </x:c>
      <x:c r="P516" s="22" t="n">
        <x:v>47.15583198517561</x:v>
      </x:c>
      <x:c r="Q516" s="26" t="str">
        <x:v>2009-10-01</x:v>
      </x:c>
      <x:c r="R516" s="26" t="str">
        <x:v>2014-12-31</x:v>
      </x:c>
    </x:row>
    <x:row r="517" ht="22" customHeight="1">
      <x:c r="A517" s="15" t="str">
        <x:f>"14236200"</x:f>
        <x:v>14236200</x:v>
      </x:c>
      <x:c r="B517" s="12" t="n">
        <x:v>42</x:v>
      </x:c>
      <x:c r="C517" s="12" t="n">
        <x:v>1918</x:v>
      </x:c>
      <x:c r="D517" s="10" t="n">
        <x:v>0.7015977024948781</x:v>
      </x:c>
      <x:c r="E517" s="10" t="n">
        <x:v>0.8496616040974725</x:v>
      </x:c>
      <x:c r="F517" s="17" t="n">
        <x:v>489.6224069148778</x:v>
      </x:c>
      <x:c r="G517" s="17" t="n">
        <x:v>203.76063295516164</x:v>
      </x:c>
      <x:c r="H517" s="17" t="n">
        <x:v>-15.334930852971844</x:v>
      </x:c>
      <x:c r="I517" s="12" t="n">
        <x:v>256</x:v>
      </x:c>
      <x:c r="J517" s="12" t="n">
        <x:v>2</x:v>
      </x:c>
      <x:c r="K517" s="19" t="n">
        <x:v>0.002713975339231919</x:v>
      </x:c>
      <x:c r="L517" s="19" t="n">
        <x:v>0</x:v>
      </x:c>
      <x:c r="M517" s="19" t="n">
        <x:v>0.0001</x:v>
      </x:c>
      <x:c r="N517" s="12" t="n">
        <x:v>23</x:v>
      </x:c>
      <x:c r="O517" s="10" t="n">
        <x:v>0.3666374087333679</x:v>
      </x:c>
      <x:c r="P517" s="22" t="n">
        <x:v>47.20112733077258</x:v>
      </x:c>
      <x:c r="Q517" s="26" t="str">
        <x:v>2009-10-01</x:v>
      </x:c>
      <x:c r="R517" s="26" t="str">
        <x:v>2014-12-31</x:v>
      </x:c>
    </x:row>
    <x:row r="518" ht="22" customHeight="1">
      <x:c r="A518" s="15" t="str">
        <x:f>"14301000"</x:f>
        <x:v>14301000</x:v>
      </x:c>
      <x:c r="B518" s="12" t="n">
        <x:v>42</x:v>
      </x:c>
      <x:c r="C518" s="12" t="n">
        <x:v>1918</x:v>
      </x:c>
      <x:c r="D518" s="10" t="n">
        <x:v>0.9353727169593585</x:v>
      </x:c>
      <x:c r="E518" s="10" t="n">
        <x:v>0.9339327280464592</x:v>
      </x:c>
      <x:c r="F518" s="17" t="n">
        <x:v>946.784007491616</x:v>
      </x:c>
      <x:c r="G518" s="17" t="n">
        <x:v>404.3716957375391</x:v>
      </x:c>
      <x:c r="H518" s="17" t="n">
        <x:v>16.039763520020852</x:v>
      </x:c>
      <x:c r="I518" s="12" t="n">
        <x:v>256</x:v>
      </x:c>
      <x:c r="J518" s="12" t="n">
        <x:v>2</x:v>
      </x:c>
      <x:c r="K518" s="19" t="n">
        <x:v>0.002713975339231919</x:v>
      </x:c>
      <x:c r="L518" s="19" t="n">
        <x:v>0</x:v>
      </x:c>
      <x:c r="M518" s="19" t="n">
        <x:v>0.0001</x:v>
      </x:c>
      <x:c r="N518" s="12" t="n">
        <x:v>5</x:v>
      </x:c>
      <x:c r="O518" s="10" t="n">
        <x:v>0.08116165548563004</x:v>
      </x:c>
      <x:c r="P518" s="22" t="n">
        <x:v>47.17663018591702</x:v>
      </x:c>
      <x:c r="Q518" s="26" t="str">
        <x:v>2009-10-01</x:v>
      </x:c>
      <x:c r="R518" s="26" t="str">
        <x:v>2014-12-31</x:v>
      </x:c>
    </x:row>
    <x:row r="519" ht="22" customHeight="1">
      <x:c r="A519" s="15" t="str">
        <x:f>"14305500"</x:f>
        <x:v>14305500</x:v>
      </x:c>
      <x:c r="B519" s="12" t="n">
        <x:v>42</x:v>
      </x:c>
      <x:c r="C519" s="12" t="n">
        <x:v>1918</x:v>
      </x:c>
      <x:c r="D519" s="10" t="n">
        <x:v>0.7564798532761059</x:v>
      </x:c>
      <x:c r="E519" s="10" t="n">
        <x:v>0.806481886809449</x:v>
      </x:c>
      <x:c r="F519" s="17" t="n">
        <x:v>1044.7984544315018</x:v>
      </x:c>
      <x:c r="G519" s="17" t="n">
        <x:v>430.62415279661104</x:v>
      </x:c>
      <x:c r="H519" s="17" t="n">
        <x:v>137.24505672789363</x:v>
      </x:c>
      <x:c r="I519" s="12" t="n">
        <x:v>256</x:v>
      </x:c>
      <x:c r="J519" s="12" t="n">
        <x:v>2</x:v>
      </x:c>
      <x:c r="K519" s="19" t="n">
        <x:v>0.002713975339231919</x:v>
      </x:c>
      <x:c r="L519" s="19" t="n">
        <x:v>0</x:v>
      </x:c>
      <x:c r="M519" s="19" t="n">
        <x:v>0.0001</x:v>
      </x:c>
      <x:c r="N519" s="12" t="n">
        <x:v>3</x:v>
      </x:c>
      <x:c r="O519" s="10" t="n">
        <x:v>0.23391371965408325</x:v>
      </x:c>
      <x:c r="P519" s="22" t="n">
        <x:v>47.180501773022115</x:v>
      </x:c>
      <x:c r="Q519" s="26" t="str">
        <x:v>2009-10-01</x:v>
      </x:c>
      <x:c r="R519" s="26" t="str">
        <x:v>2014-12-31</x:v>
      </x:c>
    </x:row>
    <x:row r="520" ht="22" customHeight="1">
      <x:c r="A520" s="15" t="str">
        <x:f>"14306500"</x:f>
        <x:v>14306500</x:v>
      </x:c>
      <x:c r="B520" s="12" t="n">
        <x:v>42</x:v>
      </x:c>
      <x:c r="C520" s="12" t="n">
        <x:v>1918</x:v>
      </x:c>
      <x:c r="D520" s="10" t="n">
        <x:v>0.8466641113650666</x:v>
      </x:c>
      <x:c r="E520" s="10" t="n">
        <x:v>0.8630281475624293</x:v>
      </x:c>
      <x:c r="F520" s="17" t="n">
        <x:v>821.7607116707544</x:v>
      </x:c>
      <x:c r="G520" s="17" t="n">
        <x:v>274.06494696439</x:v>
      </x:c>
      <x:c r="H520" s="17" t="n">
        <x:v>12.096593854171026</x:v>
      </x:c>
      <x:c r="I520" s="12" t="n">
        <x:v>256</x:v>
      </x:c>
      <x:c r="J520" s="12" t="n">
        <x:v>2</x:v>
      </x:c>
      <x:c r="K520" s="19" t="n">
        <x:v>0.002713975339231919</x:v>
      </x:c>
      <x:c r="L520" s="19" t="n">
        <x:v>0</x:v>
      </x:c>
      <x:c r="M520" s="19" t="n">
        <x:v>0.0001</x:v>
      </x:c>
      <x:c r="N520" s="12" t="n">
        <x:v>10</x:v>
      </x:c>
      <x:c r="O520" s="10" t="n">
        <x:v>0.087666817009449</x:v>
      </x:c>
      <x:c r="P520" s="22" t="n">
        <x:v>47.20669587235898</x:v>
      </x:c>
      <x:c r="Q520" s="26" t="str">
        <x:v>2009-10-01</x:v>
      </x:c>
      <x:c r="R520" s="26" t="str">
        <x:v>2014-12-31</x:v>
      </x:c>
    </x:row>
    <x:row r="521" ht="22" customHeight="1">
      <x:c r="A521" s="15" t="str">
        <x:f>"14309500"</x:f>
        <x:v>14309500</x:v>
      </x:c>
      <x:c r="B521" s="12" t="n">
        <x:v>42</x:v>
      </x:c>
      <x:c r="C521" s="12" t="n">
        <x:v>1918</x:v>
      </x:c>
      <x:c r="D521" s="10" t="n">
        <x:v>0.6961394355141732</x:v>
      </x:c>
      <x:c r="E521" s="10" t="n">
        <x:v>0.7942702022199751</x:v>
      </x:c>
      <x:c r="F521" s="17" t="n">
        <x:v>244.88251490813948</x:v>
      </x:c>
      <x:c r="G521" s="17" t="n">
        <x:v>77.24451976695202</x:v>
      </x:c>
      <x:c r="H521" s="17" t="n">
        <x:v>6.469764293944737</x:v>
      </x:c>
      <x:c r="I521" s="12" t="n">
        <x:v>256</x:v>
      </x:c>
      <x:c r="J521" s="12" t="n">
        <x:v>2</x:v>
      </x:c>
      <x:c r="K521" s="19" t="n">
        <x:v>0.002713975339231919</x:v>
      </x:c>
      <x:c r="L521" s="19" t="n">
        <x:v>0</x:v>
      </x:c>
      <x:c r="M521" s="19" t="n">
        <x:v>0.0001</x:v>
      </x:c>
      <x:c r="N521" s="12" t="n">
        <x:v>16</x:v>
      </x:c>
      <x:c r="O521" s="10" t="n">
        <x:v>0.2301415205001831</x:v>
      </x:c>
      <x:c r="P521" s="22" t="n">
        <x:v>45.43534219451249</x:v>
      </x:c>
      <x:c r="Q521" s="26" t="str">
        <x:v>2009-10-01</x:v>
      </x:c>
      <x:c r="R521" s="26" t="str">
        <x:v>2014-12-31</x:v>
      </x:c>
    </x:row>
    <x:row r="522" ht="22" customHeight="1">
      <x:c r="A522" s="15" t="str">
        <x:f>"14316700"</x:f>
        <x:v>14316700</x:v>
      </x:c>
      <x:c r="B522" s="12" t="n">
        <x:v>42</x:v>
      </x:c>
      <x:c r="C522" s="12" t="n">
        <x:v>1918</x:v>
      </x:c>
      <x:c r="D522" s="10" t="n">
        <x:v>0.7108845940843729</x:v>
      </x:c>
      <x:c r="E522" s="10" t="n">
        <x:v>0.7686713866100342</x:v>
      </x:c>
      <x:c r="F522" s="17" t="n">
        <x:v>613.3532076114243</x:v>
      </x:c>
      <x:c r="G522" s="17" t="n">
        <x:v>259.6788671999479</x:v>
      </x:c>
      <x:c r="H522" s="17" t="n">
        <x:v>63.73880361548488</x:v>
      </x:c>
      <x:c r="I522" s="12" t="n">
        <x:v>256</x:v>
      </x:c>
      <x:c r="J522" s="12" t="n">
        <x:v>2</x:v>
      </x:c>
      <x:c r="K522" s="19" t="n">
        <x:v>0.002713975339231919</x:v>
      </x:c>
      <x:c r="L522" s="19" t="n">
        <x:v>0</x:v>
      </x:c>
      <x:c r="M522" s="19" t="n">
        <x:v>0.0001</x:v>
      </x:c>
      <x:c r="N522" s="12" t="n">
        <x:v>1</x:v>
      </x:c>
      <x:c r="O522" s="10" t="n">
        <x:v>0.21977677941322327</x:v>
      </x:c>
      <x:c r="P522" s="22" t="n">
        <x:v>24.77851392608136</x:v>
      </x:c>
      <x:c r="Q522" s="26" t="str">
        <x:v>2009-10-01</x:v>
      </x:c>
      <x:c r="R522" s="26" t="str">
        <x:v>2014-12-31</x:v>
      </x:c>
    </x:row>
    <x:row r="523" ht="22" customHeight="1">
      <x:c r="A523" s="15" t="str">
        <x:f>"14325000"</x:f>
        <x:v>14325000</x:v>
      </x:c>
      <x:c r="B523" s="12" t="n">
        <x:v>42</x:v>
      </x:c>
      <x:c r="C523" s="12" t="n">
        <x:v>1918</x:v>
      </x:c>
      <x:c r="D523" s="10" t="n">
        <x:v>0.7244189105665904</x:v>
      </x:c>
      <x:c r="E523" s="10" t="n">
        <x:v>0.8147874261224135</x:v>
      </x:c>
      <x:c r="F523" s="17" t="n">
        <x:v>707.7674937481991</x:v>
      </x:c>
      <x:c r="G523" s="17" t="n">
        <x:v>256.44240091679353</x:v>
      </x:c>
      <x:c r="H523" s="17" t="n">
        <x:v>9.693943144728886</x:v>
      </x:c>
      <x:c r="I523" s="12" t="n">
        <x:v>256</x:v>
      </x:c>
      <x:c r="J523" s="12" t="n">
        <x:v>2</x:v>
      </x:c>
      <x:c r="K523" s="19" t="n">
        <x:v>0.002713975339231919</x:v>
      </x:c>
      <x:c r="L523" s="19" t="n">
        <x:v>0</x:v>
      </x:c>
      <x:c r="M523" s="19" t="n">
        <x:v>0.0001</x:v>
      </x:c>
      <x:c r="N523" s="12" t="n">
        <x:v>7</x:v>
      </x:c>
      <x:c r="O523" s="10" t="n">
        <x:v>0.2509702146053314</x:v>
      </x:c>
      <x:c r="P523" s="22" t="n">
        <x:v>25.1897038705647</x:v>
      </x:c>
      <x:c r="Q523" s="26" t="str">
        <x:v>2009-10-01</x:v>
      </x:c>
      <x:c r="R523" s="26" t="str">
        <x:v>2014-12-31</x:v>
      </x:c>
    </x:row>
    <x:row r="524" ht="22" customHeight="1">
      <x:c r="A524" s="16" t="str">
        <x:f>"14400000"</x:f>
        <x:v>14400000</x:v>
      </x:c>
      <x:c r="B524" s="13" t="n">
        <x:v>42</x:v>
      </x:c>
      <x:c r="C524" s="13" t="n">
        <x:v>1918</x:v>
      </x:c>
      <x:c r="D524" s="11" t="n">
        <x:v>0.774932266989517</x:v>
      </x:c>
      <x:c r="E524" s="11" t="n">
        <x:v>0.861757516978719</x:v>
      </x:c>
      <x:c r="F524" s="18" t="n">
        <x:v>1714.7334790541515</x:v>
      </x:c>
      <x:c r="G524" s="18" t="n">
        <x:v>682.3560934650731</x:v>
      </x:c>
      <x:c r="H524" s="18" t="n">
        <x:v>56.863974627732006</x:v>
      </x:c>
      <x:c r="I524" s="13" t="n">
        <x:v>256</x:v>
      </x:c>
      <x:c r="J524" s="13" t="n">
        <x:v>2</x:v>
      </x:c>
      <x:c r="K524" s="14" t="n">
        <x:v>0.002713975339231919</x:v>
      </x:c>
      <x:c r="L524" s="14" t="n">
        <x:v>0</x:v>
      </x:c>
      <x:c r="M524" s="14" t="n">
        <x:v>0.0001</x:v>
      </x:c>
      <x:c r="N524" s="13" t="n">
        <x:v>7</x:v>
      </x:c>
      <x:c r="O524" s="11" t="n">
        <x:v>0.24384209513664246</x:v>
      </x:c>
      <x:c r="P524" s="23" t="n">
        <x:v>24.92562087625265</x:v>
      </x:c>
      <x:c r="Q524" s="27" t="str">
        <x:v>2009-10-01</x:v>
      </x:c>
      <x:c r="R524" s="27" t="str">
        <x:v>2014-12-31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3" t="str">
        <x:v>Source: candidate_trials.csv; each row is one candidate on one random tuning station.</x:v>
      </x:c>
    </x:row>
    <x:row r="3" ht="34" customHeight="1">
      <x:c r="A3" s="9" t="str">
        <x:v>Basin ID</x:v>
      </x:c>
      <x:c r="B3" s="9" t="str">
        <x:v>Trial index</x:v>
      </x:c>
      <x:c r="C3" s="9" t="str">
        <x:v>Seed</x:v>
      </x:c>
      <x:c r="D3" s="9" t="str">
        <x:v>Hidden size</x:v>
      </x:c>
      <x:c r="E3" s="9" t="str">
        <x:v>Layers</x:v>
      </x:c>
      <x:c r="F3" s="9" t="str">
        <x:v>Learning rate</x:v>
      </x:c>
      <x:c r="G3" s="9" t="str">
        <x:v>Dropout</x:v>
      </x:c>
      <x:c r="H3" s="9" t="str">
        <x:v>Weight decay</x:v>
      </x:c>
      <x:c r="I3" s="9" t="str">
        <x:v>Validation NSE</x:v>
      </x:c>
      <x:c r="J3" s="9" t="str">
        <x:v>Validation MSE</x:v>
      </x:c>
      <x:c r="K3" s="9" t="str">
        <x:v>Best epoch</x:v>
      </x:c>
      <x:c r="L3" s="9" t="str">
        <x:v>Elapsed (s)</x:v>
      </x:c>
      <x:c r="M3" s="9" t="str">
        <x:v>Selected</x:v>
      </x:c>
    </x:row>
    <x:row r="4" ht="22" customHeight="1">
      <x:c r="A4" s="15" t="str">
        <x:f>"04224775"</x:f>
        <x:v>04224775</x:v>
      </x:c>
      <x:c r="B4" s="12" t="n">
        <x:v>0</x:v>
      </x:c>
      <x:c r="C4" s="12" t="n">
        <x:v>42</x:v>
      </x:c>
      <x:c r="D4" s="12" t="n">
        <x:v>64</x:v>
      </x:c>
      <x:c r="E4" s="12" t="n">
        <x:v>1</x:v>
      </x:c>
      <x:c r="F4" s="19" t="n">
        <x:v>0.001</x:v>
      </x:c>
      <x:c r="G4" s="19" t="n">
        <x:v>0</x:v>
      </x:c>
      <x:c r="H4" s="19" t="n">
        <x:v>0.00001</x:v>
      </x:c>
      <x:c r="I4" s="10" t="n">
        <x:v>0.5165102560699995</x:v>
      </x:c>
      <x:c r="J4" s="10" t="n">
        <x:v>0.5527679324150085</x:v>
      </x:c>
      <x:c r="K4" s="12" t="n">
        <x:v>21</x:v>
      </x:c>
      <x:c r="L4" s="22" t="n">
        <x:v>17.93148686271161</x:v>
      </x:c>
      <x:c r="M4" s="20" t="str">
        <x:v>No</x:v>
      </x:c>
    </x:row>
    <x:row r="5" ht="22" customHeight="1">
      <x:c r="A5" s="15" t="str">
        <x:f>"05291000"</x:f>
        <x:v>05291000</x:v>
      </x:c>
      <x:c r="B5" s="12" t="n">
        <x:v>0</x:v>
      </x:c>
      <x:c r="C5" s="12" t="n">
        <x:v>42</x:v>
      </x:c>
      <x:c r="D5" s="12" t="n">
        <x:v>64</x:v>
      </x:c>
      <x:c r="E5" s="12" t="n">
        <x:v>1</x:v>
      </x:c>
      <x:c r="F5" s="19" t="n">
        <x:v>0.001</x:v>
      </x:c>
      <x:c r="G5" s="19" t="n">
        <x:v>0</x:v>
      </x:c>
      <x:c r="H5" s="19" t="n">
        <x:v>0.00001</x:v>
      </x:c>
      <x:c r="I5" s="10" t="n">
        <x:v>0.735114657885152</x:v>
      </x:c>
      <x:c r="J5" s="10" t="n">
        <x:v>0.2838394343852997</x:v>
      </x:c>
      <x:c r="K5" s="12" t="n">
        <x:v>20</x:v>
      </x:c>
      <x:c r="L5" s="22" t="n">
        <x:v>18.00752646382898</x:v>
      </x:c>
      <x:c r="M5" s="20" t="str">
        <x:v>No</x:v>
      </x:c>
    </x:row>
    <x:row r="6" ht="22" customHeight="1">
      <x:c r="A6" s="15" t="str">
        <x:f>"06278300"</x:f>
        <x:v>06278300</x:v>
      </x:c>
      <x:c r="B6" s="12" t="n">
        <x:v>0</x:v>
      </x:c>
      <x:c r="C6" s="12" t="n">
        <x:v>42</x:v>
      </x:c>
      <x:c r="D6" s="12" t="n">
        <x:v>64</x:v>
      </x:c>
      <x:c r="E6" s="12" t="n">
        <x:v>1</x:v>
      </x:c>
      <x:c r="F6" s="19" t="n">
        <x:v>0.001</x:v>
      </x:c>
      <x:c r="G6" s="19" t="n">
        <x:v>0</x:v>
      </x:c>
      <x:c r="H6" s="19" t="n">
        <x:v>0.00001</x:v>
      </x:c>
      <x:c r="I6" s="10" t="n">
        <x:v>0.9567547216791811</x:v>
      </x:c>
      <x:c r="J6" s="10" t="n">
        <x:v>0.04532220587134361</x:v>
      </x:c>
      <x:c r="K6" s="12" t="n">
        <x:v>18</x:v>
      </x:c>
      <x:c r="L6" s="22" t="n">
        <x:v>19.56439167726785</x:v>
      </x:c>
      <x:c r="M6" s="20" t="str">
        <x:v>No</x:v>
      </x:c>
    </x:row>
    <x:row r="7" ht="22" customHeight="1">
      <x:c r="A7" s="15" t="str">
        <x:f>"07167500"</x:f>
        <x:v>07167500</x:v>
      </x:c>
      <x:c r="B7" s="12" t="n">
        <x:v>0</x:v>
      </x:c>
      <x:c r="C7" s="12" t="n">
        <x:v>42</x:v>
      </x:c>
      <x:c r="D7" s="12" t="n">
        <x:v>64</x:v>
      </x:c>
      <x:c r="E7" s="12" t="n">
        <x:v>1</x:v>
      </x:c>
      <x:c r="F7" s="19" t="n">
        <x:v>0.001</x:v>
      </x:c>
      <x:c r="G7" s="19" t="n">
        <x:v>0</x:v>
      </x:c>
      <x:c r="H7" s="19" t="n">
        <x:v>0.00001</x:v>
      </x:c>
      <x:c r="I7" s="10" t="n">
        <x:v>0.14543667455209974</x:v>
      </x:c>
      <x:c r="J7" s="10" t="n">
        <x:v>2.5736136436462402</x:v>
      </x:c>
      <x:c r="K7" s="12" t="n">
        <x:v>5</x:v>
      </x:c>
      <x:c r="L7" s="22" t="n">
        <x:v>19.633811745792627</x:v>
      </x:c>
      <x:c r="M7" s="20" t="str">
        <x:v>No</x:v>
      </x:c>
    </x:row>
    <x:row r="8" ht="22" customHeight="1">
      <x:c r="A8" s="15" t="str">
        <x:f>"11381500"</x:f>
        <x:v>11381500</x:v>
      </x:c>
      <x:c r="B8" s="12" t="n">
        <x:v>0</x:v>
      </x:c>
      <x:c r="C8" s="12" t="n">
        <x:v>42</x:v>
      </x:c>
      <x:c r="D8" s="12" t="n">
        <x:v>64</x:v>
      </x:c>
      <x:c r="E8" s="12" t="n">
        <x:v>1</x:v>
      </x:c>
      <x:c r="F8" s="19" t="n">
        <x:v>0.001</x:v>
      </x:c>
      <x:c r="G8" s="19" t="n">
        <x:v>0</x:v>
      </x:c>
      <x:c r="H8" s="19" t="n">
        <x:v>0.00001</x:v>
      </x:c>
      <x:c r="I8" s="10" t="n">
        <x:v>0.5538879934601013</x:v>
      </x:c>
      <x:c r="J8" s="10" t="n">
        <x:v>0.3107619881629944</x:v>
      </x:c>
      <x:c r="K8" s="12" t="n">
        <x:v>8</x:v>
      </x:c>
      <x:c r="L8" s="22" t="n">
        <x:v>18.627065047621727</x:v>
      </x:c>
      <x:c r="M8" s="20" t="str">
        <x:v>No</x:v>
      </x:c>
    </x:row>
    <x:row r="9" ht="22" customHeight="1">
      <x:c r="A9" s="15" t="str">
        <x:f>"12092000"</x:f>
        <x:v>12092000</x:v>
      </x:c>
      <x:c r="B9" s="12" t="n">
        <x:v>0</x:v>
      </x:c>
      <x:c r="C9" s="12" t="n">
        <x:v>42</x:v>
      </x:c>
      <x:c r="D9" s="12" t="n">
        <x:v>64</x:v>
      </x:c>
      <x:c r="E9" s="12" t="n">
        <x:v>1</x:v>
      </x:c>
      <x:c r="F9" s="19" t="n">
        <x:v>0.001</x:v>
      </x:c>
      <x:c r="G9" s="19" t="n">
        <x:v>0</x:v>
      </x:c>
      <x:c r="H9" s="19" t="n">
        <x:v>0.00001</x:v>
      </x:c>
      <x:c r="I9" s="10" t="n">
        <x:v>0.6400360743871893</x:v>
      </x:c>
      <x:c r="J9" s="10" t="n">
        <x:v>0.6530544757843018</x:v>
      </x:c>
      <x:c r="K9" s="12" t="n">
        <x:v>22</x:v>
      </x:c>
      <x:c r="L9" s="22" t="n">
        <x:v>19.612553681246936</x:v>
      </x:c>
      <x:c r="M9" s="20" t="str">
        <x:v>No</x:v>
      </x:c>
    </x:row>
    <x:row r="10" ht="22" customHeight="1">
      <x:c r="A10" s="15" t="str">
        <x:f>"04224775"</x:f>
        <x:v>04224775</x:v>
      </x:c>
      <x:c r="B10" s="12" t="n">
        <x:v>1</x:v>
      </x:c>
      <x:c r="C10" s="12" t="n">
        <x:v>42</x:v>
      </x:c>
      <x:c r="D10" s="12" t="n">
        <x:v>128</x:v>
      </x:c>
      <x:c r="E10" s="12" t="n">
        <x:v>1</x:v>
      </x:c>
      <x:c r="F10" s="19" t="n">
        <x:v>0.001</x:v>
      </x:c>
      <x:c r="G10" s="19" t="n">
        <x:v>0</x:v>
      </x:c>
      <x:c r="H10" s="19" t="n">
        <x:v>0.00001</x:v>
      </x:c>
      <x:c r="I10" s="10" t="n">
        <x:v>0.5182011097608414</x:v>
      </x:c>
      <x:c r="J10" s="10" t="n">
        <x:v>0.5508347153663635</x:v>
      </x:c>
      <x:c r="K10" s="12" t="n">
        <x:v>29</x:v>
      </x:c>
      <x:c r="L10" s="22" t="n">
        <x:v>19.521485907025635</x:v>
      </x:c>
      <x:c r="M10" s="20" t="str">
        <x:v>No</x:v>
      </x:c>
    </x:row>
    <x:row r="11" ht="22" customHeight="1">
      <x:c r="A11" s="15" t="str">
        <x:f>"05291000"</x:f>
        <x:v>05291000</x:v>
      </x:c>
      <x:c r="B11" s="12" t="n">
        <x:v>1</x:v>
      </x:c>
      <x:c r="C11" s="12" t="n">
        <x:v>42</x:v>
      </x:c>
      <x:c r="D11" s="12" t="n">
        <x:v>128</x:v>
      </x:c>
      <x:c r="E11" s="12" t="n">
        <x:v>1</x:v>
      </x:c>
      <x:c r="F11" s="19" t="n">
        <x:v>0.001</x:v>
      </x:c>
      <x:c r="G11" s="19" t="n">
        <x:v>0</x:v>
      </x:c>
      <x:c r="H11" s="19" t="n">
        <x:v>0.00001</x:v>
      </x:c>
      <x:c r="I11" s="10" t="n">
        <x:v>0.7492708194331354</x:v>
      </x:c>
      <x:c r="J11" s="10" t="n">
        <x:v>0.26867035031318665</x:v>
      </x:c>
      <x:c r="K11" s="12" t="n">
        <x:v>28</x:v>
      </x:c>
      <x:c r="L11" s="22" t="n">
        <x:v>18.626589871942997</x:v>
      </x:c>
      <x:c r="M11" s="20" t="str">
        <x:v>No</x:v>
      </x:c>
    </x:row>
    <x:row r="12" ht="22" customHeight="1">
      <x:c r="A12" s="15" t="str">
        <x:f>"06278300"</x:f>
        <x:v>06278300</x:v>
      </x:c>
      <x:c r="B12" s="12" t="n">
        <x:v>1</x:v>
      </x:c>
      <x:c r="C12" s="12" t="n">
        <x:v>42</x:v>
      </x:c>
      <x:c r="D12" s="12" t="n">
        <x:v>128</x:v>
      </x:c>
      <x:c r="E12" s="12" t="n">
        <x:v>1</x:v>
      </x:c>
      <x:c r="F12" s="19" t="n">
        <x:v>0.001</x:v>
      </x:c>
      <x:c r="G12" s="19" t="n">
        <x:v>0</x:v>
      </x:c>
      <x:c r="H12" s="19" t="n">
        <x:v>0.00001</x:v>
      </x:c>
      <x:c r="I12" s="10" t="n">
        <x:v>0.9554722606474386</x:v>
      </x:c>
      <x:c r="J12" s="10" t="n">
        <x:v>0.046666260808706284</x:v>
      </x:c>
      <x:c r="K12" s="12" t="n">
        <x:v>11</x:v>
      </x:c>
      <x:c r="L12" s="22" t="n">
        <x:v>18.375953723676503</x:v>
      </x:c>
      <x:c r="M12" s="20" t="str">
        <x:v>No</x:v>
      </x:c>
    </x:row>
    <x:row r="13" ht="22" customHeight="1">
      <x:c r="A13" s="15" t="str">
        <x:f>"07167500"</x:f>
        <x:v>07167500</x:v>
      </x:c>
      <x:c r="B13" s="12" t="n">
        <x:v>1</x:v>
      </x:c>
      <x:c r="C13" s="12" t="n">
        <x:v>42</x:v>
      </x:c>
      <x:c r="D13" s="12" t="n">
        <x:v>128</x:v>
      </x:c>
      <x:c r="E13" s="12" t="n">
        <x:v>1</x:v>
      </x:c>
      <x:c r="F13" s="19" t="n">
        <x:v>0.001</x:v>
      </x:c>
      <x:c r="G13" s="19" t="n">
        <x:v>0</x:v>
      </x:c>
      <x:c r="H13" s="19" t="n">
        <x:v>0.00001</x:v>
      </x:c>
      <x:c r="I13" s="10" t="n">
        <x:v>0.14791847819066262</x:v>
      </x:c>
      <x:c r="J13" s="10" t="n">
        <x:v>2.566138982772827</x:v>
      </x:c>
      <x:c r="K13" s="12" t="n">
        <x:v>5</x:v>
      </x:c>
      <x:c r="L13" s="22" t="n">
        <x:v>19.586065945215523</x:v>
      </x:c>
      <x:c r="M13" s="20" t="str">
        <x:v>No</x:v>
      </x:c>
    </x:row>
    <x:row r="14" ht="22" customHeight="1">
      <x:c r="A14" s="15" t="str">
        <x:f>"11381500"</x:f>
        <x:v>11381500</x:v>
      </x:c>
      <x:c r="B14" s="12" t="n">
        <x:v>1</x:v>
      </x:c>
      <x:c r="C14" s="12" t="n">
        <x:v>42</x:v>
      </x:c>
      <x:c r="D14" s="12" t="n">
        <x:v>128</x:v>
      </x:c>
      <x:c r="E14" s="12" t="n">
        <x:v>1</x:v>
      </x:c>
      <x:c r="F14" s="19" t="n">
        <x:v>0.001</x:v>
      </x:c>
      <x:c r="G14" s="19" t="n">
        <x:v>0</x:v>
      </x:c>
      <x:c r="H14" s="19" t="n">
        <x:v>0.00001</x:v>
      </x:c>
      <x:c r="I14" s="10" t="n">
        <x:v>0.5511195907916824</x:v>
      </x:c>
      <x:c r="J14" s="10" t="n">
        <x:v>0.31269049644470215</x:v>
      </x:c>
      <x:c r="K14" s="12" t="n">
        <x:v>8</x:v>
      </x:c>
      <x:c r="L14" s="22" t="n">
        <x:v>19.549238256178796</x:v>
      </x:c>
      <x:c r="M14" s="20" t="str">
        <x:v>No</x:v>
      </x:c>
    </x:row>
    <x:row r="15" ht="22" customHeight="1">
      <x:c r="A15" s="15" t="str">
        <x:f>"12092000"</x:f>
        <x:v>12092000</x:v>
      </x:c>
      <x:c r="B15" s="12" t="n">
        <x:v>1</x:v>
      </x:c>
      <x:c r="C15" s="12" t="n">
        <x:v>42</x:v>
      </x:c>
      <x:c r="D15" s="12" t="n">
        <x:v>128</x:v>
      </x:c>
      <x:c r="E15" s="12" t="n">
        <x:v>1</x:v>
      </x:c>
      <x:c r="F15" s="19" t="n">
        <x:v>0.001</x:v>
      </x:c>
      <x:c r="G15" s="19" t="n">
        <x:v>0</x:v>
      </x:c>
      <x:c r="H15" s="19" t="n">
        <x:v>0.00001</x:v>
      </x:c>
      <x:c r="I15" s="10" t="n">
        <x:v>0.6472126008374876</x:v>
      </x:c>
      <x:c r="J15" s="10" t="n">
        <x:v>0.6400346159934998</x:v>
      </x:c>
      <x:c r="K15" s="12" t="n">
        <x:v>28</x:v>
      </x:c>
      <x:c r="L15" s="22" t="n">
        <x:v>18.190515094436705</x:v>
      </x:c>
      <x:c r="M15" s="20" t="str">
        <x:v>No</x:v>
      </x:c>
    </x:row>
    <x:row r="16" ht="22" customHeight="1">
      <x:c r="A16" s="15" t="str">
        <x:f>"04224775"</x:f>
        <x:v>04224775</x:v>
      </x:c>
      <x:c r="B16" s="12" t="n">
        <x:v>2</x:v>
      </x:c>
      <x:c r="C16" s="12" t="n">
        <x:v>42</x:v>
      </x:c>
      <x:c r="D16" s="12" t="n">
        <x:v>64</x:v>
      </x:c>
      <x:c r="E16" s="12" t="n">
        <x:v>2</x:v>
      </x:c>
      <x:c r="F16" s="19" t="n">
        <x:v>0.001</x:v>
      </x:c>
      <x:c r="G16" s="19" t="n">
        <x:v>0.1</x:v>
      </x:c>
      <x:c r="H16" s="19" t="n">
        <x:v>0.00001</x:v>
      </x:c>
      <x:c r="I16" s="10" t="n">
        <x:v>0.5252517792009738</x:v>
      </x:c>
      <x:c r="J16" s="10" t="n">
        <x:v>0.5427738428115845</x:v>
      </x:c>
      <x:c r="K16" s="12" t="n">
        <x:v>13</x:v>
      </x:c>
      <x:c r="L16" s="22" t="n">
        <x:v>22.245649250224233</x:v>
      </x:c>
      <x:c r="M16" s="20" t="str">
        <x:v>No</x:v>
      </x:c>
    </x:row>
    <x:row r="17" ht="22" customHeight="1">
      <x:c r="A17" s="15" t="str">
        <x:f>"05291000"</x:f>
        <x:v>05291000</x:v>
      </x:c>
      <x:c r="B17" s="12" t="n">
        <x:v>2</x:v>
      </x:c>
      <x:c r="C17" s="12" t="n">
        <x:v>42</x:v>
      </x:c>
      <x:c r="D17" s="12" t="n">
        <x:v>64</x:v>
      </x:c>
      <x:c r="E17" s="12" t="n">
        <x:v>2</x:v>
      </x:c>
      <x:c r="F17" s="19" t="n">
        <x:v>0.001</x:v>
      </x:c>
      <x:c r="G17" s="19" t="n">
        <x:v>0.1</x:v>
      </x:c>
      <x:c r="H17" s="19" t="n">
        <x:v>0.00001</x:v>
      </x:c>
      <x:c r="I17" s="10" t="n">
        <x:v>0.7612211038914678</x:v>
      </x:c>
      <x:c r="J17" s="10" t="n">
        <x:v>0.2558649778366089</x:v>
      </x:c>
      <x:c r="K17" s="12" t="n">
        <x:v>25</x:v>
      </x:c>
      <x:c r="L17" s="22" t="n">
        <x:v>22.497301107272506</x:v>
      </x:c>
      <x:c r="M17" s="20" t="str">
        <x:v>No</x:v>
      </x:c>
    </x:row>
    <x:row r="18" ht="22" customHeight="1">
      <x:c r="A18" s="15" t="str">
        <x:f>"06278300"</x:f>
        <x:v>06278300</x:v>
      </x:c>
      <x:c r="B18" s="12" t="n">
        <x:v>2</x:v>
      </x:c>
      <x:c r="C18" s="12" t="n">
        <x:v>42</x:v>
      </x:c>
      <x:c r="D18" s="12" t="n">
        <x:v>64</x:v>
      </x:c>
      <x:c r="E18" s="12" t="n">
        <x:v>2</x:v>
      </x:c>
      <x:c r="F18" s="19" t="n">
        <x:v>0.001</x:v>
      </x:c>
      <x:c r="G18" s="19" t="n">
        <x:v>0.1</x:v>
      </x:c>
      <x:c r="H18" s="19" t="n">
        <x:v>0.00001</x:v>
      </x:c>
      <x:c r="I18" s="10" t="n">
        <x:v>0.95315179691523</x:v>
      </x:c>
      <x:c r="J18" s="10" t="n">
        <x:v>0.04909816384315491</x:v>
      </x:c>
      <x:c r="K18" s="12" t="n">
        <x:v>11</x:v>
      </x:c>
      <x:c r="L18" s="22" t="n">
        <x:v>22.386454147286713</x:v>
      </x:c>
      <x:c r="M18" s="20" t="str">
        <x:v>No</x:v>
      </x:c>
    </x:row>
    <x:row r="19" ht="22" customHeight="1">
      <x:c r="A19" s="15" t="str">
        <x:f>"07167500"</x:f>
        <x:v>07167500</x:v>
      </x:c>
      <x:c r="B19" s="12" t="n">
        <x:v>2</x:v>
      </x:c>
      <x:c r="C19" s="12" t="n">
        <x:v>42</x:v>
      </x:c>
      <x:c r="D19" s="12" t="n">
        <x:v>64</x:v>
      </x:c>
      <x:c r="E19" s="12" t="n">
        <x:v>2</x:v>
      </x:c>
      <x:c r="F19" s="19" t="n">
        <x:v>0.001</x:v>
      </x:c>
      <x:c r="G19" s="19" t="n">
        <x:v>0.1</x:v>
      </x:c>
      <x:c r="H19" s="19" t="n">
        <x:v>0.00001</x:v>
      </x:c>
      <x:c r="I19" s="10" t="n">
        <x:v>0.14652188748108508</x:v>
      </x:c>
      <x:c r="J19" s="10" t="n">
        <x:v>2.570345163345337</x:v>
      </x:c>
      <x:c r="K19" s="12" t="n">
        <x:v>12</x:v>
      </x:c>
      <x:c r="L19" s="22" t="n">
        <x:v>22.466796435415745</x:v>
      </x:c>
      <x:c r="M19" s="20" t="str">
        <x:v>No</x:v>
      </x:c>
    </x:row>
    <x:row r="20" ht="22" customHeight="1">
      <x:c r="A20" s="15" t="str">
        <x:f>"11381500"</x:f>
        <x:v>11381500</x:v>
      </x:c>
      <x:c r="B20" s="12" t="n">
        <x:v>2</x:v>
      </x:c>
      <x:c r="C20" s="12" t="n">
        <x:v>42</x:v>
      </x:c>
      <x:c r="D20" s="12" t="n">
        <x:v>64</x:v>
      </x:c>
      <x:c r="E20" s="12" t="n">
        <x:v>2</x:v>
      </x:c>
      <x:c r="F20" s="19" t="n">
        <x:v>0.001</x:v>
      </x:c>
      <x:c r="G20" s="19" t="n">
        <x:v>0.1</x:v>
      </x:c>
      <x:c r="H20" s="19" t="n">
        <x:v>0.00001</x:v>
      </x:c>
      <x:c r="I20" s="10" t="n">
        <x:v>0.549116727724866</x:v>
      </x:c>
      <x:c r="J20" s="10" t="n">
        <x:v>0.3140856623649597</x:v>
      </x:c>
      <x:c r="K20" s="12" t="n">
        <x:v>11</x:v>
      </x:c>
      <x:c r="L20" s="22" t="n">
        <x:v>22.492105706594884</x:v>
      </x:c>
      <x:c r="M20" s="20" t="str">
        <x:v>No</x:v>
      </x:c>
    </x:row>
    <x:row r="21" ht="22" customHeight="1">
      <x:c r="A21" s="15" t="str">
        <x:f>"12092000"</x:f>
        <x:v>12092000</x:v>
      </x:c>
      <x:c r="B21" s="12" t="n">
        <x:v>2</x:v>
      </x:c>
      <x:c r="C21" s="12" t="n">
        <x:v>42</x:v>
      </x:c>
      <x:c r="D21" s="12" t="n">
        <x:v>64</x:v>
      </x:c>
      <x:c r="E21" s="12" t="n">
        <x:v>2</x:v>
      </x:c>
      <x:c r="F21" s="19" t="n">
        <x:v>0.001</x:v>
      </x:c>
      <x:c r="G21" s="19" t="n">
        <x:v>0.1</x:v>
      </x:c>
      <x:c r="H21" s="19" t="n">
        <x:v>0.00001</x:v>
      </x:c>
      <x:c r="I21" s="10" t="n">
        <x:v>0.639274808018641</x:v>
      </x:c>
      <x:c r="J21" s="10" t="n">
        <x:v>0.6544356346130371</x:v>
      </x:c>
      <x:c r="K21" s="12" t="n">
        <x:v>16</x:v>
      </x:c>
      <x:c r="L21" s="22" t="n">
        <x:v>22.47865088377148</x:v>
      </x:c>
      <x:c r="M21" s="20" t="str">
        <x:v>No</x:v>
      </x:c>
    </x:row>
    <x:row r="22" ht="22" customHeight="1">
      <x:c r="A22" s="15" t="str">
        <x:f>"04224775"</x:f>
        <x:v>04224775</x:v>
      </x:c>
      <x:c r="B22" s="12" t="n">
        <x:v>3</x:v>
      </x:c>
      <x:c r="C22" s="12" t="n">
        <x:v>42</x:v>
      </x:c>
      <x:c r="D22" s="12" t="n">
        <x:v>128</x:v>
      </x:c>
      <x:c r="E22" s="12" t="n">
        <x:v>2</x:v>
      </x:c>
      <x:c r="F22" s="19" t="n">
        <x:v>0.0003</x:v>
      </x:c>
      <x:c r="G22" s="19" t="n">
        <x:v>0.1</x:v>
      </x:c>
      <x:c r="H22" s="19" t="n">
        <x:v>0.00001</x:v>
      </x:c>
      <x:c r="I22" s="10" t="n">
        <x:v>0.5215076358420048</x:v>
      </x:c>
      <x:c r="J22" s="10" t="n">
        <x:v>0.5470544695854187</x:v>
      </x:c>
      <x:c r="K22" s="12" t="n">
        <x:v>30</x:v>
      </x:c>
      <x:c r="L22" s="22" t="n">
        <x:v>22.655319951474667</x:v>
      </x:c>
      <x:c r="M22" s="20" t="str">
        <x:v>No</x:v>
      </x:c>
    </x:row>
    <x:row r="23" ht="22" customHeight="1">
      <x:c r="A23" s="15" t="str">
        <x:f>"05291000"</x:f>
        <x:v>05291000</x:v>
      </x:c>
      <x:c r="B23" s="12" t="n">
        <x:v>3</x:v>
      </x:c>
      <x:c r="C23" s="12" t="n">
        <x:v>42</x:v>
      </x:c>
      <x:c r="D23" s="12" t="n">
        <x:v>128</x:v>
      </x:c>
      <x:c r="E23" s="12" t="n">
        <x:v>2</x:v>
      </x:c>
      <x:c r="F23" s="19" t="n">
        <x:v>0.0003</x:v>
      </x:c>
      <x:c r="G23" s="19" t="n">
        <x:v>0.1</x:v>
      </x:c>
      <x:c r="H23" s="19" t="n">
        <x:v>0.00001</x:v>
      </x:c>
      <x:c r="I23" s="10" t="n">
        <x:v>0.7328368068627863</x:v>
      </x:c>
      <x:c r="J23" s="10" t="n">
        <x:v>0.2862803041934967</x:v>
      </x:c>
      <x:c r="K23" s="12" t="n">
        <x:v>28</x:v>
      </x:c>
      <x:c r="L23" s="22" t="n">
        <x:v>22.620919392444193</x:v>
      </x:c>
      <x:c r="M23" s="20" t="str">
        <x:v>No</x:v>
      </x:c>
    </x:row>
    <x:row r="24" ht="22" customHeight="1">
      <x:c r="A24" s="15" t="str">
        <x:f>"06278300"</x:f>
        <x:v>06278300</x:v>
      </x:c>
      <x:c r="B24" s="12" t="n">
        <x:v>3</x:v>
      </x:c>
      <x:c r="C24" s="12" t="n">
        <x:v>42</x:v>
      </x:c>
      <x:c r="D24" s="12" t="n">
        <x:v>128</x:v>
      </x:c>
      <x:c r="E24" s="12" t="n">
        <x:v>2</x:v>
      </x:c>
      <x:c r="F24" s="19" t="n">
        <x:v>0.0003</x:v>
      </x:c>
      <x:c r="G24" s="19" t="n">
        <x:v>0.1</x:v>
      </x:c>
      <x:c r="H24" s="19" t="n">
        <x:v>0.00001</x:v>
      </x:c>
      <x:c r="I24" s="10" t="n">
        <x:v>0.9535499965824183</x:v>
      </x:c>
      <x:c r="J24" s="10" t="n">
        <x:v>0.04868084192276001</x:v>
      </x:c>
      <x:c r="K24" s="12" t="n">
        <x:v>23</x:v>
      </x:c>
      <x:c r="L24" s="22" t="n">
        <x:v>22.65504936967045</x:v>
      </x:c>
      <x:c r="M24" s="20" t="str">
        <x:v>No</x:v>
      </x:c>
    </x:row>
    <x:row r="25" ht="22" customHeight="1">
      <x:c r="A25" s="15" t="str">
        <x:f>"07167500"</x:f>
        <x:v>07167500</x:v>
      </x:c>
      <x:c r="B25" s="12" t="n">
        <x:v>3</x:v>
      </x:c>
      <x:c r="C25" s="12" t="n">
        <x:v>42</x:v>
      </x:c>
      <x:c r="D25" s="12" t="n">
        <x:v>128</x:v>
      </x:c>
      <x:c r="E25" s="12" t="n">
        <x:v>2</x:v>
      </x:c>
      <x:c r="F25" s="19" t="n">
        <x:v>0.0003</x:v>
      </x:c>
      <x:c r="G25" s="19" t="n">
        <x:v>0.1</x:v>
      </x:c>
      <x:c r="H25" s="19" t="n">
        <x:v>0.00001</x:v>
      </x:c>
      <x:c r="I25" s="10" t="n">
        <x:v>0.13917600131401076</x:v>
      </x:c>
      <x:c r="J25" s="10" t="n">
        <x:v>2.592468500137329</x:v>
      </x:c>
      <x:c r="K25" s="12" t="n">
        <x:v>12</x:v>
      </x:c>
      <x:c r="L25" s="22" t="n">
        <x:v>22.8139277016744</x:v>
      </x:c>
      <x:c r="M25" s="20" t="str">
        <x:v>No</x:v>
      </x:c>
    </x:row>
    <x:row r="26" ht="22" customHeight="1">
      <x:c r="A26" s="15" t="str">
        <x:f>"11381500"</x:f>
        <x:v>11381500</x:v>
      </x:c>
      <x:c r="B26" s="12" t="n">
        <x:v>3</x:v>
      </x:c>
      <x:c r="C26" s="12" t="n">
        <x:v>42</x:v>
      </x:c>
      <x:c r="D26" s="12" t="n">
        <x:v>128</x:v>
      </x:c>
      <x:c r="E26" s="12" t="n">
        <x:v>2</x:v>
      </x:c>
      <x:c r="F26" s="19" t="n">
        <x:v>0.0003</x:v>
      </x:c>
      <x:c r="G26" s="19" t="n">
        <x:v>0.1</x:v>
      </x:c>
      <x:c r="H26" s="19" t="n">
        <x:v>0.00001</x:v>
      </x:c>
      <x:c r="I26" s="10" t="n">
        <x:v>0.5459468524859781</x:v>
      </x:c>
      <x:c r="J26" s="10" t="n">
        <x:v>0.316293865442276</x:v>
      </x:c>
      <x:c r="K26" s="12" t="n">
        <x:v>8</x:v>
      </x:c>
      <x:c r="L26" s="22" t="n">
        <x:v>22.519844024442136</x:v>
      </x:c>
      <x:c r="M26" s="20" t="str">
        <x:v>No</x:v>
      </x:c>
    </x:row>
    <x:row r="27" ht="22" customHeight="1">
      <x:c r="A27" s="15" t="str">
        <x:f>"12092000"</x:f>
        <x:v>12092000</x:v>
      </x:c>
      <x:c r="B27" s="12" t="n">
        <x:v>3</x:v>
      </x:c>
      <x:c r="C27" s="12" t="n">
        <x:v>42</x:v>
      </x:c>
      <x:c r="D27" s="12" t="n">
        <x:v>128</x:v>
      </x:c>
      <x:c r="E27" s="12" t="n">
        <x:v>2</x:v>
      </x:c>
      <x:c r="F27" s="19" t="n">
        <x:v>0.0003</x:v>
      </x:c>
      <x:c r="G27" s="19" t="n">
        <x:v>0.1</x:v>
      </x:c>
      <x:c r="H27" s="19" t="n">
        <x:v>0.00001</x:v>
      </x:c>
      <x:c r="I27" s="10" t="n">
        <x:v>0.6329606866757544</x:v>
      </x:c>
      <x:c r="J27" s="10" t="n">
        <x:v>0.6658907532691956</x:v>
      </x:c>
      <x:c r="K27" s="12" t="n">
        <x:v>28</x:v>
      </x:c>
      <x:c r="L27" s="22" t="n">
        <x:v>22.676987253129482</x:v>
      </x:c>
      <x:c r="M27" s="20" t="str">
        <x:v>No</x:v>
      </x:c>
    </x:row>
    <x:row r="28" ht="22" customHeight="1">
      <x:c r="A28" s="15" t="str">
        <x:f>"04224775"</x:f>
        <x:v>04224775</x:v>
      </x:c>
      <x:c r="B28" s="12" t="n">
        <x:v>4</x:v>
      </x:c>
      <x:c r="C28" s="12" t="n">
        <x:v>42</x:v>
      </x:c>
      <x:c r="D28" s="12" t="n">
        <x:v>256</x:v>
      </x:c>
      <x:c r="E28" s="12" t="n">
        <x:v>1</x:v>
      </x:c>
      <x:c r="F28" s="19" t="n">
        <x:v>0.0002675932844229047</x:v>
      </x:c>
      <x:c r="G28" s="19" t="n">
        <x:v>0</x:v>
      </x:c>
      <x:c r="H28" s="19" t="n">
        <x:v>0</x:v>
      </x:c>
      <x:c r="I28" s="10" t="n">
        <x:v>0.49925971180954765</x:v>
      </x:c>
      <x:c r="J28" s="10" t="n">
        <x:v>0.5724902749061584</x:v>
      </x:c>
      <x:c r="K28" s="12" t="n">
        <x:v>29</x:v>
      </x:c>
      <x:c r="L28" s="22" t="n">
        <x:v>26.996363336220384</x:v>
      </x:c>
      <x:c r="M28" s="20" t="str">
        <x:v>No</x:v>
      </x:c>
    </x:row>
    <x:row r="29" ht="22" customHeight="1">
      <x:c r="A29" s="15" t="str">
        <x:f>"05291000"</x:f>
        <x:v>05291000</x:v>
      </x:c>
      <x:c r="B29" s="12" t="n">
        <x:v>4</x:v>
      </x:c>
      <x:c r="C29" s="12" t="n">
        <x:v>42</x:v>
      </x:c>
      <x:c r="D29" s="12" t="n">
        <x:v>256</x:v>
      </x:c>
      <x:c r="E29" s="12" t="n">
        <x:v>1</x:v>
      </x:c>
      <x:c r="F29" s="19" t="n">
        <x:v>0.0002675932844229047</x:v>
      </x:c>
      <x:c r="G29" s="19" t="n">
        <x:v>0</x:v>
      </x:c>
      <x:c r="H29" s="19" t="n">
        <x:v>0</x:v>
      </x:c>
      <x:c r="I29" s="10" t="n">
        <x:v>0.7111695230977165</x:v>
      </x:c>
      <x:c r="J29" s="10" t="n">
        <x:v>0.30949804186820984</x:v>
      </x:c>
      <x:c r="K29" s="12" t="n">
        <x:v>28</x:v>
      </x:c>
      <x:c r="L29" s="22" t="n">
        <x:v>26.979312864132226</x:v>
      </x:c>
      <x:c r="M29" s="20" t="str">
        <x:v>No</x:v>
      </x:c>
    </x:row>
    <x:row r="30" ht="22" customHeight="1">
      <x:c r="A30" s="15" t="str">
        <x:f>"06278300"</x:f>
        <x:v>06278300</x:v>
      </x:c>
      <x:c r="B30" s="12" t="n">
        <x:v>4</x:v>
      </x:c>
      <x:c r="C30" s="12" t="n">
        <x:v>42</x:v>
      </x:c>
      <x:c r="D30" s="12" t="n">
        <x:v>256</x:v>
      </x:c>
      <x:c r="E30" s="12" t="n">
        <x:v>1</x:v>
      </x:c>
      <x:c r="F30" s="19" t="n">
        <x:v>0.0002675932844229047</x:v>
      </x:c>
      <x:c r="G30" s="19" t="n">
        <x:v>0</x:v>
      </x:c>
      <x:c r="H30" s="19" t="n">
        <x:v>0</x:v>
      </x:c>
      <x:c r="I30" s="10" t="n">
        <x:v>0.9492943627867271</x:v>
      </x:c>
      <x:c r="J30" s="10" t="n">
        <x:v>0.05314085632562637</x:v>
      </x:c>
      <x:c r="K30" s="12" t="n">
        <x:v>29</x:v>
      </x:c>
      <x:c r="L30" s="22" t="n">
        <x:v>26.94708539545536</x:v>
      </x:c>
      <x:c r="M30" s="20" t="str">
        <x:v>No</x:v>
      </x:c>
    </x:row>
    <x:row r="31" ht="22" customHeight="1">
      <x:c r="A31" s="15" t="str">
        <x:f>"07167500"</x:f>
        <x:v>07167500</x:v>
      </x:c>
      <x:c r="B31" s="12" t="n">
        <x:v>4</x:v>
      </x:c>
      <x:c r="C31" s="12" t="n">
        <x:v>42</x:v>
      </x:c>
      <x:c r="D31" s="12" t="n">
        <x:v>256</x:v>
      </x:c>
      <x:c r="E31" s="12" t="n">
        <x:v>1</x:v>
      </x:c>
      <x:c r="F31" s="19" t="n">
        <x:v>0.0002675932844229047</x:v>
      </x:c>
      <x:c r="G31" s="19" t="n">
        <x:v>0</x:v>
      </x:c>
      <x:c r="H31" s="19" t="n">
        <x:v>0</x:v>
      </x:c>
      <x:c r="I31" s="10" t="n">
        <x:v>0.13748637227644345</x:v>
      </x:c>
      <x:c r="J31" s="10" t="n">
        <x:v>2.597557306289673</x:v>
      </x:c>
      <x:c r="K31" s="12" t="n">
        <x:v>5</x:v>
      </x:c>
      <x:c r="L31" s="22" t="n">
        <x:v>26.99451065249741</x:v>
      </x:c>
      <x:c r="M31" s="20" t="str">
        <x:v>No</x:v>
      </x:c>
    </x:row>
    <x:row r="32" ht="22" customHeight="1">
      <x:c r="A32" s="15" t="str">
        <x:f>"11381500"</x:f>
        <x:v>11381500</x:v>
      </x:c>
      <x:c r="B32" s="12" t="n">
        <x:v>4</x:v>
      </x:c>
      <x:c r="C32" s="12" t="n">
        <x:v>42</x:v>
      </x:c>
      <x:c r="D32" s="12" t="n">
        <x:v>256</x:v>
      </x:c>
      <x:c r="E32" s="12" t="n">
        <x:v>1</x:v>
      </x:c>
      <x:c r="F32" s="19" t="n">
        <x:v>0.0002675932844229047</x:v>
      </x:c>
      <x:c r="G32" s="19" t="n">
        <x:v>0</x:v>
      </x:c>
      <x:c r="H32" s="19" t="n">
        <x:v>0</x:v>
      </x:c>
      <x:c r="I32" s="10" t="n">
        <x:v>0.5415255957949263</x:v>
      </x:c>
      <x:c r="J32" s="10" t="n">
        <x:v>0.3193736672401428</x:v>
      </x:c>
      <x:c r="K32" s="12" t="n">
        <x:v>8</x:v>
      </x:c>
      <x:c r="L32" s="22" t="n">
        <x:v>26.984489323571324</x:v>
      </x:c>
      <x:c r="M32" s="20" t="str">
        <x:v>No</x:v>
      </x:c>
    </x:row>
    <x:row r="33" ht="22" customHeight="1">
      <x:c r="A33" s="15" t="str">
        <x:f>"12092000"</x:f>
        <x:v>12092000</x:v>
      </x:c>
      <x:c r="B33" s="12" t="n">
        <x:v>4</x:v>
      </x:c>
      <x:c r="C33" s="12" t="n">
        <x:v>42</x:v>
      </x:c>
      <x:c r="D33" s="12" t="n">
        <x:v>256</x:v>
      </x:c>
      <x:c r="E33" s="12" t="n">
        <x:v>1</x:v>
      </x:c>
      <x:c r="F33" s="19" t="n">
        <x:v>0.0002675932844229047</x:v>
      </x:c>
      <x:c r="G33" s="19" t="n">
        <x:v>0</x:v>
      </x:c>
      <x:c r="H33" s="19" t="n">
        <x:v>0</x:v>
      </x:c>
      <x:c r="I33" s="10" t="n">
        <x:v>0.6224223888263143</x:v>
      </x:c>
      <x:c r="J33" s="10" t="n">
        <x:v>0.6850096583366394</x:v>
      </x:c>
      <x:c r="K33" s="12" t="n">
        <x:v>28</x:v>
      </x:c>
      <x:c r="L33" s="22" t="n">
        <x:v>26.878016648814082</x:v>
      </x:c>
      <x:c r="M33" s="20" t="str">
        <x:v>No</x:v>
      </x:c>
    </x:row>
    <x:row r="34" ht="22" customHeight="1">
      <x:c r="A34" s="15" t="str">
        <x:f>"04224775"</x:f>
        <x:v>04224775</x:v>
      </x:c>
      <x:c r="B34" s="12" t="n">
        <x:v>5</x:v>
      </x:c>
      <x:c r="C34" s="12" t="n">
        <x:v>42</x:v>
      </x:c>
      <x:c r="D34" s="12" t="n">
        <x:v>128</x:v>
      </x:c>
      <x:c r="E34" s="12" t="n">
        <x:v>2</x:v>
      </x:c>
      <x:c r="F34" s="19" t="n">
        <x:v>0.0003594379848462419</x:v>
      </x:c>
      <x:c r="G34" s="19" t="n">
        <x:v>0.1</x:v>
      </x:c>
      <x:c r="H34" s="19" t="n">
        <x:v>0</x:v>
      </x:c>
      <x:c r="I34" s="10" t="n">
        <x:v>0.5239431630345737</x:v>
      </x:c>
      <x:c r="J34" s="10" t="n">
        <x:v>0.5442699790000916</x:v>
      </x:c>
      <x:c r="K34" s="12" t="n">
        <x:v>23</x:v>
      </x:c>
      <x:c r="L34" s="22" t="n">
        <x:v>27.011376657523215</x:v>
      </x:c>
      <x:c r="M34" s="20" t="str">
        <x:v>No</x:v>
      </x:c>
    </x:row>
    <x:row r="35" ht="22" customHeight="1">
      <x:c r="A35" s="15" t="str">
        <x:f>"05291000"</x:f>
        <x:v>05291000</x:v>
      </x:c>
      <x:c r="B35" s="12" t="n">
        <x:v>5</x:v>
      </x:c>
      <x:c r="C35" s="12" t="n">
        <x:v>42</x:v>
      </x:c>
      <x:c r="D35" s="12" t="n">
        <x:v>128</x:v>
      </x:c>
      <x:c r="E35" s="12" t="n">
        <x:v>2</x:v>
      </x:c>
      <x:c r="F35" s="19" t="n">
        <x:v>0.0003594379848462419</x:v>
      </x:c>
      <x:c r="G35" s="19" t="n">
        <x:v>0.1</x:v>
      </x:c>
      <x:c r="H35" s="19" t="n">
        <x:v>0</x:v>
      </x:c>
      <x:c r="I35" s="10" t="n">
        <x:v>0.7345815674043045</x:v>
      </x:c>
      <x:c r="J35" s="10" t="n">
        <x:v>0.2844107151031494</x:v>
      </x:c>
      <x:c r="K35" s="12" t="n">
        <x:v>28</x:v>
      </x:c>
      <x:c r="L35" s="22" t="n">
        <x:v>27.010611165314913</x:v>
      </x:c>
      <x:c r="M35" s="20" t="str">
        <x:v>No</x:v>
      </x:c>
    </x:row>
    <x:row r="36" ht="22" customHeight="1">
      <x:c r="A36" s="15" t="str">
        <x:f>"06278300"</x:f>
        <x:v>06278300</x:v>
      </x:c>
      <x:c r="B36" s="12" t="n">
        <x:v>5</x:v>
      </x:c>
      <x:c r="C36" s="12" t="n">
        <x:v>42</x:v>
      </x:c>
      <x:c r="D36" s="12" t="n">
        <x:v>128</x:v>
      </x:c>
      <x:c r="E36" s="12" t="n">
        <x:v>2</x:v>
      </x:c>
      <x:c r="F36" s="19" t="n">
        <x:v>0.0003594379848462419</x:v>
      </x:c>
      <x:c r="G36" s="19" t="n">
        <x:v>0.1</x:v>
      </x:c>
      <x:c r="H36" s="19" t="n">
        <x:v>0</x:v>
      </x:c>
      <x:c r="I36" s="10" t="n">
        <x:v>0.9545121503200825</x:v>
      </x:c>
      <x:c r="J36" s="10" t="n">
        <x:v>0.04767248034477234</x:v>
      </x:c>
      <x:c r="K36" s="12" t="n">
        <x:v>23</x:v>
      </x:c>
      <x:c r="L36" s="22" t="n">
        <x:v>27.01337635796517</x:v>
      </x:c>
      <x:c r="M36" s="20" t="str">
        <x:v>No</x:v>
      </x:c>
    </x:row>
    <x:row r="37" ht="22" customHeight="1">
      <x:c r="A37" s="15" t="str">
        <x:f>"07167500"</x:f>
        <x:v>07167500</x:v>
      </x:c>
      <x:c r="B37" s="12" t="n">
        <x:v>5</x:v>
      </x:c>
      <x:c r="C37" s="12" t="n">
        <x:v>42</x:v>
      </x:c>
      <x:c r="D37" s="12" t="n">
        <x:v>128</x:v>
      </x:c>
      <x:c r="E37" s="12" t="n">
        <x:v>2</x:v>
      </x:c>
      <x:c r="F37" s="19" t="n">
        <x:v>0.0003594379848462419</x:v>
      </x:c>
      <x:c r="G37" s="19" t="n">
        <x:v>0.1</x:v>
      </x:c>
      <x:c r="H37" s="19" t="n">
        <x:v>0</x:v>
      </x:c>
      <x:c r="I37" s="10" t="n">
        <x:v>0.13866846114135056</x:v>
      </x:c>
      <x:c r="J37" s="10" t="n">
        <x:v>2.593997001647949</x:v>
      </x:c>
      <x:c r="K37" s="12" t="n">
        <x:v>7</x:v>
      </x:c>
      <x:c r="L37" s="22" t="n">
        <x:v>27.039796931669116</x:v>
      </x:c>
      <x:c r="M37" s="20" t="str">
        <x:v>No</x:v>
      </x:c>
    </x:row>
    <x:row r="38" ht="22" customHeight="1">
      <x:c r="A38" s="15" t="str">
        <x:f>"11381500"</x:f>
        <x:v>11381500</x:v>
      </x:c>
      <x:c r="B38" s="12" t="n">
        <x:v>5</x:v>
      </x:c>
      <x:c r="C38" s="12" t="n">
        <x:v>42</x:v>
      </x:c>
      <x:c r="D38" s="12" t="n">
        <x:v>128</x:v>
      </x:c>
      <x:c r="E38" s="12" t="n">
        <x:v>2</x:v>
      </x:c>
      <x:c r="F38" s="19" t="n">
        <x:v>0.0003594379848462419</x:v>
      </x:c>
      <x:c r="G38" s="19" t="n">
        <x:v>0.1</x:v>
      </x:c>
      <x:c r="H38" s="19" t="n">
        <x:v>0</x:v>
      </x:c>
      <x:c r="I38" s="10" t="n">
        <x:v>0.5466728853119258</x:v>
      </x:c>
      <x:c r="J38" s="10" t="n">
        <x:v>0.31578806042671204</x:v>
      </x:c>
      <x:c r="K38" s="12" t="n">
        <x:v>8</x:v>
      </x:c>
      <x:c r="L38" s="22" t="n">
        <x:v>27.015785548835993</x:v>
      </x:c>
      <x:c r="M38" s="20" t="str">
        <x:v>No</x:v>
      </x:c>
    </x:row>
    <x:row r="39" ht="22" customHeight="1">
      <x:c r="A39" s="15" t="str">
        <x:f>"12092000"</x:f>
        <x:v>12092000</x:v>
      </x:c>
      <x:c r="B39" s="12" t="n">
        <x:v>5</x:v>
      </x:c>
      <x:c r="C39" s="12" t="n">
        <x:v>42</x:v>
      </x:c>
      <x:c r="D39" s="12" t="n">
        <x:v>128</x:v>
      </x:c>
      <x:c r="E39" s="12" t="n">
        <x:v>2</x:v>
      </x:c>
      <x:c r="F39" s="19" t="n">
        <x:v>0.0003594379848462419</x:v>
      </x:c>
      <x:c r="G39" s="19" t="n">
        <x:v>0.1</x:v>
      </x:c>
      <x:c r="H39" s="19" t="n">
        <x:v>0</x:v>
      </x:c>
      <x:c r="I39" s="10" t="n">
        <x:v>0.637275697311614</x:v>
      </x:c>
      <x:c r="J39" s="10" t="n">
        <x:v>0.6580623388290405</x:v>
      </x:c>
      <x:c r="K39" s="12" t="n">
        <x:v>28</x:v>
      </x:c>
      <x:c r="L39" s="22" t="n">
        <x:v>26.93288110010326</x:v>
      </x:c>
      <x:c r="M39" s="20" t="str">
        <x:v>No</x:v>
      </x:c>
    </x:row>
    <x:row r="40" ht="22" customHeight="1">
      <x:c r="A40" s="15" t="str">
        <x:f>"04224775"</x:f>
        <x:v>04224775</x:v>
      </x:c>
      <x:c r="B40" s="12" t="n">
        <x:v>6</x:v>
      </x:c>
      <x:c r="C40" s="12" t="n">
        <x:v>42</x:v>
      </x:c>
      <x:c r="D40" s="12" t="n">
        <x:v>32</x:v>
      </x:c>
      <x:c r="E40" s="12" t="n">
        <x:v>1</x:v>
      </x:c>
      <x:c r="F40" s="19" t="n">
        <x:v>0.00047781004458641107</x:v>
      </x:c>
      <x:c r="G40" s="19" t="n">
        <x:v>0</x:v>
      </x:c>
      <x:c r="H40" s="19" t="n">
        <x:v>0</x:v>
      </x:c>
      <x:c r="I40" s="10" t="n">
        <x:v>0.5027495237320143</x:v>
      </x:c>
      <x:c r="J40" s="10" t="n">
        <x:v>0.5685003995895386</x:v>
      </x:c>
      <x:c r="K40" s="12" t="n">
        <x:v>29</x:v>
      </x:c>
      <x:c r="L40" s="22" t="n">
        <x:v>17.168411266058683</x:v>
      </x:c>
      <x:c r="M40" s="20" t="str">
        <x:v>No</x:v>
      </x:c>
    </x:row>
    <x:row r="41" ht="22" customHeight="1">
      <x:c r="A41" s="15" t="str">
        <x:f>"05291000"</x:f>
        <x:v>05291000</x:v>
      </x:c>
      <x:c r="B41" s="12" t="n">
        <x:v>6</x:v>
      </x:c>
      <x:c r="C41" s="12" t="n">
        <x:v>42</x:v>
      </x:c>
      <x:c r="D41" s="12" t="n">
        <x:v>32</x:v>
      </x:c>
      <x:c r="E41" s="12" t="n">
        <x:v>1</x:v>
      </x:c>
      <x:c r="F41" s="19" t="n">
        <x:v>0.00047781004458641107</x:v>
      </x:c>
      <x:c r="G41" s="19" t="n">
        <x:v>0</x:v>
      </x:c>
      <x:c r="H41" s="19" t="n">
        <x:v>0</x:v>
      </x:c>
      <x:c r="I41" s="10" t="n">
        <x:v>0.6967074128760045</x:v>
      </x:c>
      <x:c r="J41" s="10" t="n">
        <x:v>0.3249949812889099</x:v>
      </x:c>
      <x:c r="K41" s="12" t="n">
        <x:v>30</x:v>
      </x:c>
      <x:c r="L41" s="22" t="n">
        <x:v>17.30292711313814</x:v>
      </x:c>
      <x:c r="M41" s="20" t="str">
        <x:v>No</x:v>
      </x:c>
    </x:row>
    <x:row r="42" ht="22" customHeight="1">
      <x:c r="A42" s="15" t="str">
        <x:f>"06278300"</x:f>
        <x:v>06278300</x:v>
      </x:c>
      <x:c r="B42" s="12" t="n">
        <x:v>6</x:v>
      </x:c>
      <x:c r="C42" s="12" t="n">
        <x:v>42</x:v>
      </x:c>
      <x:c r="D42" s="12" t="n">
        <x:v>32</x:v>
      </x:c>
      <x:c r="E42" s="12" t="n">
        <x:v>1</x:v>
      </x:c>
      <x:c r="F42" s="19" t="n">
        <x:v>0.00047781004458641107</x:v>
      </x:c>
      <x:c r="G42" s="19" t="n">
        <x:v>0</x:v>
      </x:c>
      <x:c r="H42" s="19" t="n">
        <x:v>0</x:v>
      </x:c>
      <x:c r="I42" s="10" t="n">
        <x:v>0.9550419932394727</x:v>
      </x:c>
      <x:c r="J42" s="10" t="n">
        <x:v>0.047117192298173904</x:v>
      </x:c>
      <x:c r="K42" s="12" t="n">
        <x:v>30</x:v>
      </x:c>
      <x:c r="L42" s="22" t="n">
        <x:v>17.459039059467614</x:v>
      </x:c>
      <x:c r="M42" s="20" t="str">
        <x:v>No</x:v>
      </x:c>
    </x:row>
    <x:row r="43" ht="22" customHeight="1">
      <x:c r="A43" s="15" t="str">
        <x:f>"07167500"</x:f>
        <x:v>07167500</x:v>
      </x:c>
      <x:c r="B43" s="12" t="n">
        <x:v>6</x:v>
      </x:c>
      <x:c r="C43" s="12" t="n">
        <x:v>42</x:v>
      </x:c>
      <x:c r="D43" s="12" t="n">
        <x:v>32</x:v>
      </x:c>
      <x:c r="E43" s="12" t="n">
        <x:v>1</x:v>
      </x:c>
      <x:c r="F43" s="19" t="n">
        <x:v>0.00047781004458641107</x:v>
      </x:c>
      <x:c r="G43" s="19" t="n">
        <x:v>0</x:v>
      </x:c>
      <x:c r="H43" s="19" t="n">
        <x:v>0</x:v>
      </x:c>
      <x:c r="I43" s="10" t="n">
        <x:v>0.1423186562087475</x:v>
      </x:c>
      <x:c r="J43" s="10" t="n">
        <x:v>2.5830039978027344</x:v>
      </x:c>
      <x:c r="K43" s="12" t="n">
        <x:v>24</x:v>
      </x:c>
      <x:c r="L43" s="22" t="n">
        <x:v>18.225200541317463</x:v>
      </x:c>
      <x:c r="M43" s="20" t="str">
        <x:v>No</x:v>
      </x:c>
    </x:row>
    <x:row r="44" ht="22" customHeight="1">
      <x:c r="A44" s="15" t="str">
        <x:f>"11381500"</x:f>
        <x:v>11381500</x:v>
      </x:c>
      <x:c r="B44" s="12" t="n">
        <x:v>6</x:v>
      </x:c>
      <x:c r="C44" s="12" t="n">
        <x:v>42</x:v>
      </x:c>
      <x:c r="D44" s="12" t="n">
        <x:v>32</x:v>
      </x:c>
      <x:c r="E44" s="12" t="n">
        <x:v>1</x:v>
      </x:c>
      <x:c r="F44" s="19" t="n">
        <x:v>0.00047781004458641107</x:v>
      </x:c>
      <x:c r="G44" s="19" t="n">
        <x:v>0</x:v>
      </x:c>
      <x:c r="H44" s="19" t="n">
        <x:v>0</x:v>
      </x:c>
      <x:c r="I44" s="10" t="n">
        <x:v>0.5595415017698351</x:v>
      </x:c>
      <x:c r="J44" s="10" t="n">
        <x:v>0.3068237602710724</x:v>
      </x:c>
      <x:c r="K44" s="12" t="n">
        <x:v>25</x:v>
      </x:c>
      <x:c r="L44" s="22" t="n">
        <x:v>18.3487802548334</x:v>
      </x:c>
      <x:c r="M44" s="20" t="str">
        <x:v>No</x:v>
      </x:c>
    </x:row>
    <x:row r="45" ht="22" customHeight="1">
      <x:c r="A45" s="15" t="str">
        <x:f>"12092000"</x:f>
        <x:v>12092000</x:v>
      </x:c>
      <x:c r="B45" s="12" t="n">
        <x:v>6</x:v>
      </x:c>
      <x:c r="C45" s="12" t="n">
        <x:v>42</x:v>
      </x:c>
      <x:c r="D45" s="12" t="n">
        <x:v>32</x:v>
      </x:c>
      <x:c r="E45" s="12" t="n">
        <x:v>1</x:v>
      </x:c>
      <x:c r="F45" s="19" t="n">
        <x:v>0.00047781004458641107</x:v>
      </x:c>
      <x:c r="G45" s="19" t="n">
        <x:v>0</x:v>
      </x:c>
      <x:c r="H45" s="19" t="n">
        <x:v>0</x:v>
      </x:c>
      <x:c r="I45" s="10" t="n">
        <x:v>0.6004335544487898</x:v>
      </x:c>
      <x:c r="J45" s="10" t="n">
        <x:v>0.7249022126197815</x:v>
      </x:c>
      <x:c r="K45" s="12" t="n">
        <x:v>28</x:v>
      </x:c>
      <x:c r="L45" s="22" t="n">
        <x:v>17.99996288213879</x:v>
      </x:c>
      <x:c r="M45" s="20" t="str">
        <x:v>No</x:v>
      </x:c>
    </x:row>
    <x:row r="46" ht="22" customHeight="1">
      <x:c r="A46" s="15" t="str">
        <x:f>"04224775"</x:f>
        <x:v>04224775</x:v>
      </x:c>
      <x:c r="B46" s="12" t="n">
        <x:v>7</x:v>
      </x:c>
      <x:c r="C46" s="12" t="n">
        <x:v>42</x:v>
      </x:c>
      <x:c r="D46" s="12" t="n">
        <x:v>128</x:v>
      </x:c>
      <x:c r="E46" s="12" t="n">
        <x:v>2</x:v>
      </x:c>
      <x:c r="F46" s="19" t="n">
        <x:v>0.00014435467457131842</x:v>
      </x:c>
      <x:c r="G46" s="19" t="n">
        <x:v>0</x:v>
      </x:c>
      <x:c r="H46" s="19" t="n">
        <x:v>0.00001</x:v>
      </x:c>
      <x:c r="I46" s="10" t="n">
        <x:v>0.5073610078444426</x:v>
      </x:c>
      <x:c r="J46" s="10" t="n">
        <x:v>0.5632281303405762</x:v>
      </x:c>
      <x:c r="K46" s="12" t="n">
        <x:v>29</x:v>
      </x:c>
      <x:c r="L46" s="22" t="n">
        <x:v>20.27861399296671</x:v>
      </x:c>
      <x:c r="M46" s="20" t="str">
        <x:v>No</x:v>
      </x:c>
    </x:row>
    <x:row r="47" ht="22" customHeight="1">
      <x:c r="A47" s="15" t="str">
        <x:f>"05291000"</x:f>
        <x:v>05291000</x:v>
      </x:c>
      <x:c r="B47" s="12" t="n">
        <x:v>7</x:v>
      </x:c>
      <x:c r="C47" s="12" t="n">
        <x:v>42</x:v>
      </x:c>
      <x:c r="D47" s="12" t="n">
        <x:v>128</x:v>
      </x:c>
      <x:c r="E47" s="12" t="n">
        <x:v>2</x:v>
      </x:c>
      <x:c r="F47" s="19" t="n">
        <x:v>0.00014435467457131842</x:v>
      </x:c>
      <x:c r="G47" s="19" t="n">
        <x:v>0</x:v>
      </x:c>
      <x:c r="H47" s="19" t="n">
        <x:v>0.00001</x:v>
      </x:c>
      <x:c r="I47" s="10" t="n">
        <x:v>0.7154884992483868</x:v>
      </x:c>
      <x:c r="J47" s="10" t="n">
        <x:v>0.30487000942230225</x:v>
      </x:c>
      <x:c r="K47" s="12" t="n">
        <x:v>29</x:v>
      </x:c>
      <x:c r="L47" s="22" t="n">
        <x:v>20.522451526485384</x:v>
      </x:c>
      <x:c r="M47" s="20" t="str">
        <x:v>No</x:v>
      </x:c>
    </x:row>
    <x:row r="48" ht="22" customHeight="1">
      <x:c r="A48" s="15" t="str">
        <x:f>"06278300"</x:f>
        <x:v>06278300</x:v>
      </x:c>
      <x:c r="B48" s="12" t="n">
        <x:v>7</x:v>
      </x:c>
      <x:c r="C48" s="12" t="n">
        <x:v>42</x:v>
      </x:c>
      <x:c r="D48" s="12" t="n">
        <x:v>128</x:v>
      </x:c>
      <x:c r="E48" s="12" t="n">
        <x:v>2</x:v>
      </x:c>
      <x:c r="F48" s="19" t="n">
        <x:v>0.00014435467457131842</x:v>
      </x:c>
      <x:c r="G48" s="19" t="n">
        <x:v>0</x:v>
      </x:c>
      <x:c r="H48" s="19" t="n">
        <x:v>0.00001</x:v>
      </x:c>
      <x:c r="I48" s="10" t="n">
        <x:v>0.9522217248818107</x:v>
      </x:c>
      <x:c r="J48" s="10" t="n">
        <x:v>0.05007290840148926</x:v>
      </x:c>
      <x:c r="K48" s="12" t="n">
        <x:v>27</x:v>
      </x:c>
      <x:c r="L48" s="22" t="n">
        <x:v>20.69420926272869</x:v>
      </x:c>
      <x:c r="M48" s="20" t="str">
        <x:v>No</x:v>
      </x:c>
    </x:row>
    <x:row r="49" ht="22" customHeight="1">
      <x:c r="A49" s="15" t="str">
        <x:f>"07167500"</x:f>
        <x:v>07167500</x:v>
      </x:c>
      <x:c r="B49" s="12" t="n">
        <x:v>7</x:v>
      </x:c>
      <x:c r="C49" s="12" t="n">
        <x:v>42</x:v>
      </x:c>
      <x:c r="D49" s="12" t="n">
        <x:v>128</x:v>
      </x:c>
      <x:c r="E49" s="12" t="n">
        <x:v>2</x:v>
      </x:c>
      <x:c r="F49" s="19" t="n">
        <x:v>0.00014435467457131842</x:v>
      </x:c>
      <x:c r="G49" s="19" t="n">
        <x:v>0</x:v>
      </x:c>
      <x:c r="H49" s="19" t="n">
        <x:v>0.00001</x:v>
      </x:c>
      <x:c r="I49" s="10" t="n">
        <x:v>0.14020121972754485</x:v>
      </x:c>
      <x:c r="J49" s="10" t="n">
        <x:v>2.5893805027008057</x:v>
      </x:c>
      <x:c r="K49" s="12" t="n">
        <x:v>18</x:v>
      </x:c>
      <x:c r="L49" s="22" t="n">
        <x:v>20.487975821830332</x:v>
      </x:c>
      <x:c r="M49" s="20" t="str">
        <x:v>No</x:v>
      </x:c>
    </x:row>
    <x:row r="50" ht="22" customHeight="1">
      <x:c r="A50" s="15" t="str">
        <x:f>"11381500"</x:f>
        <x:v>11381500</x:v>
      </x:c>
      <x:c r="B50" s="12" t="n">
        <x:v>7</x:v>
      </x:c>
      <x:c r="C50" s="12" t="n">
        <x:v>42</x:v>
      </x:c>
      <x:c r="D50" s="12" t="n">
        <x:v>128</x:v>
      </x:c>
      <x:c r="E50" s="12" t="n">
        <x:v>2</x:v>
      </x:c>
      <x:c r="F50" s="19" t="n">
        <x:v>0.00014435467457131842</x:v>
      </x:c>
      <x:c r="G50" s="19" t="n">
        <x:v>0</x:v>
      </x:c>
      <x:c r="H50" s="19" t="n">
        <x:v>0.00001</x:v>
      </x:c>
      <x:c r="I50" s="10" t="n">
        <x:v>0.5431663825853588</x:v>
      </x:c>
      <x:c r="J50" s="10" t="n">
        <x:v>0.3182307183742523</x:v>
      </x:c>
      <x:c r="K50" s="12" t="n">
        <x:v>11</x:v>
      </x:c>
      <x:c r="L50" s="22" t="n">
        <x:v>20.467701775953174</x:v>
      </x:c>
      <x:c r="M50" s="20" t="str">
        <x:v>No</x:v>
      </x:c>
    </x:row>
    <x:row r="51" ht="22" customHeight="1">
      <x:c r="A51" s="15" t="str">
        <x:f>"12092000"</x:f>
        <x:v>12092000</x:v>
      </x:c>
      <x:c r="B51" s="12" t="n">
        <x:v>7</x:v>
      </x:c>
      <x:c r="C51" s="12" t="n">
        <x:v>42</x:v>
      </x:c>
      <x:c r="D51" s="12" t="n">
        <x:v>128</x:v>
      </x:c>
      <x:c r="E51" s="12" t="n">
        <x:v>2</x:v>
      </x:c>
      <x:c r="F51" s="19" t="n">
        <x:v>0.00014435467457131842</x:v>
      </x:c>
      <x:c r="G51" s="19" t="n">
        <x:v>0</x:v>
      </x:c>
      <x:c r="H51" s="19" t="n">
        <x:v>0.00001</x:v>
      </x:c>
      <x:c r="I51" s="10" t="n">
        <x:v>0.61024006765659</x:v>
      </x:c>
      <x:c r="J51" s="10" t="n">
        <x:v>0.7071110606193542</x:v>
      </x:c>
      <x:c r="K51" s="12" t="n">
        <x:v>23</x:v>
      </x:c>
      <x:c r="L51" s="22" t="n">
        <x:v>20.829564368352294</x:v>
      </x:c>
      <x:c r="M51" s="20" t="str">
        <x:v>No</x:v>
      </x:c>
    </x:row>
    <x:row r="52" ht="22" customHeight="1">
      <x:c r="A52" s="15" t="str">
        <x:f>"04224775"</x:f>
        <x:v>04224775</x:v>
      </x:c>
      <x:c r="B52" s="12" t="n">
        <x:v>8</x:v>
      </x:c>
      <x:c r="C52" s="12" t="n">
        <x:v>42</x:v>
      </x:c>
      <x:c r="D52" s="12" t="n">
        <x:v>64</x:v>
      </x:c>
      <x:c r="E52" s="12" t="n">
        <x:v>2</x:v>
      </x:c>
      <x:c r="F52" s="19" t="n">
        <x:v>0.0021999881842521022</x:v>
      </x:c>
      <x:c r="G52" s="19" t="n">
        <x:v>0.3</x:v>
      </x:c>
      <x:c r="H52" s="19" t="n">
        <x:v>0.0001</x:v>
      </x:c>
      <x:c r="I52" s="10" t="n">
        <x:v>0.5357823361647974</x:v>
      </x:c>
      <x:c r="J52" s="10" t="n">
        <x:v>0.5307343602180481</x:v>
      </x:c>
      <x:c r="K52" s="12" t="n">
        <x:v>13</x:v>
      </x:c>
      <x:c r="L52" s="22" t="n">
        <x:v>20.64758234284818</x:v>
      </x:c>
      <x:c r="M52" s="20" t="str">
        <x:v>No</x:v>
      </x:c>
    </x:row>
    <x:row r="53" ht="22" customHeight="1">
      <x:c r="A53" s="15" t="str">
        <x:f>"05291000"</x:f>
        <x:v>05291000</x:v>
      </x:c>
      <x:c r="B53" s="12" t="n">
        <x:v>8</x:v>
      </x:c>
      <x:c r="C53" s="12" t="n">
        <x:v>42</x:v>
      </x:c>
      <x:c r="D53" s="12" t="n">
        <x:v>64</x:v>
      </x:c>
      <x:c r="E53" s="12" t="n">
        <x:v>2</x:v>
      </x:c>
      <x:c r="F53" s="19" t="n">
        <x:v>0.0021999881842521022</x:v>
      </x:c>
      <x:c r="G53" s="19" t="n">
        <x:v>0.3</x:v>
      </x:c>
      <x:c r="H53" s="19" t="n">
        <x:v>0.0001</x:v>
      </x:c>
      <x:c r="I53" s="10" t="n">
        <x:v>0.7735771411457185</x:v>
      </x:c>
      <x:c r="J53" s="10" t="n">
        <x:v>0.24262477457523346</x:v>
      </x:c>
      <x:c r="K53" s="12" t="n">
        <x:v>30</x:v>
      </x:c>
      <x:c r="L53" s="22" t="n">
        <x:v>20.194607679732144</x:v>
      </x:c>
      <x:c r="M53" s="20" t="str">
        <x:v>No</x:v>
      </x:c>
    </x:row>
    <x:row r="54" ht="22" customHeight="1">
      <x:c r="A54" s="15" t="str">
        <x:f>"06278300"</x:f>
        <x:v>06278300</x:v>
      </x:c>
      <x:c r="B54" s="12" t="n">
        <x:v>8</x:v>
      </x:c>
      <x:c r="C54" s="12" t="n">
        <x:v>42</x:v>
      </x:c>
      <x:c r="D54" s="12" t="n">
        <x:v>64</x:v>
      </x:c>
      <x:c r="E54" s="12" t="n">
        <x:v>2</x:v>
      </x:c>
      <x:c r="F54" s="19" t="n">
        <x:v>0.0021999881842521022</x:v>
      </x:c>
      <x:c r="G54" s="19" t="n">
        <x:v>0.3</x:v>
      </x:c>
      <x:c r="H54" s="19" t="n">
        <x:v>0.0001</x:v>
      </x:c>
      <x:c r="I54" s="10" t="n">
        <x:v>0.9557719781147221</x:v>
      </x:c>
      <x:c r="J54" s="10" t="n">
        <x:v>0.046352144330739975</x:v>
      </x:c>
      <x:c r="K54" s="12" t="n">
        <x:v>29</x:v>
      </x:c>
      <x:c r="L54" s="22" t="n">
        <x:v>20.43589074909687</x:v>
      </x:c>
      <x:c r="M54" s="20" t="str">
        <x:v>No</x:v>
      </x:c>
    </x:row>
    <x:row r="55" ht="22" customHeight="1">
      <x:c r="A55" s="15" t="str">
        <x:f>"07167500"</x:f>
        <x:v>07167500</x:v>
      </x:c>
      <x:c r="B55" s="12" t="n">
        <x:v>8</x:v>
      </x:c>
      <x:c r="C55" s="12" t="n">
        <x:v>42</x:v>
      </x:c>
      <x:c r="D55" s="12" t="n">
        <x:v>64</x:v>
      </x:c>
      <x:c r="E55" s="12" t="n">
        <x:v>2</x:v>
      </x:c>
      <x:c r="F55" s="19" t="n">
        <x:v>0.0021999881842521022</x:v>
      </x:c>
      <x:c r="G55" s="19" t="n">
        <x:v>0.3</x:v>
      </x:c>
      <x:c r="H55" s="19" t="n">
        <x:v>0.0001</x:v>
      </x:c>
      <x:c r="I55" s="10" t="n">
        <x:v>0.14020659581932715</x:v>
      </x:c>
      <x:c r="J55" s="10" t="n">
        <x:v>2.589364528656006</x:v>
      </x:c>
      <x:c r="K55" s="12" t="n">
        <x:v>5</x:v>
      </x:c>
      <x:c r="L55" s="22" t="n">
        <x:v>20.71384005434811</x:v>
      </x:c>
      <x:c r="M55" s="20" t="str">
        <x:v>No</x:v>
      </x:c>
    </x:row>
    <x:row r="56" ht="22" customHeight="1">
      <x:c r="A56" s="15" t="str">
        <x:f>"11381500"</x:f>
        <x:v>11381500</x:v>
      </x:c>
      <x:c r="B56" s="12" t="n">
        <x:v>8</x:v>
      </x:c>
      <x:c r="C56" s="12" t="n">
        <x:v>42</x:v>
      </x:c>
      <x:c r="D56" s="12" t="n">
        <x:v>64</x:v>
      </x:c>
      <x:c r="E56" s="12" t="n">
        <x:v>2</x:v>
      </x:c>
      <x:c r="F56" s="19" t="n">
        <x:v>0.0021999881842521022</x:v>
      </x:c>
      <x:c r="G56" s="19" t="n">
        <x:v>0.3</x:v>
      </x:c>
      <x:c r="H56" s="19" t="n">
        <x:v>0.0001</x:v>
      </x:c>
      <x:c r="I56" s="10" t="n">
        <x:v>0.5514927800587799</x:v>
      </x:c>
      <x:c r="J56" s="10" t="n">
        <x:v>0.3124305307865143</x:v>
      </x:c>
      <x:c r="K56" s="12" t="n">
        <x:v>8</x:v>
      </x:c>
      <x:c r="L56" s="22" t="n">
        <x:v>18.764279044233263</x:v>
      </x:c>
      <x:c r="M56" s="20" t="str">
        <x:v>No</x:v>
      </x:c>
    </x:row>
    <x:row r="57" ht="22" customHeight="1">
      <x:c r="A57" s="15" t="str">
        <x:f>"12092000"</x:f>
        <x:v>12092000</x:v>
      </x:c>
      <x:c r="B57" s="12" t="n">
        <x:v>8</x:v>
      </x:c>
      <x:c r="C57" s="12" t="n">
        <x:v>42</x:v>
      </x:c>
      <x:c r="D57" s="12" t="n">
        <x:v>64</x:v>
      </x:c>
      <x:c r="E57" s="12" t="n">
        <x:v>2</x:v>
      </x:c>
      <x:c r="F57" s="19" t="n">
        <x:v>0.0021999881842521022</x:v>
      </x:c>
      <x:c r="G57" s="19" t="n">
        <x:v>0.3</x:v>
      </x:c>
      <x:c r="H57" s="19" t="n">
        <x:v>0.0001</x:v>
      </x:c>
      <x:c r="I57" s="10" t="n">
        <x:v>0.6739779805777784</x:v>
      </x:c>
      <x:c r="J57" s="10" t="n">
        <x:v>0.5914762616157532</x:v>
      </x:c>
      <x:c r="K57" s="12" t="n">
        <x:v>16</x:v>
      </x:c>
      <x:c r="L57" s="22" t="n">
        <x:v>20.248222585767508</x:v>
      </x:c>
      <x:c r="M57" s="20" t="str">
        <x:v>No</x:v>
      </x:c>
    </x:row>
    <x:row r="58" ht="22" customHeight="1">
      <x:c r="A58" s="15" t="str">
        <x:f>"04224775"</x:f>
        <x:v>04224775</x:v>
      </x:c>
      <x:c r="B58" s="12" t="n">
        <x:v>9</x:v>
      </x:c>
      <x:c r="C58" s="12" t="n">
        <x:v>42</x:v>
      </x:c>
      <x:c r="D58" s="12" t="n">
        <x:v>64</x:v>
      </x:c>
      <x:c r="E58" s="12" t="n">
        <x:v>2</x:v>
      </x:c>
      <x:c r="F58" s="19" t="n">
        <x:v>0.0021616677836866337</x:v>
      </x:c>
      <x:c r="G58" s="19" t="n">
        <x:v>0.3</x:v>
      </x:c>
      <x:c r="H58" s="19" t="n">
        <x:v>0.0001</x:v>
      </x:c>
      <x:c r="I58" s="10" t="n">
        <x:v>0.535881902807261</x:v>
      </x:c>
      <x:c r="J58" s="10" t="n">
        <x:v>0.5306205749511719</x:v>
      </x:c>
      <x:c r="K58" s="12" t="n">
        <x:v>13</x:v>
      </x:c>
      <x:c r="L58" s="22" t="n">
        <x:v>20.566076159477234</x:v>
      </x:c>
      <x:c r="M58" s="20" t="str">
        <x:v>No</x:v>
      </x:c>
    </x:row>
    <x:row r="59" ht="22" customHeight="1">
      <x:c r="A59" s="15" t="str">
        <x:f>"05291000"</x:f>
        <x:v>05291000</x:v>
      </x:c>
      <x:c r="B59" s="12" t="n">
        <x:v>9</x:v>
      </x:c>
      <x:c r="C59" s="12" t="n">
        <x:v>42</x:v>
      </x:c>
      <x:c r="D59" s="12" t="n">
        <x:v>64</x:v>
      </x:c>
      <x:c r="E59" s="12" t="n">
        <x:v>2</x:v>
      </x:c>
      <x:c r="F59" s="19" t="n">
        <x:v>0.0021616677836866337</x:v>
      </x:c>
      <x:c r="G59" s="19" t="n">
        <x:v>0.3</x:v>
      </x:c>
      <x:c r="H59" s="19" t="n">
        <x:v>0.0001</x:v>
      </x:c>
      <x:c r="I59" s="10" t="n">
        <x:v>0.761427472182264</x:v>
      </x:c>
      <x:c r="J59" s="10" t="n">
        <x:v>0.2556438148021698</x:v>
      </x:c>
      <x:c r="K59" s="12" t="n">
        <x:v>25</x:v>
      </x:c>
      <x:c r="L59" s="22" t="n">
        <x:v>20.37388119008392</x:v>
      </x:c>
      <x:c r="M59" s="20" t="str">
        <x:v>No</x:v>
      </x:c>
    </x:row>
    <x:row r="60" ht="22" customHeight="1">
      <x:c r="A60" s="15" t="str">
        <x:f>"06278300"</x:f>
        <x:v>06278300</x:v>
      </x:c>
      <x:c r="B60" s="12" t="n">
        <x:v>9</x:v>
      </x:c>
      <x:c r="C60" s="12" t="n">
        <x:v>42</x:v>
      </x:c>
      <x:c r="D60" s="12" t="n">
        <x:v>64</x:v>
      </x:c>
      <x:c r="E60" s="12" t="n">
        <x:v>2</x:v>
      </x:c>
      <x:c r="F60" s="19" t="n">
        <x:v>0.0021616677836866337</x:v>
      </x:c>
      <x:c r="G60" s="19" t="n">
        <x:v>0.3</x:v>
      </x:c>
      <x:c r="H60" s="19" t="n">
        <x:v>0.0001</x:v>
      </x:c>
      <x:c r="I60" s="10" t="n">
        <x:v>0.95727933478937</x:v>
      </x:c>
      <x:c r="J60" s="10" t="n">
        <x:v>0.044772397726774216</x:v>
      </x:c>
      <x:c r="K60" s="12" t="n">
        <x:v>29</x:v>
      </x:c>
      <x:c r="L60" s="22" t="n">
        <x:v>20.194049917161465</x:v>
      </x:c>
      <x:c r="M60" s="20" t="str">
        <x:v>No</x:v>
      </x:c>
    </x:row>
    <x:row r="61" ht="22" customHeight="1">
      <x:c r="A61" s="15" t="str">
        <x:f>"07167500"</x:f>
        <x:v>07167500</x:v>
      </x:c>
      <x:c r="B61" s="12" t="n">
        <x:v>9</x:v>
      </x:c>
      <x:c r="C61" s="12" t="n">
        <x:v>42</x:v>
      </x:c>
      <x:c r="D61" s="12" t="n">
        <x:v>64</x:v>
      </x:c>
      <x:c r="E61" s="12" t="n">
        <x:v>2</x:v>
      </x:c>
      <x:c r="F61" s="19" t="n">
        <x:v>0.0021616677836866337</x:v>
      </x:c>
      <x:c r="G61" s="19" t="n">
        <x:v>0.3</x:v>
      </x:c>
      <x:c r="H61" s="19" t="n">
        <x:v>0.0001</x:v>
      </x:c>
      <x:c r="I61" s="10" t="n">
        <x:v>0.14010962842476016</x:v>
      </x:c>
      <x:c r="J61" s="10" t="n">
        <x:v>2.5896565914154053</x:v>
      </x:c>
      <x:c r="K61" s="12" t="n">
        <x:v>5</x:v>
      </x:c>
      <x:c r="L61" s="22" t="n">
        <x:v>20.448878971859813</x:v>
      </x:c>
      <x:c r="M61" s="20" t="str">
        <x:v>No</x:v>
      </x:c>
    </x:row>
    <x:row r="62" ht="22" customHeight="1">
      <x:c r="A62" s="15" t="str">
        <x:f>"11381500"</x:f>
        <x:v>11381500</x:v>
      </x:c>
      <x:c r="B62" s="12" t="n">
        <x:v>9</x:v>
      </x:c>
      <x:c r="C62" s="12" t="n">
        <x:v>42</x:v>
      </x:c>
      <x:c r="D62" s="12" t="n">
        <x:v>64</x:v>
      </x:c>
      <x:c r="E62" s="12" t="n">
        <x:v>2</x:v>
      </x:c>
      <x:c r="F62" s="19" t="n">
        <x:v>0.0021616677836866337</x:v>
      </x:c>
      <x:c r="G62" s="19" t="n">
        <x:v>0.3</x:v>
      </x:c>
      <x:c r="H62" s="19" t="n">
        <x:v>0.0001</x:v>
      </x:c>
      <x:c r="I62" s="10" t="n">
        <x:v>0.5517037409044929</x:v>
      </x:c>
      <x:c r="J62" s="10" t="n">
        <x:v>0.31228357553482056</x:v>
      </x:c>
      <x:c r="K62" s="12" t="n">
        <x:v>8</x:v>
      </x:c>
      <x:c r="L62" s="22" t="n">
        <x:v>19.49673187918961</x:v>
      </x:c>
      <x:c r="M62" s="20" t="str">
        <x:v>No</x:v>
      </x:c>
    </x:row>
    <x:row r="63" ht="22" customHeight="1">
      <x:c r="A63" s="15" t="str">
        <x:f>"12092000"</x:f>
        <x:v>12092000</x:v>
      </x:c>
      <x:c r="B63" s="12" t="n">
        <x:v>9</x:v>
      </x:c>
      <x:c r="C63" s="12" t="n">
        <x:v>42</x:v>
      </x:c>
      <x:c r="D63" s="12" t="n">
        <x:v>64</x:v>
      </x:c>
      <x:c r="E63" s="12" t="n">
        <x:v>2</x:v>
      </x:c>
      <x:c r="F63" s="19" t="n">
        <x:v>0.0021616677836866337</x:v>
      </x:c>
      <x:c r="G63" s="19" t="n">
        <x:v>0.3</x:v>
      </x:c>
      <x:c r="H63" s="19" t="n">
        <x:v>0.0001</x:v>
      </x:c>
      <x:c r="I63" s="10" t="n">
        <x:v>0.6730827219837471</x:v>
      </x:c>
      <x:c r="J63" s="10" t="n">
        <x:v>0.5931004881858826</x:v>
      </x:c>
      <x:c r="K63" s="12" t="n">
        <x:v>16</x:v>
      </x:c>
      <x:c r="L63" s="22" t="n">
        <x:v>20.25288010109216</x:v>
      </x:c>
      <x:c r="M63" s="20" t="str">
        <x:v>No</x:v>
      </x:c>
    </x:row>
    <x:row r="64" ht="22" customHeight="1">
      <x:c r="A64" s="15" t="str">
        <x:f>"04224775"</x:f>
        <x:v>04224775</x:v>
      </x:c>
      <x:c r="B64" s="12" t="n">
        <x:v>10</x:v>
      </x:c>
      <x:c r="C64" s="12" t="n">
        <x:v>42</x:v>
      </x:c>
      <x:c r="D64" s="12" t="n">
        <x:v>32</x:v>
      </x:c>
      <x:c r="E64" s="12" t="n">
        <x:v>2</x:v>
      </x:c>
      <x:c r="F64" s="19" t="n">
        <x:v>0.00010389749657193549</x:v>
      </x:c>
      <x:c r="G64" s="19" t="n">
        <x:v>0.3</x:v>
      </x:c>
      <x:c r="H64" s="19" t="n">
        <x:v>0.0001</x:v>
      </x:c>
      <x:c r="I64" s="10" t="n">
        <x:v>0.4258991487385222</x:v>
      </x:c>
      <x:c r="J64" s="10" t="n">
        <x:v>0.6563625335693359</x:v>
      </x:c>
      <x:c r="K64" s="12" t="n">
        <x:v>30</x:v>
      </x:c>
      <x:c r="L64" s="22" t="n">
        <x:v>26.600361624732614</x:v>
      </x:c>
      <x:c r="M64" s="20" t="str">
        <x:v>No</x:v>
      </x:c>
    </x:row>
    <x:row r="65" ht="22" customHeight="1">
      <x:c r="A65" s="15" t="str">
        <x:f>"05291000"</x:f>
        <x:v>05291000</x:v>
      </x:c>
      <x:c r="B65" s="12" t="n">
        <x:v>10</x:v>
      </x:c>
      <x:c r="C65" s="12" t="n">
        <x:v>42</x:v>
      </x:c>
      <x:c r="D65" s="12" t="n">
        <x:v>32</x:v>
      </x:c>
      <x:c r="E65" s="12" t="n">
        <x:v>2</x:v>
      </x:c>
      <x:c r="F65" s="19" t="n">
        <x:v>0.00010389749657193549</x:v>
      </x:c>
      <x:c r="G65" s="19" t="n">
        <x:v>0.3</x:v>
      </x:c>
      <x:c r="H65" s="19" t="n">
        <x:v>0.0001</x:v>
      </x:c>
      <x:c r="I65" s="10" t="n">
        <x:v>0.4733856362084987</x:v>
      </x:c>
      <x:c r="J65" s="10" t="n">
        <x:v>0.5642967224121094</x:v>
      </x:c>
      <x:c r="K65" s="12" t="n">
        <x:v>30</x:v>
      </x:c>
      <x:c r="L65" s="22" t="n">
        <x:v>26.54202853422612</x:v>
      </x:c>
      <x:c r="M65" s="20" t="str">
        <x:v>No</x:v>
      </x:c>
    </x:row>
    <x:row r="66" ht="22" customHeight="1">
      <x:c r="A66" s="15" t="str">
        <x:f>"06278300"</x:f>
        <x:v>06278300</x:v>
      </x:c>
      <x:c r="B66" s="12" t="n">
        <x:v>10</x:v>
      </x:c>
      <x:c r="C66" s="12" t="n">
        <x:v>42</x:v>
      </x:c>
      <x:c r="D66" s="12" t="n">
        <x:v>32</x:v>
      </x:c>
      <x:c r="E66" s="12" t="n">
        <x:v>2</x:v>
      </x:c>
      <x:c r="F66" s="19" t="n">
        <x:v>0.00010389749657193549</x:v>
      </x:c>
      <x:c r="G66" s="19" t="n">
        <x:v>0.3</x:v>
      </x:c>
      <x:c r="H66" s="19" t="n">
        <x:v>0.0001</x:v>
      </x:c>
      <x:c r="I66" s="10" t="n">
        <x:v>0.9039713014204562</x:v>
      </x:c>
      <x:c r="J66" s="10" t="n">
        <x:v>0.10064062476158142</x:v>
      </x:c>
      <x:c r="K66" s="12" t="n">
        <x:v>30</x:v>
      </x:c>
      <x:c r="L66" s="22" t="n">
        <x:v>26.38786643370986</x:v>
      </x:c>
      <x:c r="M66" s="20" t="str">
        <x:v>No</x:v>
      </x:c>
    </x:row>
    <x:row r="67" ht="22" customHeight="1">
      <x:c r="A67" s="15" t="str">
        <x:f>"07167500"</x:f>
        <x:v>07167500</x:v>
      </x:c>
      <x:c r="B67" s="12" t="n">
        <x:v>10</x:v>
      </x:c>
      <x:c r="C67" s="12" t="n">
        <x:v>42</x:v>
      </x:c>
      <x:c r="D67" s="12" t="n">
        <x:v>32</x:v>
      </x:c>
      <x:c r="E67" s="12" t="n">
        <x:v>2</x:v>
      </x:c>
      <x:c r="F67" s="19" t="n">
        <x:v>0.00010389749657193549</x:v>
      </x:c>
      <x:c r="G67" s="19" t="n">
        <x:v>0.3</x:v>
      </x:c>
      <x:c r="H67" s="19" t="n">
        <x:v>0.0001</x:v>
      </x:c>
      <x:c r="I67" s="10" t="n">
        <x:v>0.10241027012927995</x:v>
      </x:c>
      <x:c r="J67" s="10" t="n">
        <x:v>2.703192710876465</x:v>
      </x:c>
      <x:c r="K67" s="12" t="n">
        <x:v>30</x:v>
      </x:c>
      <x:c r="L67" s="22" t="n">
        <x:v>26.638115639798343</x:v>
      </x:c>
      <x:c r="M67" s="20" t="str">
        <x:v>No</x:v>
      </x:c>
    </x:row>
    <x:row r="68" ht="22" customHeight="1">
      <x:c r="A68" s="15" t="str">
        <x:f>"11381500"</x:f>
        <x:v>11381500</x:v>
      </x:c>
      <x:c r="B68" s="12" t="n">
        <x:v>10</x:v>
      </x:c>
      <x:c r="C68" s="12" t="n">
        <x:v>42</x:v>
      </x:c>
      <x:c r="D68" s="12" t="n">
        <x:v>32</x:v>
      </x:c>
      <x:c r="E68" s="12" t="n">
        <x:v>2</x:v>
      </x:c>
      <x:c r="F68" s="19" t="n">
        <x:v>0.00010389749657193549</x:v>
      </x:c>
      <x:c r="G68" s="19" t="n">
        <x:v>0.3</x:v>
      </x:c>
      <x:c r="H68" s="19" t="n">
        <x:v>0.0001</x:v>
      </x:c>
      <x:c r="I68" s="10" t="n">
        <x:v>0.5369536619964874</x:v>
      </x:c>
      <x:c r="J68" s="10" t="n">
        <x:v>0.3225584924221039</x:v>
      </x:c>
      <x:c r="K68" s="12" t="n">
        <x:v>26</x:v>
      </x:c>
      <x:c r="L68" s="22" t="n">
        <x:v>26.57959145400673</x:v>
      </x:c>
      <x:c r="M68" s="20" t="str">
        <x:v>No</x:v>
      </x:c>
    </x:row>
    <x:row r="69" ht="22" customHeight="1">
      <x:c r="A69" s="15" t="str">
        <x:f>"12092000"</x:f>
        <x:v>12092000</x:v>
      </x:c>
      <x:c r="B69" s="12" t="n">
        <x:v>10</x:v>
      </x:c>
      <x:c r="C69" s="12" t="n">
        <x:v>42</x:v>
      </x:c>
      <x:c r="D69" s="12" t="n">
        <x:v>32</x:v>
      </x:c>
      <x:c r="E69" s="12" t="n">
        <x:v>2</x:v>
      </x:c>
      <x:c r="F69" s="19" t="n">
        <x:v>0.00010389749657193549</x:v>
      </x:c>
      <x:c r="G69" s="19" t="n">
        <x:v>0.3</x:v>
      </x:c>
      <x:c r="H69" s="19" t="n">
        <x:v>0.0001</x:v>
      </x:c>
      <x:c r="I69" s="10" t="n">
        <x:v>0.5476193082219021</x:v>
      </x:c>
      <x:c r="J69" s="10" t="n">
        <x:v>0.8207190036773682</x:v>
      </x:c>
      <x:c r="K69" s="12" t="n">
        <x:v>30</x:v>
      </x:c>
      <x:c r="L69" s="22" t="n">
        <x:v>26.670101647265255</x:v>
      </x:c>
      <x:c r="M69" s="20" t="str">
        <x:v>No</x:v>
      </x:c>
    </x:row>
    <x:row r="70" ht="22" customHeight="1">
      <x:c r="A70" s="15" t="str">
        <x:f>"04224775"</x:f>
        <x:v>04224775</x:v>
      </x:c>
      <x:c r="B70" s="12" t="n">
        <x:v>11</x:v>
      </x:c>
      <x:c r="C70" s="12" t="n">
        <x:v>42</x:v>
      </x:c>
      <x:c r="D70" s="12" t="n">
        <x:v>256</x:v>
      </x:c>
      <x:c r="E70" s="12" t="n">
        <x:v>2</x:v>
      </x:c>
      <x:c r="F70" s="19" t="n">
        <x:v>0.0029124972933035746</x:v>
      </x:c>
      <x:c r="G70" s="19" t="n">
        <x:v>0.3</x:v>
      </x:c>
      <x:c r="H70" s="19" t="n">
        <x:v>0.0001</x:v>
      </x:c>
      <x:c r="I70" s="10" t="n">
        <x:v>0.5301572780313031</x:v>
      </x:c>
      <x:c r="J70" s="10" t="n">
        <x:v>0.5371654629707336</x:v>
      </x:c>
      <x:c r="K70" s="12" t="n">
        <x:v>5</x:v>
      </x:c>
      <x:c r="L70" s="22" t="n">
        <x:v>28.375029876828194</x:v>
      </x:c>
      <x:c r="M70" s="20" t="str">
        <x:v>No</x:v>
      </x:c>
    </x:row>
    <x:row r="71" ht="22" customHeight="1">
      <x:c r="A71" s="15" t="str">
        <x:f>"05291000"</x:f>
        <x:v>05291000</x:v>
      </x:c>
      <x:c r="B71" s="12" t="n">
        <x:v>11</x:v>
      </x:c>
      <x:c r="C71" s="12" t="n">
        <x:v>42</x:v>
      </x:c>
      <x:c r="D71" s="12" t="n">
        <x:v>256</x:v>
      </x:c>
      <x:c r="E71" s="12" t="n">
        <x:v>2</x:v>
      </x:c>
      <x:c r="F71" s="19" t="n">
        <x:v>0.0029124972933035746</x:v>
      </x:c>
      <x:c r="G71" s="19" t="n">
        <x:v>0.3</x:v>
      </x:c>
      <x:c r="H71" s="19" t="n">
        <x:v>0.0001</x:v>
      </x:c>
      <x:c r="I71" s="10" t="n">
        <x:v>0.7765219016066367</x:v>
      </x:c>
      <x:c r="J71" s="10" t="n">
        <x:v>0.23946930468082428</x:v>
      </x:c>
      <x:c r="K71" s="12" t="n">
        <x:v>14</x:v>
      </x:c>
      <x:c r="L71" s="22" t="n">
        <x:v>28.63275374379009</x:v>
      </x:c>
      <x:c r="M71" s="20" t="str">
        <x:v>No</x:v>
      </x:c>
    </x:row>
    <x:row r="72" ht="22" customHeight="1">
      <x:c r="A72" s="15" t="str">
        <x:f>"06278300"</x:f>
        <x:v>06278300</x:v>
      </x:c>
      <x:c r="B72" s="12" t="n">
        <x:v>11</x:v>
      </x:c>
      <x:c r="C72" s="12" t="n">
        <x:v>42</x:v>
      </x:c>
      <x:c r="D72" s="12" t="n">
        <x:v>256</x:v>
      </x:c>
      <x:c r="E72" s="12" t="n">
        <x:v>2</x:v>
      </x:c>
      <x:c r="F72" s="19" t="n">
        <x:v>0.0029124972933035746</x:v>
      </x:c>
      <x:c r="G72" s="19" t="n">
        <x:v>0.3</x:v>
      </x:c>
      <x:c r="H72" s="19" t="n">
        <x:v>0.0001</x:v>
      </x:c>
      <x:c r="I72" s="10" t="n">
        <x:v>0.9557618709320087</x:v>
      </x:c>
      <x:c r="J72" s="10" t="n">
        <x:v>0.046362731605768204</x:v>
      </x:c>
      <x:c r="K72" s="12" t="n">
        <x:v>16</x:v>
      </x:c>
      <x:c r="L72" s="22" t="n">
        <x:v>28.0080537032336</x:v>
      </x:c>
      <x:c r="M72" s="20" t="str">
        <x:v>No</x:v>
      </x:c>
    </x:row>
    <x:row r="73" ht="22" customHeight="1">
      <x:c r="A73" s="15" t="str">
        <x:f>"07167500"</x:f>
        <x:v>07167500</x:v>
      </x:c>
      <x:c r="B73" s="12" t="n">
        <x:v>11</x:v>
      </x:c>
      <x:c r="C73" s="12" t="n">
        <x:v>42</x:v>
      </x:c>
      <x:c r="D73" s="12" t="n">
        <x:v>256</x:v>
      </x:c>
      <x:c r="E73" s="12" t="n">
        <x:v>2</x:v>
      </x:c>
      <x:c r="F73" s="19" t="n">
        <x:v>0.0029124972933035746</x:v>
      </x:c>
      <x:c r="G73" s="19" t="n">
        <x:v>0.3</x:v>
      </x:c>
      <x:c r="H73" s="19" t="n">
        <x:v>0.0001</x:v>
      </x:c>
      <x:c r="I73" s="10" t="n">
        <x:v>0.13944544069733344</x:v>
      </x:c>
      <x:c r="J73" s="10" t="n">
        <x:v>2.5916569232940674</x:v>
      </x:c>
      <x:c r="K73" s="12" t="n">
        <x:v>5</x:v>
      </x:c>
      <x:c r="L73" s="22" t="n">
        <x:v>28.122228148393333</x:v>
      </x:c>
      <x:c r="M73" s="20" t="str">
        <x:v>No</x:v>
      </x:c>
    </x:row>
    <x:row r="74" ht="22" customHeight="1">
      <x:c r="A74" s="15" t="str">
        <x:f>"11381500"</x:f>
        <x:v>11381500</x:v>
      </x:c>
      <x:c r="B74" s="12" t="n">
        <x:v>11</x:v>
      </x:c>
      <x:c r="C74" s="12" t="n">
        <x:v>42</x:v>
      </x:c>
      <x:c r="D74" s="12" t="n">
        <x:v>256</x:v>
      </x:c>
      <x:c r="E74" s="12" t="n">
        <x:v>2</x:v>
      </x:c>
      <x:c r="F74" s="19" t="n">
        <x:v>0.0029124972933035746</x:v>
      </x:c>
      <x:c r="G74" s="19" t="n">
        <x:v>0.3</x:v>
      </x:c>
      <x:c r="H74" s="19" t="n">
        <x:v>0.0001</x:v>
      </x:c>
      <x:c r="I74" s="10" t="n">
        <x:v>0.5456852416534763</x:v>
      </x:c>
      <x:c r="J74" s="10" t="n">
        <x:v>0.31647607684135437</x:v>
      </x:c>
      <x:c r="K74" s="12" t="n">
        <x:v>4</x:v>
      </x:c>
      <x:c r="L74" s="22" t="n">
        <x:v>28.257116010412574</x:v>
      </x:c>
      <x:c r="M74" s="20" t="str">
        <x:v>No</x:v>
      </x:c>
    </x:row>
    <x:row r="75" ht="22" customHeight="1">
      <x:c r="A75" s="15" t="str">
        <x:f>"12092000"</x:f>
        <x:v>12092000</x:v>
      </x:c>
      <x:c r="B75" s="12" t="n">
        <x:v>11</x:v>
      </x:c>
      <x:c r="C75" s="12" t="n">
        <x:v>42</x:v>
      </x:c>
      <x:c r="D75" s="12" t="n">
        <x:v>256</x:v>
      </x:c>
      <x:c r="E75" s="12" t="n">
        <x:v>2</x:v>
      </x:c>
      <x:c r="F75" s="19" t="n">
        <x:v>0.0029124972933035746</x:v>
      </x:c>
      <x:c r="G75" s="19" t="n">
        <x:v>0.3</x:v>
      </x:c>
      <x:c r="H75" s="19" t="n">
        <x:v>0.0001</x:v>
      </x:c>
      <x:c r="I75" s="10" t="n">
        <x:v>0.6971772233068867</x:v>
      </x:c>
      <x:c r="J75" s="10" t="n">
        <x:v>0.5493876934051514</x:v>
      </x:c>
      <x:c r="K75" s="12" t="n">
        <x:v>20</x:v>
      </x:c>
      <x:c r="L75" s="22" t="n">
        <x:v>28.172330256551504</x:v>
      </x:c>
      <x:c r="M75" s="20" t="str">
        <x:v>No</x:v>
      </x:c>
    </x:row>
    <x:row r="76" ht="22" customHeight="1">
      <x:c r="A76" s="15" t="str">
        <x:f>"04224775"</x:f>
        <x:v>04224775</x:v>
      </x:c>
      <x:c r="B76" s="12" t="n">
        <x:v>12</x:v>
      </x:c>
      <x:c r="C76" s="12" t="n">
        <x:v>42</x:v>
      </x:c>
      <x:c r="D76" s="12" t="n">
        <x:v>256</x:v>
      </x:c>
      <x:c r="E76" s="12" t="n">
        <x:v>2</x:v>
      </x:c>
      <x:c r="F76" s="19" t="n">
        <x:v>0.0028925964755507046</x:v>
      </x:c>
      <x:c r="G76" s="19" t="n">
        <x:v>0.3</x:v>
      </x:c>
      <x:c r="H76" s="19" t="n">
        <x:v>0.0001</x:v>
      </x:c>
      <x:c r="I76" s="10" t="n">
        <x:v>0.5298870368697877</x:v>
      </x:c>
      <x:c r="J76" s="10" t="n">
        <x:v>0.5374744534492493</x:v>
      </x:c>
      <x:c r="K76" s="12" t="n">
        <x:v>5</x:v>
      </x:c>
      <x:c r="L76" s="22" t="n">
        <x:v>41.84590696543455</x:v>
      </x:c>
      <x:c r="M76" s="20" t="str">
        <x:v>No</x:v>
      </x:c>
    </x:row>
    <x:row r="77" ht="22" customHeight="1">
      <x:c r="A77" s="15" t="str">
        <x:f>"05291000"</x:f>
        <x:v>05291000</x:v>
      </x:c>
      <x:c r="B77" s="12" t="n">
        <x:v>12</x:v>
      </x:c>
      <x:c r="C77" s="12" t="n">
        <x:v>42</x:v>
      </x:c>
      <x:c r="D77" s="12" t="n">
        <x:v>256</x:v>
      </x:c>
      <x:c r="E77" s="12" t="n">
        <x:v>2</x:v>
      </x:c>
      <x:c r="F77" s="19" t="n">
        <x:v>0.0028925964755507046</x:v>
      </x:c>
      <x:c r="G77" s="19" t="n">
        <x:v>0.3</x:v>
      </x:c>
      <x:c r="H77" s="19" t="n">
        <x:v>0.0001</x:v>
      </x:c>
      <x:c r="I77" s="10" t="n">
        <x:v>0.7772353102250239</x:v>
      </x:c>
      <x:c r="J77" s="10" t="n">
        <x:v>0.23870481550693512</x:v>
      </x:c>
      <x:c r="K77" s="12" t="n">
        <x:v>20</x:v>
      </x:c>
      <x:c r="L77" s="22" t="n">
        <x:v>42.099435527808964</x:v>
      </x:c>
      <x:c r="M77" s="20" t="str">
        <x:v>No</x:v>
      </x:c>
    </x:row>
    <x:row r="78" ht="22" customHeight="1">
      <x:c r="A78" s="15" t="str">
        <x:f>"06278300"</x:f>
        <x:v>06278300</x:v>
      </x:c>
      <x:c r="B78" s="12" t="n">
        <x:v>12</x:v>
      </x:c>
      <x:c r="C78" s="12" t="n">
        <x:v>42</x:v>
      </x:c>
      <x:c r="D78" s="12" t="n">
        <x:v>256</x:v>
      </x:c>
      <x:c r="E78" s="12" t="n">
        <x:v>2</x:v>
      </x:c>
      <x:c r="F78" s="19" t="n">
        <x:v>0.0028925964755507046</x:v>
      </x:c>
      <x:c r="G78" s="19" t="n">
        <x:v>0.3</x:v>
      </x:c>
      <x:c r="H78" s="19" t="n">
        <x:v>0.0001</x:v>
      </x:c>
      <x:c r="I78" s="10" t="n">
        <x:v>0.9565774792563182</x:v>
      </x:c>
      <x:c r="J78" s="10" t="n">
        <x:v>0.04550795629620552</x:v>
      </x:c>
      <x:c r="K78" s="12" t="n">
        <x:v>24</x:v>
      </x:c>
      <x:c r="L78" s="22" t="n">
        <x:v>41.93880037218332</x:v>
      </x:c>
      <x:c r="M78" s="20" t="str">
        <x:v>No</x:v>
      </x:c>
    </x:row>
    <x:row r="79" ht="22" customHeight="1">
      <x:c r="A79" s="15" t="str">
        <x:f>"07167500"</x:f>
        <x:v>07167500</x:v>
      </x:c>
      <x:c r="B79" s="12" t="n">
        <x:v>12</x:v>
      </x:c>
      <x:c r="C79" s="12" t="n">
        <x:v>42</x:v>
      </x:c>
      <x:c r="D79" s="12" t="n">
        <x:v>256</x:v>
      </x:c>
      <x:c r="E79" s="12" t="n">
        <x:v>2</x:v>
      </x:c>
      <x:c r="F79" s="19" t="n">
        <x:v>0.0028925964755507046</x:v>
      </x:c>
      <x:c r="G79" s="19" t="n">
        <x:v>0.3</x:v>
      </x:c>
      <x:c r="H79" s="19" t="n">
        <x:v>0.0001</x:v>
      </x:c>
      <x:c r="I79" s="10" t="n">
        <x:v>0.1393455626997</x:v>
      </x:c>
      <x:c r="J79" s="10" t="n">
        <x:v>2.5919578075408936</x:v>
      </x:c>
      <x:c r="K79" s="12" t="n">
        <x:v>5</x:v>
      </x:c>
      <x:c r="L79" s="22" t="n">
        <x:v>42.02828883565962</x:v>
      </x:c>
      <x:c r="M79" s="20" t="str">
        <x:v>No</x:v>
      </x:c>
    </x:row>
    <x:row r="80" ht="22" customHeight="1">
      <x:c r="A80" s="15" t="str">
        <x:f>"11381500"</x:f>
        <x:v>11381500</x:v>
      </x:c>
      <x:c r="B80" s="12" t="n">
        <x:v>12</x:v>
      </x:c>
      <x:c r="C80" s="12" t="n">
        <x:v>42</x:v>
      </x:c>
      <x:c r="D80" s="12" t="n">
        <x:v>256</x:v>
      </x:c>
      <x:c r="E80" s="12" t="n">
        <x:v>2</x:v>
      </x:c>
      <x:c r="F80" s="19" t="n">
        <x:v>0.0028925964755507046</x:v>
      </x:c>
      <x:c r="G80" s="19" t="n">
        <x:v>0.3</x:v>
      </x:c>
      <x:c r="H80" s="19" t="n">
        <x:v>0.0001</x:v>
      </x:c>
      <x:c r="I80" s="10" t="n">
        <x:v>0.5463600868239693</x:v>
      </x:c>
      <x:c r="J80" s="10" t="n">
        <x:v>0.31600597500801086</x:v>
      </x:c>
      <x:c r="K80" s="12" t="n">
        <x:v>4</x:v>
      </x:c>
      <x:c r="L80" s="22" t="n">
        <x:v>41.94322858285159</x:v>
      </x:c>
      <x:c r="M80" s="20" t="str">
        <x:v>No</x:v>
      </x:c>
    </x:row>
    <x:row r="81" ht="22" customHeight="1">
      <x:c r="A81" s="15" t="str">
        <x:f>"12092000"</x:f>
        <x:v>12092000</x:v>
      </x:c>
      <x:c r="B81" s="12" t="n">
        <x:v>12</x:v>
      </x:c>
      <x:c r="C81" s="12" t="n">
        <x:v>42</x:v>
      </x:c>
      <x:c r="D81" s="12" t="n">
        <x:v>256</x:v>
      </x:c>
      <x:c r="E81" s="12" t="n">
        <x:v>2</x:v>
      </x:c>
      <x:c r="F81" s="19" t="n">
        <x:v>0.0028925964755507046</x:v>
      </x:c>
      <x:c r="G81" s="19" t="n">
        <x:v>0.3</x:v>
      </x:c>
      <x:c r="H81" s="19" t="n">
        <x:v>0.0001</x:v>
      </x:c>
      <x:c r="I81" s="10" t="n">
        <x:v>0.6972885561455495</x:v>
      </x:c>
      <x:c r="J81" s="10" t="n">
        <x:v>0.5491858124732971</x:v>
      </x:c>
      <x:c r="K81" s="12" t="n">
        <x:v>22</x:v>
      </x:c>
      <x:c r="L81" s="22" t="n">
        <x:v>42.01476809196174</x:v>
      </x:c>
      <x:c r="M81" s="20" t="str">
        <x:v>No</x:v>
      </x:c>
    </x:row>
    <x:row r="82" ht="22" customHeight="1">
      <x:c r="A82" s="15" t="str">
        <x:f>"04224775"</x:f>
        <x:v>04224775</x:v>
      </x:c>
      <x:c r="B82" s="12" t="n">
        <x:v>13</x:v>
      </x:c>
      <x:c r="C82" s="12" t="n">
        <x:v>42</x:v>
      </x:c>
      <x:c r="D82" s="12" t="n">
        <x:v>256</x:v>
      </x:c>
      <x:c r="E82" s="12" t="n">
        <x:v>2</x:v>
      </x:c>
      <x:c r="F82" s="19" t="n">
        <x:v>0.0029228372964957188</x:v>
      </x:c>
      <x:c r="G82" s="19" t="n">
        <x:v>0.3</x:v>
      </x:c>
      <x:c r="H82" s="19" t="n">
        <x:v>0.0001</x:v>
      </x:c>
      <x:c r="I82" s="10" t="n">
        <x:v>0.5300357211832993</x:v>
      </x:c>
      <x:c r="J82" s="10" t="n">
        <x:v>0.5373044610023499</x:v>
      </x:c>
      <x:c r="K82" s="12" t="n">
        <x:v>5</x:v>
      </x:c>
      <x:c r="L82" s="22" t="n">
        <x:v>42.070282785221934</x:v>
      </x:c>
      <x:c r="M82" s="20" t="str">
        <x:v>No</x:v>
      </x:c>
    </x:row>
    <x:row r="83" ht="22" customHeight="1">
      <x:c r="A83" s="15" t="str">
        <x:f>"05291000"</x:f>
        <x:v>05291000</x:v>
      </x:c>
      <x:c r="B83" s="12" t="n">
        <x:v>13</x:v>
      </x:c>
      <x:c r="C83" s="12" t="n">
        <x:v>42</x:v>
      </x:c>
      <x:c r="D83" s="12" t="n">
        <x:v>256</x:v>
      </x:c>
      <x:c r="E83" s="12" t="n">
        <x:v>2</x:v>
      </x:c>
      <x:c r="F83" s="19" t="n">
        <x:v>0.0029228372964957188</x:v>
      </x:c>
      <x:c r="G83" s="19" t="n">
        <x:v>0.3</x:v>
      </x:c>
      <x:c r="H83" s="19" t="n">
        <x:v>0.0001</x:v>
      </x:c>
      <x:c r="I83" s="10" t="n">
        <x:v>0.7725022280625853</x:v>
      </x:c>
      <x:c r="J83" s="10" t="n">
        <x:v>0.24377655982971191</x:v>
      </x:c>
      <x:c r="K83" s="12" t="n">
        <x:v>6</x:v>
      </x:c>
      <x:c r="L83" s="22" t="n">
        <x:v>42.05168937519193</x:v>
      </x:c>
      <x:c r="M83" s="20" t="str">
        <x:v>No</x:v>
      </x:c>
    </x:row>
    <x:row r="84" ht="22" customHeight="1">
      <x:c r="A84" s="15" t="str">
        <x:f>"06278300"</x:f>
        <x:v>06278300</x:v>
      </x:c>
      <x:c r="B84" s="12" t="n">
        <x:v>13</x:v>
      </x:c>
      <x:c r="C84" s="12" t="n">
        <x:v>42</x:v>
      </x:c>
      <x:c r="D84" s="12" t="n">
        <x:v>256</x:v>
      </x:c>
      <x:c r="E84" s="12" t="n">
        <x:v>2</x:v>
      </x:c>
      <x:c r="F84" s="19" t="n">
        <x:v>0.0029228372964957188</x:v>
      </x:c>
      <x:c r="G84" s="19" t="n">
        <x:v>0.3</x:v>
      </x:c>
      <x:c r="H84" s="19" t="n">
        <x:v>0.0001</x:v>
      </x:c>
      <x:c r="I84" s="10" t="n">
        <x:v>0.9571533854831706</x:v>
      </x:c>
      <x:c r="J84" s="10" t="n">
        <x:v>0.04490439593791962</x:v>
      </x:c>
      <x:c r="K84" s="12" t="n">
        <x:v>24</x:v>
      </x:c>
      <x:c r="L84" s="22" t="n">
        <x:v>42.048624717630446</x:v>
      </x:c>
      <x:c r="M84" s="20" t="str">
        <x:v>No</x:v>
      </x:c>
    </x:row>
    <x:row r="85" ht="22" customHeight="1">
      <x:c r="A85" s="15" t="str">
        <x:f>"07167500"</x:f>
        <x:v>07167500</x:v>
      </x:c>
      <x:c r="B85" s="12" t="n">
        <x:v>13</x:v>
      </x:c>
      <x:c r="C85" s="12" t="n">
        <x:v>42</x:v>
      </x:c>
      <x:c r="D85" s="12" t="n">
        <x:v>256</x:v>
      </x:c>
      <x:c r="E85" s="12" t="n">
        <x:v>2</x:v>
      </x:c>
      <x:c r="F85" s="19" t="n">
        <x:v>0.0029228372964957188</x:v>
      </x:c>
      <x:c r="G85" s="19" t="n">
        <x:v>0.3</x:v>
      </x:c>
      <x:c r="H85" s="19" t="n">
        <x:v>0.0001</x:v>
      </x:c>
      <x:c r="I85" s="10" t="n">
        <x:v>0.13957400923017138</x:v>
      </x:c>
      <x:c r="J85" s="10" t="n">
        <x:v>2.5912694931030273</x:v>
      </x:c>
      <x:c r="K85" s="12" t="n">
        <x:v>5</x:v>
      </x:c>
      <x:c r="L85" s="22" t="n">
        <x:v>42.04406851902604</x:v>
      </x:c>
      <x:c r="M85" s="20" t="str">
        <x:v>No</x:v>
      </x:c>
    </x:row>
    <x:row r="86" ht="22" customHeight="1">
      <x:c r="A86" s="15" t="str">
        <x:f>"11381500"</x:f>
        <x:v>11381500</x:v>
      </x:c>
      <x:c r="B86" s="12" t="n">
        <x:v>13</x:v>
      </x:c>
      <x:c r="C86" s="12" t="n">
        <x:v>42</x:v>
      </x:c>
      <x:c r="D86" s="12" t="n">
        <x:v>256</x:v>
      </x:c>
      <x:c r="E86" s="12" t="n">
        <x:v>2</x:v>
      </x:c>
      <x:c r="F86" s="19" t="n">
        <x:v>0.0029228372964957188</x:v>
      </x:c>
      <x:c r="G86" s="19" t="n">
        <x:v>0.3</x:v>
      </x:c>
      <x:c r="H86" s="19" t="n">
        <x:v>0.0001</x:v>
      </x:c>
      <x:c r="I86" s="10" t="n">
        <x:v>0.5447547546892609</x:v>
      </x:c>
      <x:c r="J86" s="10" t="n">
        <x:v>0.31712424755096436</x:v>
      </x:c>
      <x:c r="K86" s="12" t="n">
        <x:v>4</x:v>
      </x:c>
      <x:c r="L86" s="22" t="n">
        <x:v>42.08431284688413</x:v>
      </x:c>
      <x:c r="M86" s="20" t="str">
        <x:v>No</x:v>
      </x:c>
    </x:row>
    <x:row r="87" ht="22" customHeight="1">
      <x:c r="A87" s="15" t="str">
        <x:f>"12092000"</x:f>
        <x:v>12092000</x:v>
      </x:c>
      <x:c r="B87" s="12" t="n">
        <x:v>13</x:v>
      </x:c>
      <x:c r="C87" s="12" t="n">
        <x:v>42</x:v>
      </x:c>
      <x:c r="D87" s="12" t="n">
        <x:v>256</x:v>
      </x:c>
      <x:c r="E87" s="12" t="n">
        <x:v>2</x:v>
      </x:c>
      <x:c r="F87" s="19" t="n">
        <x:v>0.0029228372964957188</x:v>
      </x:c>
      <x:c r="G87" s="19" t="n">
        <x:v>0.3</x:v>
      </x:c>
      <x:c r="H87" s="19" t="n">
        <x:v>0.0001</x:v>
      </x:c>
      <x:c r="I87" s="10" t="n">
        <x:v>0.6995886221961293</x:v>
      </x:c>
      <x:c r="J87" s="10" t="n">
        <x:v>0.545012891292572</x:v>
      </x:c>
      <x:c r="K87" s="12" t="n">
        <x:v>25</x:v>
      </x:c>
      <x:c r="L87" s="22" t="n">
        <x:v>42.06672129314393</x:v>
      </x:c>
      <x:c r="M87" s="20" t="str">
        <x:v>No</x:v>
      </x:c>
    </x:row>
    <x:row r="88" ht="22" customHeight="1">
      <x:c r="A88" s="15" t="str">
        <x:f>"04224775"</x:f>
        <x:v>04224775</x:v>
      </x:c>
      <x:c r="B88" s="12" t="n">
        <x:v>14</x:v>
      </x:c>
      <x:c r="C88" s="12" t="n">
        <x:v>42</x:v>
      </x:c>
      <x:c r="D88" s="12" t="n">
        <x:v>256</x:v>
      </x:c>
      <x:c r="E88" s="12" t="n">
        <x:v>2</x:v>
      </x:c>
      <x:c r="F88" s="19" t="n">
        <x:v>0.001577455389026347</x:v>
      </x:c>
      <x:c r="G88" s="19" t="n">
        <x:v>0.3</x:v>
      </x:c>
      <x:c r="H88" s="19" t="n">
        <x:v>0.0001</x:v>
      </x:c>
      <x:c r="I88" s="10" t="n">
        <x:v>0.5357935649995427</x:v>
      </x:c>
      <x:c r="J88" s="10" t="n">
        <x:v>0.5307216048240662</x:v>
      </x:c>
      <x:c r="K88" s="12" t="n">
        <x:v>8</x:v>
      </x:c>
      <x:c r="L88" s="22" t="n">
        <x:v>42.05657588131726</x:v>
      </x:c>
      <x:c r="M88" s="20" t="str">
        <x:v>No</x:v>
      </x:c>
    </x:row>
    <x:row r="89" ht="22" customHeight="1">
      <x:c r="A89" s="15" t="str">
        <x:f>"05291000"</x:f>
        <x:v>05291000</x:v>
      </x:c>
      <x:c r="B89" s="12" t="n">
        <x:v>14</x:v>
      </x:c>
      <x:c r="C89" s="12" t="n">
        <x:v>42</x:v>
      </x:c>
      <x:c r="D89" s="12" t="n">
        <x:v>256</x:v>
      </x:c>
      <x:c r="E89" s="12" t="n">
        <x:v>2</x:v>
      </x:c>
      <x:c r="F89" s="19" t="n">
        <x:v>0.001577455389026347</x:v>
      </x:c>
      <x:c r="G89" s="19" t="n">
        <x:v>0.3</x:v>
      </x:c>
      <x:c r="H89" s="19" t="n">
        <x:v>0.0001</x:v>
      </x:c>
      <x:c r="I89" s="10" t="n">
        <x:v>0.7803800441761475</x:v>
      </x:c>
      <x:c r="J89" s="10" t="n">
        <x:v>0.2353350818157196</x:v>
      </x:c>
      <x:c r="K89" s="12" t="n">
        <x:v>25</x:v>
      </x:c>
      <x:c r="L89" s="22" t="n">
        <x:v>42.059791734442115</x:v>
      </x:c>
      <x:c r="M89" s="20" t="str">
        <x:v>No</x:v>
      </x:c>
    </x:row>
    <x:row r="90" ht="22" customHeight="1">
      <x:c r="A90" s="15" t="str">
        <x:f>"06278300"</x:f>
        <x:v>06278300</x:v>
      </x:c>
      <x:c r="B90" s="12" t="n">
        <x:v>14</x:v>
      </x:c>
      <x:c r="C90" s="12" t="n">
        <x:v>42</x:v>
      </x:c>
      <x:c r="D90" s="12" t="n">
        <x:v>256</x:v>
      </x:c>
      <x:c r="E90" s="12" t="n">
        <x:v>2</x:v>
      </x:c>
      <x:c r="F90" s="19" t="n">
        <x:v>0.001577455389026347</x:v>
      </x:c>
      <x:c r="G90" s="19" t="n">
        <x:v>0.3</x:v>
      </x:c>
      <x:c r="H90" s="19" t="n">
        <x:v>0.0001</x:v>
      </x:c>
      <x:c r="I90" s="10" t="n">
        <x:v>0.953198335665959</x:v>
      </x:c>
      <x:c r="J90" s="10" t="n">
        <x:v>0.049049388617277145</x:v>
      </x:c>
      <x:c r="K90" s="12" t="n">
        <x:v>10</x:v>
      </x:c>
      <x:c r="L90" s="22" t="n">
        <x:v>42.08276248630136</x:v>
      </x:c>
      <x:c r="M90" s="20" t="str">
        <x:v>No</x:v>
      </x:c>
    </x:row>
    <x:row r="91" ht="22" customHeight="1">
      <x:c r="A91" s="15" t="str">
        <x:f>"07167500"</x:f>
        <x:v>07167500</x:v>
      </x:c>
      <x:c r="B91" s="12" t="n">
        <x:v>14</x:v>
      </x:c>
      <x:c r="C91" s="12" t="n">
        <x:v>42</x:v>
      </x:c>
      <x:c r="D91" s="12" t="n">
        <x:v>256</x:v>
      </x:c>
      <x:c r="E91" s="12" t="n">
        <x:v>2</x:v>
      </x:c>
      <x:c r="F91" s="19" t="n">
        <x:v>0.001577455389026347</x:v>
      </x:c>
      <x:c r="G91" s="19" t="n">
        <x:v>0.3</x:v>
      </x:c>
      <x:c r="H91" s="19" t="n">
        <x:v>0.0001</x:v>
      </x:c>
      <x:c r="I91" s="10" t="n">
        <x:v>0.13461908014560375</x:v>
      </x:c>
      <x:c r="J91" s="10" t="n">
        <x:v>2.606192111968994</x:v>
      </x:c>
      <x:c r="K91" s="12" t="n">
        <x:v>7</x:v>
      </x:c>
      <x:c r="L91" s="22" t="n">
        <x:v>42.14717916864902</x:v>
      </x:c>
      <x:c r="M91" s="20" t="str">
        <x:v>No</x:v>
      </x:c>
    </x:row>
    <x:row r="92" ht="22" customHeight="1">
      <x:c r="A92" s="15" t="str">
        <x:f>"11381500"</x:f>
        <x:v>11381500</x:v>
      </x:c>
      <x:c r="B92" s="12" t="n">
        <x:v>14</x:v>
      </x:c>
      <x:c r="C92" s="12" t="n">
        <x:v>42</x:v>
      </x:c>
      <x:c r="D92" s="12" t="n">
        <x:v>256</x:v>
      </x:c>
      <x:c r="E92" s="12" t="n">
        <x:v>2</x:v>
      </x:c>
      <x:c r="F92" s="19" t="n">
        <x:v>0.001577455389026347</x:v>
      </x:c>
      <x:c r="G92" s="19" t="n">
        <x:v>0.3</x:v>
      </x:c>
      <x:c r="H92" s="19" t="n">
        <x:v>0.0001</x:v>
      </x:c>
      <x:c r="I92" s="10" t="n">
        <x:v>0.5479040443966372</x:v>
      </x:c>
      <x:c r="J92" s="10" t="n">
        <x:v>0.3149304687976837</x:v>
      </x:c>
      <x:c r="K92" s="12" t="n">
        <x:v>1</x:v>
      </x:c>
      <x:c r="L92" s="22" t="n">
        <x:v>42.039952787570655</x:v>
      </x:c>
      <x:c r="M92" s="20" t="str">
        <x:v>No</x:v>
      </x:c>
    </x:row>
    <x:row r="93" ht="22" customHeight="1">
      <x:c r="A93" s="15" t="str">
        <x:f>"12092000"</x:f>
        <x:v>12092000</x:v>
      </x:c>
      <x:c r="B93" s="12" t="n">
        <x:v>14</x:v>
      </x:c>
      <x:c r="C93" s="12" t="n">
        <x:v>42</x:v>
      </x:c>
      <x:c r="D93" s="12" t="n">
        <x:v>256</x:v>
      </x:c>
      <x:c r="E93" s="12" t="n">
        <x:v>2</x:v>
      </x:c>
      <x:c r="F93" s="19" t="n">
        <x:v>0.001577455389026347</x:v>
      </x:c>
      <x:c r="G93" s="19" t="n">
        <x:v>0.3</x:v>
      </x:c>
      <x:c r="H93" s="19" t="n">
        <x:v>0.0001</x:v>
      </x:c>
      <x:c r="I93" s="10" t="n">
        <x:v>0.6794340170377342</x:v>
      </x:c>
      <x:c r="J93" s="10" t="n">
        <x:v>0.5815778374671936</x:v>
      </x:c>
      <x:c r="K93" s="12" t="n">
        <x:v>22</x:v>
      </x:c>
      <x:c r="L93" s="22" t="n">
        <x:v>42.06974220648408</x:v>
      </x:c>
      <x:c r="M93" s="20" t="str">
        <x:v>No</x:v>
      </x:c>
    </x:row>
    <x:row r="94" ht="22" customHeight="1">
      <x:c r="A94" s="15" t="str">
        <x:f>"04224775"</x:f>
        <x:v>04224775</x:v>
      </x:c>
      <x:c r="B94" s="12" t="n">
        <x:v>15</x:v>
      </x:c>
      <x:c r="C94" s="12" t="n">
        <x:v>42</x:v>
      </x:c>
      <x:c r="D94" s="12" t="n">
        <x:v>256</x:v>
      </x:c>
      <x:c r="E94" s="12" t="n">
        <x:v>2</x:v>
      </x:c>
      <x:c r="F94" s="19" t="n">
        <x:v>0.0016486457391280173</x:v>
      </x:c>
      <x:c r="G94" s="19" t="n">
        <x:v>0.3</x:v>
      </x:c>
      <x:c r="H94" s="19" t="n">
        <x:v>0.0001</x:v>
      </x:c>
      <x:c r="I94" s="10" t="n">
        <x:v>0.5355601594293571</x:v>
      </x:c>
      <x:c r="J94" s="10" t="n">
        <x:v>0.5309883952140808</x:v>
      </x:c>
      <x:c r="K94" s="12" t="n">
        <x:v>8</x:v>
      </x:c>
      <x:c r="L94" s="22" t="n">
        <x:v>42.09610199742019</x:v>
      </x:c>
      <x:c r="M94" s="20" t="str">
        <x:v>No</x:v>
      </x:c>
    </x:row>
    <x:row r="95" ht="22" customHeight="1">
      <x:c r="A95" s="15" t="str">
        <x:f>"05291000"</x:f>
        <x:v>05291000</x:v>
      </x:c>
      <x:c r="B95" s="12" t="n">
        <x:v>15</x:v>
      </x:c>
      <x:c r="C95" s="12" t="n">
        <x:v>42</x:v>
      </x:c>
      <x:c r="D95" s="12" t="n">
        <x:v>256</x:v>
      </x:c>
      <x:c r="E95" s="12" t="n">
        <x:v>2</x:v>
      </x:c>
      <x:c r="F95" s="19" t="n">
        <x:v>0.0016486457391280173</x:v>
      </x:c>
      <x:c r="G95" s="19" t="n">
        <x:v>0.3</x:v>
      </x:c>
      <x:c r="H95" s="19" t="n">
        <x:v>0.0001</x:v>
      </x:c>
      <x:c r="I95" s="10" t="n">
        <x:v>0.7782292572144389</x:v>
      </x:c>
      <x:c r="J95" s="10" t="n">
        <x:v>0.23763976991176605</x:v>
      </x:c>
      <x:c r="K95" s="12" t="n">
        <x:v>20</x:v>
      </x:c>
      <x:c r="L95" s="22" t="n">
        <x:v>42.0937357340008</x:v>
      </x:c>
      <x:c r="M95" s="20" t="str">
        <x:v>No</x:v>
      </x:c>
    </x:row>
    <x:row r="96" ht="22" customHeight="1">
      <x:c r="A96" s="15" t="str">
        <x:f>"06278300"</x:f>
        <x:v>06278300</x:v>
      </x:c>
      <x:c r="B96" s="12" t="n">
        <x:v>15</x:v>
      </x:c>
      <x:c r="C96" s="12" t="n">
        <x:v>42</x:v>
      </x:c>
      <x:c r="D96" s="12" t="n">
        <x:v>256</x:v>
      </x:c>
      <x:c r="E96" s="12" t="n">
        <x:v>2</x:v>
      </x:c>
      <x:c r="F96" s="19" t="n">
        <x:v>0.0016486457391280173</x:v>
      </x:c>
      <x:c r="G96" s="19" t="n">
        <x:v>0.3</x:v>
      </x:c>
      <x:c r="H96" s="19" t="n">
        <x:v>0.0001</x:v>
      </x:c>
      <x:c r="I96" s="10" t="n">
        <x:v>0.9542145741365771</x:v>
      </x:c>
      <x:c r="J96" s="10" t="n">
        <x:v>0.047984350472688675</x:v>
      </x:c>
      <x:c r="K96" s="12" t="n">
        <x:v>20</x:v>
      </x:c>
      <x:c r="L96" s="22" t="n">
        <x:v>42.02594214770943</x:v>
      </x:c>
      <x:c r="M96" s="20" t="str">
        <x:v>No</x:v>
      </x:c>
    </x:row>
    <x:row r="97" ht="22" customHeight="1">
      <x:c r="A97" s="15" t="str">
        <x:f>"07167500"</x:f>
        <x:v>07167500</x:v>
      </x:c>
      <x:c r="B97" s="12" t="n">
        <x:v>15</x:v>
      </x:c>
      <x:c r="C97" s="12" t="n">
        <x:v>42</x:v>
      </x:c>
      <x:c r="D97" s="12" t="n">
        <x:v>256</x:v>
      </x:c>
      <x:c r="E97" s="12" t="n">
        <x:v>2</x:v>
      </x:c>
      <x:c r="F97" s="19" t="n">
        <x:v>0.0016486457391280173</x:v>
      </x:c>
      <x:c r="G97" s="19" t="n">
        <x:v>0.3</x:v>
      </x:c>
      <x:c r="H97" s="19" t="n">
        <x:v>0.0001</x:v>
      </x:c>
      <x:c r="I97" s="10" t="n">
        <x:v>0.1346524237297283</x:v>
      </x:c>
      <x:c r="J97" s="10" t="n">
        <x:v>2.6060914993286133</x:v>
      </x:c>
      <x:c r="K97" s="12" t="n">
        <x:v>7</x:v>
      </x:c>
      <x:c r="L97" s="22" t="n">
        <x:v>42.09207998029888</x:v>
      </x:c>
      <x:c r="M97" s="20" t="str">
        <x:v>No</x:v>
      </x:c>
    </x:row>
    <x:row r="98" ht="22" customHeight="1">
      <x:c r="A98" s="15" t="str">
        <x:f>"11381500"</x:f>
        <x:v>11381500</x:v>
      </x:c>
      <x:c r="B98" s="12" t="n">
        <x:v>15</x:v>
      </x:c>
      <x:c r="C98" s="12" t="n">
        <x:v>42</x:v>
      </x:c>
      <x:c r="D98" s="12" t="n">
        <x:v>256</x:v>
      </x:c>
      <x:c r="E98" s="12" t="n">
        <x:v>2</x:v>
      </x:c>
      <x:c r="F98" s="19" t="n">
        <x:v>0.0016486457391280173</x:v>
      </x:c>
      <x:c r="G98" s="19" t="n">
        <x:v>0.3</x:v>
      </x:c>
      <x:c r="H98" s="19" t="n">
        <x:v>0.0001</x:v>
      </x:c>
      <x:c r="I98" s="10" t="n">
        <x:v>0.5486910925430468</x:v>
      </x:c>
      <x:c r="J98" s="10" t="n">
        <x:v>0.3143821656703949</x:v>
      </x:c>
      <x:c r="K98" s="12" t="n">
        <x:v>1</x:v>
      </x:c>
      <x:c r="L98" s="22" t="n">
        <x:v>42.153594283387065</x:v>
      </x:c>
      <x:c r="M98" s="20" t="str">
        <x:v>No</x:v>
      </x:c>
    </x:row>
    <x:row r="99" ht="22" customHeight="1">
      <x:c r="A99" s="15" t="str">
        <x:f>"12092000"</x:f>
        <x:v>12092000</x:v>
      </x:c>
      <x:c r="B99" s="12" t="n">
        <x:v>15</x:v>
      </x:c>
      <x:c r="C99" s="12" t="n">
        <x:v>42</x:v>
      </x:c>
      <x:c r="D99" s="12" t="n">
        <x:v>256</x:v>
      </x:c>
      <x:c r="E99" s="12" t="n">
        <x:v>2</x:v>
      </x:c>
      <x:c r="F99" s="19" t="n">
        <x:v>0.0016486457391280173</x:v>
      </x:c>
      <x:c r="G99" s="19" t="n">
        <x:v>0.3</x:v>
      </x:c>
      <x:c r="H99" s="19" t="n">
        <x:v>0.0001</x:v>
      </x:c>
      <x:c r="I99" s="10" t="n">
        <x:v>0.6859235141659115</x:v>
      </x:c>
      <x:c r="J99" s="10" t="n">
        <x:v>0.5698044896125793</x:v>
      </x:c>
      <x:c r="K99" s="12" t="n">
        <x:v>22</x:v>
      </x:c>
      <x:c r="L99" s="22" t="n">
        <x:v>42.064435542561114</x:v>
      </x:c>
      <x:c r="M99" s="20" t="str">
        <x:v>No</x:v>
      </x:c>
    </x:row>
    <x:row r="100" ht="22" customHeight="1">
      <x:c r="A100" s="15" t="str">
        <x:f>"04224775"</x:f>
        <x:v>04224775</x:v>
      </x:c>
      <x:c r="B100" s="12" t="n">
        <x:v>16</x:v>
      </x:c>
      <x:c r="C100" s="12" t="n">
        <x:v>42</x:v>
      </x:c>
      <x:c r="D100" s="12" t="n">
        <x:v>256</x:v>
      </x:c>
      <x:c r="E100" s="12" t="n">
        <x:v>2</x:v>
      </x:c>
      <x:c r="F100" s="19" t="n">
        <x:v>0.002988187087234459</x:v>
      </x:c>
      <x:c r="G100" s="19" t="n">
        <x:v>0</x:v>
      </x:c>
      <x:c r="H100" s="19" t="n">
        <x:v>0.0001</x:v>
      </x:c>
      <x:c r="I100" s="10" t="n">
        <x:v>0.5311519263420691</x:v>
      </x:c>
      <x:c r="J100" s="10" t="n">
        <x:v>0.5360283255577087</x:v>
      </x:c>
      <x:c r="K100" s="12" t="n">
        <x:v>5</x:v>
      </x:c>
      <x:c r="L100" s="22" t="n">
        <x:v>40.6349400151521</x:v>
      </x:c>
      <x:c r="M100" s="20" t="str">
        <x:v>No</x:v>
      </x:c>
    </x:row>
    <x:row r="101" ht="22" customHeight="1">
      <x:c r="A101" s="15" t="str">
        <x:f>"05291000"</x:f>
        <x:v>05291000</x:v>
      </x:c>
      <x:c r="B101" s="12" t="n">
        <x:v>16</x:v>
      </x:c>
      <x:c r="C101" s="12" t="n">
        <x:v>42</x:v>
      </x:c>
      <x:c r="D101" s="12" t="n">
        <x:v>256</x:v>
      </x:c>
      <x:c r="E101" s="12" t="n">
        <x:v>2</x:v>
      </x:c>
      <x:c r="F101" s="19" t="n">
        <x:v>0.002988187087234459</x:v>
      </x:c>
      <x:c r="G101" s="19" t="n">
        <x:v>0</x:v>
      </x:c>
      <x:c r="H101" s="19" t="n">
        <x:v>0.0001</x:v>
      </x:c>
      <x:c r="I101" s="10" t="n">
        <x:v>0.7864286796480852</x:v>
      </x:c>
      <x:c r="J101" s="10" t="n">
        <x:v>0.22885365784168243</x:v>
      </x:c>
      <x:c r="K101" s="12" t="n">
        <x:v>23</x:v>
      </x:c>
      <x:c r="L101" s="22" t="n">
        <x:v>40.497685914859176</x:v>
      </x:c>
      <x:c r="M101" s="20" t="str">
        <x:v>No</x:v>
      </x:c>
    </x:row>
    <x:row r="102" ht="22" customHeight="1">
      <x:c r="A102" s="15" t="str">
        <x:f>"06278300"</x:f>
        <x:v>06278300</x:v>
      </x:c>
      <x:c r="B102" s="12" t="n">
        <x:v>16</x:v>
      </x:c>
      <x:c r="C102" s="12" t="n">
        <x:v>42</x:v>
      </x:c>
      <x:c r="D102" s="12" t="n">
        <x:v>256</x:v>
      </x:c>
      <x:c r="E102" s="12" t="n">
        <x:v>2</x:v>
      </x:c>
      <x:c r="F102" s="19" t="n">
        <x:v>0.002988187087234459</x:v>
      </x:c>
      <x:c r="G102" s="19" t="n">
        <x:v>0</x:v>
      </x:c>
      <x:c r="H102" s="19" t="n">
        <x:v>0.0001</x:v>
      </x:c>
      <x:c r="I102" s="10" t="n">
        <x:v>0.9586237049518129</x:v>
      </x:c>
      <x:c r="J102" s="10" t="n">
        <x:v>0.043363459408283234</x:v>
      </x:c>
      <x:c r="K102" s="12" t="n">
        <x:v>25</x:v>
      </x:c>
      <x:c r="L102" s="22" t="n">
        <x:v>40.44812646135688</x:v>
      </x:c>
      <x:c r="M102" s="20" t="str">
        <x:v>No</x:v>
      </x:c>
    </x:row>
    <x:row r="103" ht="22" customHeight="1">
      <x:c r="A103" s="15" t="str">
        <x:f>"07167500"</x:f>
        <x:v>07167500</x:v>
      </x:c>
      <x:c r="B103" s="12" t="n">
        <x:v>16</x:v>
      </x:c>
      <x:c r="C103" s="12" t="n">
        <x:v>42</x:v>
      </x:c>
      <x:c r="D103" s="12" t="n">
        <x:v>256</x:v>
      </x:c>
      <x:c r="E103" s="12" t="n">
        <x:v>2</x:v>
      </x:c>
      <x:c r="F103" s="19" t="n">
        <x:v>0.002988187087234459</x:v>
      </x:c>
      <x:c r="G103" s="19" t="n">
        <x:v>0</x:v>
      </x:c>
      <x:c r="H103" s="19" t="n">
        <x:v>0.0001</x:v>
      </x:c>
      <x:c r="I103" s="10" t="n">
        <x:v>0.14839041505985884</x:v>
      </x:c>
      <x:c r="J103" s="10" t="n">
        <x:v>2.5647177696228027</x:v>
      </x:c>
      <x:c r="K103" s="12" t="n">
        <x:v>5</x:v>
      </x:c>
      <x:c r="L103" s="22" t="n">
        <x:v>40.630117057822645</x:v>
      </x:c>
      <x:c r="M103" s="20" t="str">
        <x:v>No</x:v>
      </x:c>
    </x:row>
    <x:row r="104" ht="22" customHeight="1">
      <x:c r="A104" s="15" t="str">
        <x:f>"11381500"</x:f>
        <x:v>11381500</x:v>
      </x:c>
      <x:c r="B104" s="12" t="n">
        <x:v>16</x:v>
      </x:c>
      <x:c r="C104" s="12" t="n">
        <x:v>42</x:v>
      </x:c>
      <x:c r="D104" s="12" t="n">
        <x:v>256</x:v>
      </x:c>
      <x:c r="E104" s="12" t="n">
        <x:v>2</x:v>
      </x:c>
      <x:c r="F104" s="19" t="n">
        <x:v>0.002988187087234459</x:v>
      </x:c>
      <x:c r="G104" s="19" t="n">
        <x:v>0</x:v>
      </x:c>
      <x:c r="H104" s="19" t="n">
        <x:v>0.0001</x:v>
      </x:c>
      <x:c r="I104" s="10" t="n">
        <x:v>0.5618388480431451</x:v>
      </x:c>
      <x:c r="J104" s="10" t="n">
        <x:v>0.3052234947681427</x:v>
      </x:c>
      <x:c r="K104" s="12" t="n">
        <x:v>5</x:v>
      </x:c>
      <x:c r="L104" s="22" t="n">
        <x:v>40.637999662198126</x:v>
      </x:c>
      <x:c r="M104" s="20" t="str">
        <x:v>No</x:v>
      </x:c>
    </x:row>
    <x:row r="105" ht="22" customHeight="1">
      <x:c r="A105" s="15" t="str">
        <x:f>"12092000"</x:f>
        <x:v>12092000</x:v>
      </x:c>
      <x:c r="B105" s="12" t="n">
        <x:v>16</x:v>
      </x:c>
      <x:c r="C105" s="12" t="n">
        <x:v>42</x:v>
      </x:c>
      <x:c r="D105" s="12" t="n">
        <x:v>256</x:v>
      </x:c>
      <x:c r="E105" s="12" t="n">
        <x:v>2</x:v>
      </x:c>
      <x:c r="F105" s="19" t="n">
        <x:v>0.002988187087234459</x:v>
      </x:c>
      <x:c r="G105" s="19" t="n">
        <x:v>0</x:v>
      </x:c>
      <x:c r="H105" s="19" t="n">
        <x:v>0.0001</x:v>
      </x:c>
      <x:c r="I105" s="10" t="n">
        <x:v>0.6927046067215407</x:v>
      </x:c>
      <x:c r="J105" s="10" t="n">
        <x:v>0.5575020909309387</x:v>
      </x:c>
      <x:c r="K105" s="12" t="n">
        <x:v>21</x:v>
      </x:c>
      <x:c r="L105" s="22" t="n">
        <x:v>40.64515186101198</x:v>
      </x:c>
      <x:c r="M105" s="20" t="str">
        <x:v>No</x:v>
      </x:c>
    </x:row>
    <x:row r="106" ht="22" customHeight="1">
      <x:c r="A106" s="15" t="str">
        <x:f>"04224775"</x:f>
        <x:v>04224775</x:v>
      </x:c>
      <x:c r="B106" s="12" t="n">
        <x:v>17</x:v>
      </x:c>
      <x:c r="C106" s="12" t="n">
        <x:v>42</x:v>
      </x:c>
      <x:c r="D106" s="12" t="n">
        <x:v>256</x:v>
      </x:c>
      <x:c r="E106" s="12" t="n">
        <x:v>2</x:v>
      </x:c>
      <x:c r="F106" s="19" t="n">
        <x:v>0.002713975339231919</x:v>
      </x:c>
      <x:c r="G106" s="19" t="n">
        <x:v>0</x:v>
      </x:c>
      <x:c r="H106" s="19" t="n">
        <x:v>0.0001</x:v>
      </x:c>
      <x:c r="I106" s="10" t="n">
        <x:v>0.5295598433779927</x:v>
      </x:c>
      <x:c r="J106" s="10" t="n">
        <x:v>0.5378484725952148</x:v>
      </x:c>
      <x:c r="K106" s="12" t="n">
        <x:v>5</x:v>
      </x:c>
      <x:c r="L106" s="22" t="n">
        <x:v>40.62870090454817</x:v>
      </x:c>
      <x:c r="M106" s="20" t="str">
        <x:v>Yes</x:v>
      </x:c>
    </x:row>
    <x:row r="107" ht="22" customHeight="1">
      <x:c r="A107" s="15" t="str">
        <x:f>"05291000"</x:f>
        <x:v>05291000</x:v>
      </x:c>
      <x:c r="B107" s="12" t="n">
        <x:v>17</x:v>
      </x:c>
      <x:c r="C107" s="12" t="n">
        <x:v>42</x:v>
      </x:c>
      <x:c r="D107" s="12" t="n">
        <x:v>256</x:v>
      </x:c>
      <x:c r="E107" s="12" t="n">
        <x:v>2</x:v>
      </x:c>
      <x:c r="F107" s="19" t="n">
        <x:v>0.002713975339231919</x:v>
      </x:c>
      <x:c r="G107" s="19" t="n">
        <x:v>0</x:v>
      </x:c>
      <x:c r="H107" s="19" t="n">
        <x:v>0.0001</x:v>
      </x:c>
      <x:c r="I107" s="10" t="n">
        <x:v>0.8024810657360907</x:v>
      </x:c>
      <x:c r="J107" s="10" t="n">
        <x:v>0.21165259182453156</x:v>
      </x:c>
      <x:c r="K107" s="12" t="n">
        <x:v>15</x:v>
      </x:c>
      <x:c r="L107" s="22" t="n">
        <x:v>40.630630317144096</x:v>
      </x:c>
      <x:c r="M107" s="20" t="str">
        <x:v>Yes</x:v>
      </x:c>
    </x:row>
    <x:row r="108" ht="22" customHeight="1">
      <x:c r="A108" s="15" t="str">
        <x:f>"06278300"</x:f>
        <x:v>06278300</x:v>
      </x:c>
      <x:c r="B108" s="12" t="n">
        <x:v>17</x:v>
      </x:c>
      <x:c r="C108" s="12" t="n">
        <x:v>42</x:v>
      </x:c>
      <x:c r="D108" s="12" t="n">
        <x:v>256</x:v>
      </x:c>
      <x:c r="E108" s="12" t="n">
        <x:v>2</x:v>
      </x:c>
      <x:c r="F108" s="19" t="n">
        <x:v>0.002713975339231919</x:v>
      </x:c>
      <x:c r="G108" s="19" t="n">
        <x:v>0</x:v>
      </x:c>
      <x:c r="H108" s="19" t="n">
        <x:v>0.0001</x:v>
      </x:c>
      <x:c r="I108" s="10" t="n">
        <x:v>0.9594618978071839</x:v>
      </x:c>
      <x:c r="J108" s="10" t="n">
        <x:v>0.042485013604164124</x:v>
      </x:c>
      <x:c r="K108" s="12" t="n">
        <x:v>23</x:v>
      </x:c>
      <x:c r="L108" s="22" t="n">
        <x:v>40.47477218415588</x:v>
      </x:c>
      <x:c r="M108" s="20" t="str">
        <x:v>Yes</x:v>
      </x:c>
    </x:row>
    <x:row r="109" ht="22" customHeight="1">
      <x:c r="A109" s="15" t="str">
        <x:f>"07167500"</x:f>
        <x:v>07167500</x:v>
      </x:c>
      <x:c r="B109" s="12" t="n">
        <x:v>17</x:v>
      </x:c>
      <x:c r="C109" s="12" t="n">
        <x:v>42</x:v>
      </x:c>
      <x:c r="D109" s="12" t="n">
        <x:v>256</x:v>
      </x:c>
      <x:c r="E109" s="12" t="n">
        <x:v>2</x:v>
      </x:c>
      <x:c r="F109" s="19" t="n">
        <x:v>0.002713975339231919</x:v>
      </x:c>
      <x:c r="G109" s="19" t="n">
        <x:v>0</x:v>
      </x:c>
      <x:c r="H109" s="19" t="n">
        <x:v>0.0001</x:v>
      </x:c>
      <x:c r="I109" s="10" t="n">
        <x:v>0.14531863610711593</x:v>
      </x:c>
      <x:c r="J109" s="10" t="n">
        <x:v>2.5739686489105225</x:v>
      </x:c>
      <x:c r="K109" s="12" t="n">
        <x:v>5</x:v>
      </x:c>
      <x:c r="L109" s="22" t="n">
        <x:v>40.632472353987396</x:v>
      </x:c>
      <x:c r="M109" s="20" t="str">
        <x:v>Yes</x:v>
      </x:c>
    </x:row>
    <x:row r="110" ht="22" customHeight="1">
      <x:c r="A110" s="15" t="str">
        <x:f>"11381500"</x:f>
        <x:v>11381500</x:v>
      </x:c>
      <x:c r="B110" s="12" t="n">
        <x:v>17</x:v>
      </x:c>
      <x:c r="C110" s="12" t="n">
        <x:v>42</x:v>
      </x:c>
      <x:c r="D110" s="12" t="n">
        <x:v>256</x:v>
      </x:c>
      <x:c r="E110" s="12" t="n">
        <x:v>2</x:v>
      </x:c>
      <x:c r="F110" s="19" t="n">
        <x:v>0.002713975339231919</x:v>
      </x:c>
      <x:c r="G110" s="19" t="n">
        <x:v>0</x:v>
      </x:c>
      <x:c r="H110" s="19" t="n">
        <x:v>0.0001</x:v>
      </x:c>
      <x:c r="I110" s="10" t="n">
        <x:v>0.5591796085727729</x:v>
      </x:c>
      <x:c r="J110" s="10" t="n">
        <x:v>0.3070758581161499</x:v>
      </x:c>
      <x:c r="K110" s="12" t="n">
        <x:v>5</x:v>
      </x:c>
      <x:c r="L110" s="22" t="n">
        <x:v>40.62138996087015</x:v>
      </x:c>
      <x:c r="M110" s="20" t="str">
        <x:v>Yes</x:v>
      </x:c>
    </x:row>
    <x:row r="111" ht="22" customHeight="1">
      <x:c r="A111" s="15" t="str">
        <x:f>"12092000"</x:f>
        <x:v>12092000</x:v>
      </x:c>
      <x:c r="B111" s="12" t="n">
        <x:v>17</x:v>
      </x:c>
      <x:c r="C111" s="12" t="n">
        <x:v>42</x:v>
      </x:c>
      <x:c r="D111" s="12" t="n">
        <x:v>256</x:v>
      </x:c>
      <x:c r="E111" s="12" t="n">
        <x:v>2</x:v>
      </x:c>
      <x:c r="F111" s="19" t="n">
        <x:v>0.002713975339231919</x:v>
      </x:c>
      <x:c r="G111" s="19" t="n">
        <x:v>0</x:v>
      </x:c>
      <x:c r="H111" s="19" t="n">
        <x:v>0.0001</x:v>
      </x:c>
      <x:c r="I111" s="10" t="n">
        <x:v>0.6977196025882229</x:v>
      </x:c>
      <x:c r="J111" s="10" t="n">
        <x:v>0.5484037399291992</x:v>
      </x:c>
      <x:c r="K111" s="12" t="n">
        <x:v>22</x:v>
      </x:c>
      <x:c r="L111" s="22" t="n">
        <x:v>40.6397934500128</x:v>
      </x:c>
      <x:c r="M111" s="20" t="str">
        <x:v>Yes</x:v>
      </x:c>
    </x:row>
    <x:row r="112" ht="22" customHeight="1">
      <x:c r="A112" s="15" t="str">
        <x:f>"04224775"</x:f>
        <x:v>04224775</x:v>
      </x:c>
      <x:c r="B112" s="12" t="n">
        <x:v>18</x:v>
      </x:c>
      <x:c r="C112" s="12" t="n">
        <x:v>42</x:v>
      </x:c>
      <x:c r="D112" s="12" t="n">
        <x:v>256</x:v>
      </x:c>
      <x:c r="E112" s="12" t="n">
        <x:v>1</x:v>
      </x:c>
      <x:c r="F112" s="19" t="n">
        <x:v>0.0014245126119002381</x:v>
      </x:c>
      <x:c r="G112" s="19" t="n">
        <x:v>0</x:v>
      </x:c>
      <x:c r="H112" s="19" t="n">
        <x:v>0.0001</x:v>
      </x:c>
      <x:c r="I112" s="10" t="n">
        <x:v>0.5187711663098177</x:v>
      </x:c>
      <x:c r="J112" s="10" t="n">
        <x:v>0.5501830577850342</x:v>
      </x:c>
      <x:c r="K112" s="12" t="n">
        <x:v>9</x:v>
      </x:c>
      <x:c r="L112" s="22" t="n">
        <x:v>25.710163806565106</x:v>
      </x:c>
      <x:c r="M112" s="20" t="str">
        <x:v>No</x:v>
      </x:c>
    </x:row>
    <x:row r="113" ht="22" customHeight="1">
      <x:c r="A113" s="15" t="str">
        <x:f>"05291000"</x:f>
        <x:v>05291000</x:v>
      </x:c>
      <x:c r="B113" s="12" t="n">
        <x:v>18</x:v>
      </x:c>
      <x:c r="C113" s="12" t="n">
        <x:v>42</x:v>
      </x:c>
      <x:c r="D113" s="12" t="n">
        <x:v>256</x:v>
      </x:c>
      <x:c r="E113" s="12" t="n">
        <x:v>1</x:v>
      </x:c>
      <x:c r="F113" s="19" t="n">
        <x:v>0.0014245126119002381</x:v>
      </x:c>
      <x:c r="G113" s="19" t="n">
        <x:v>0</x:v>
      </x:c>
      <x:c r="H113" s="19" t="n">
        <x:v>0.0001</x:v>
      </x:c>
      <x:c r="I113" s="10" t="n">
        <x:v>0.7407266470574059</x:v>
      </x:c>
      <x:c r="J113" s="10" t="n">
        <x:v>0.2778259217739105</x:v>
      </x:c>
      <x:c r="K113" s="12" t="n">
        <x:v>14</x:v>
      </x:c>
      <x:c r="L113" s="22" t="n">
        <x:v>25.71611918695271</x:v>
      </x:c>
      <x:c r="M113" s="20" t="str">
        <x:v>No</x:v>
      </x:c>
    </x:row>
    <x:row r="114" ht="22" customHeight="1">
      <x:c r="A114" s="15" t="str">
        <x:f>"06278300"</x:f>
        <x:v>06278300</x:v>
      </x:c>
      <x:c r="B114" s="12" t="n">
        <x:v>18</x:v>
      </x:c>
      <x:c r="C114" s="12" t="n">
        <x:v>42</x:v>
      </x:c>
      <x:c r="D114" s="12" t="n">
        <x:v>256</x:v>
      </x:c>
      <x:c r="E114" s="12" t="n">
        <x:v>1</x:v>
      </x:c>
      <x:c r="F114" s="19" t="n">
        <x:v>0.0014245126119002381</x:v>
      </x:c>
      <x:c r="G114" s="19" t="n">
        <x:v>0</x:v>
      </x:c>
      <x:c r="H114" s="19" t="n">
        <x:v>0.0001</x:v>
      </x:c>
      <x:c r="I114" s="10" t="n">
        <x:v>0.955372867916013</x:v>
      </x:c>
      <x:c r="J114" s="10" t="n">
        <x:v>0.04677042365074158</x:v>
      </x:c>
      <x:c r="K114" s="12" t="n">
        <x:v>11</x:v>
      </x:c>
      <x:c r="L114" s="22" t="n">
        <x:v>25.660630729980767</x:v>
      </x:c>
      <x:c r="M114" s="20" t="str">
        <x:v>No</x:v>
      </x:c>
    </x:row>
    <x:row r="115" ht="22" customHeight="1">
      <x:c r="A115" s="15" t="str">
        <x:f>"07167500"</x:f>
        <x:v>07167500</x:v>
      </x:c>
      <x:c r="B115" s="12" t="n">
        <x:v>18</x:v>
      </x:c>
      <x:c r="C115" s="12" t="n">
        <x:v>42</x:v>
      </x:c>
      <x:c r="D115" s="12" t="n">
        <x:v>256</x:v>
      </x:c>
      <x:c r="E115" s="12" t="n">
        <x:v>1</x:v>
      </x:c>
      <x:c r="F115" s="19" t="n">
        <x:v>0.0014245126119002381</x:v>
      </x:c>
      <x:c r="G115" s="19" t="n">
        <x:v>0</x:v>
      </x:c>
      <x:c r="H115" s="19" t="n">
        <x:v>0.0001</x:v>
      </x:c>
      <x:c r="I115" s="10" t="n">
        <x:v>0.13569974973263144</x:v>
      </x:c>
      <x:c r="J115" s="10" t="n">
        <x:v>2.602937698364258</x:v>
      </x:c>
      <x:c r="K115" s="12" t="n">
        <x:v>5</x:v>
      </x:c>
      <x:c r="L115" s="22" t="n">
        <x:v>25.69873864389956</x:v>
      </x:c>
      <x:c r="M115" s="20" t="str">
        <x:v>No</x:v>
      </x:c>
    </x:row>
    <x:row r="116" ht="22" customHeight="1">
      <x:c r="A116" s="15" t="str">
        <x:f>"11381500"</x:f>
        <x:v>11381500</x:v>
      </x:c>
      <x:c r="B116" s="12" t="n">
        <x:v>18</x:v>
      </x:c>
      <x:c r="C116" s="12" t="n">
        <x:v>42</x:v>
      </x:c>
      <x:c r="D116" s="12" t="n">
        <x:v>256</x:v>
      </x:c>
      <x:c r="E116" s="12" t="n">
        <x:v>1</x:v>
      </x:c>
      <x:c r="F116" s="19" t="n">
        <x:v>0.0014245126119002381</x:v>
      </x:c>
      <x:c r="G116" s="19" t="n">
        <x:v>0</x:v>
      </x:c>
      <x:c r="H116" s="19" t="n">
        <x:v>0.0001</x:v>
      </x:c>
      <x:c r="I116" s="10" t="n">
        <x:v>0.553144897980484</x:v>
      </x:c>
      <x:c r="J116" s="10" t="n">
        <x:v>0.31127965450286865</x:v>
      </x:c>
      <x:c r="K116" s="12" t="n">
        <x:v>1</x:v>
      </x:c>
      <x:c r="L116" s="22" t="n">
        <x:v>25.712290639057755</x:v>
      </x:c>
      <x:c r="M116" s="20" t="str">
        <x:v>No</x:v>
      </x:c>
    </x:row>
    <x:row r="117" ht="22" customHeight="1">
      <x:c r="A117" s="15" t="str">
        <x:f>"12092000"</x:f>
        <x:v>12092000</x:v>
      </x:c>
      <x:c r="B117" s="12" t="n">
        <x:v>18</x:v>
      </x:c>
      <x:c r="C117" s="12" t="n">
        <x:v>42</x:v>
      </x:c>
      <x:c r="D117" s="12" t="n">
        <x:v>256</x:v>
      </x:c>
      <x:c r="E117" s="12" t="n">
        <x:v>1</x:v>
      </x:c>
      <x:c r="F117" s="19" t="n">
        <x:v>0.0014245126119002381</x:v>
      </x:c>
      <x:c r="G117" s="19" t="n">
        <x:v>0</x:v>
      </x:c>
      <x:c r="H117" s="19" t="n">
        <x:v>0.0001</x:v>
      </x:c>
      <x:c r="I117" s="10" t="n">
        <x:v>0.6724754460617941</x:v>
      </x:c>
      <x:c r="J117" s="10" t="n">
        <x:v>0.5942022800445557</x:v>
      </x:c>
      <x:c r="K117" s="12" t="n">
        <x:v>22</x:v>
      </x:c>
      <x:c r="L117" s="22" t="n">
        <x:v>25.67780253943056</x:v>
      </x:c>
      <x:c r="M117" s="20" t="str">
        <x:v>No</x:v>
      </x:c>
    </x:row>
    <x:row r="118" ht="22" customHeight="1">
      <x:c r="A118" s="15" t="str">
        <x:f>"04224775"</x:f>
        <x:v>04224775</x:v>
      </x:c>
      <x:c r="B118" s="12" t="n">
        <x:v>19</x:v>
      </x:c>
      <x:c r="C118" s="12" t="n">
        <x:v>42</x:v>
      </x:c>
      <x:c r="D118" s="12" t="n">
        <x:v>256</x:v>
      </x:c>
      <x:c r="E118" s="12" t="n">
        <x:v>1</x:v>
      </x:c>
      <x:c r="F118" s="19" t="n">
        <x:v>0.001434658135946995</x:v>
      </x:c>
      <x:c r="G118" s="19" t="n">
        <x:v>0</x:v>
      </x:c>
      <x:c r="H118" s="19" t="n">
        <x:v>0.0001</x:v>
      </x:c>
      <x:c r="I118" s="10" t="n">
        <x:v>0.5189545586467714</x:v>
      </x:c>
      <x:c r="J118" s="10" t="n">
        <x:v>0.5499733686447144</x:v>
      </x:c>
      <x:c r="K118" s="12" t="n">
        <x:v>9</x:v>
      </x:c>
      <x:c r="L118" s="22" t="n">
        <x:v>25.679342657327652</x:v>
      </x:c>
      <x:c r="M118" s="20" t="str">
        <x:v>No</x:v>
      </x:c>
    </x:row>
    <x:row r="119" ht="22" customHeight="1">
      <x:c r="A119" s="15" t="str">
        <x:f>"05291000"</x:f>
        <x:v>05291000</x:v>
      </x:c>
      <x:c r="B119" s="12" t="n">
        <x:v>19</x:v>
      </x:c>
      <x:c r="C119" s="12" t="n">
        <x:v>42</x:v>
      </x:c>
      <x:c r="D119" s="12" t="n">
        <x:v>256</x:v>
      </x:c>
      <x:c r="E119" s="12" t="n">
        <x:v>1</x:v>
      </x:c>
      <x:c r="F119" s="19" t="n">
        <x:v>0.001434658135946995</x:v>
      </x:c>
      <x:c r="G119" s="19" t="n">
        <x:v>0</x:v>
      </x:c>
      <x:c r="H119" s="19" t="n">
        <x:v>0.0001</x:v>
      </x:c>
      <x:c r="I119" s="10" t="n">
        <x:v>0.7490174438357793</x:v>
      </x:c>
      <x:c r="J119" s="10" t="n">
        <x:v>0.26894187927246094</x:v>
      </x:c>
      <x:c r="K119" s="12" t="n">
        <x:v>26</x:v>
      </x:c>
      <x:c r="L119" s="22" t="n">
        <x:v>25.6528551960364</x:v>
      </x:c>
      <x:c r="M119" s="20" t="str">
        <x:v>No</x:v>
      </x:c>
    </x:row>
    <x:row r="120" ht="22" customHeight="1">
      <x:c r="A120" s="15" t="str">
        <x:f>"06278300"</x:f>
        <x:v>06278300</x:v>
      </x:c>
      <x:c r="B120" s="12" t="n">
        <x:v>19</x:v>
      </x:c>
      <x:c r="C120" s="12" t="n">
        <x:v>42</x:v>
      </x:c>
      <x:c r="D120" s="12" t="n">
        <x:v>256</x:v>
      </x:c>
      <x:c r="E120" s="12" t="n">
        <x:v>1</x:v>
      </x:c>
      <x:c r="F120" s="19" t="n">
        <x:v>0.001434658135946995</x:v>
      </x:c>
      <x:c r="G120" s="19" t="n">
        <x:v>0</x:v>
      </x:c>
      <x:c r="H120" s="19" t="n">
        <x:v>0.0001</x:v>
      </x:c>
      <x:c r="I120" s="10" t="n">
        <x:v>0.955336510770094</x:v>
      </x:c>
      <x:c r="J120" s="10" t="n">
        <x:v>0.046808525919914246</x:v>
      </x:c>
      <x:c r="K120" s="12" t="n">
        <x:v>11</x:v>
      </x:c>
      <x:c r="L120" s="22" t="n">
        <x:v>25.694579199887812</x:v>
      </x:c>
      <x:c r="M120" s="20" t="str">
        <x:v>No</x:v>
      </x:c>
    </x:row>
    <x:row r="121" ht="22" customHeight="1">
      <x:c r="A121" s="15" t="str">
        <x:f>"07167500"</x:f>
        <x:v>07167500</x:v>
      </x:c>
      <x:c r="B121" s="12" t="n">
        <x:v>19</x:v>
      </x:c>
      <x:c r="C121" s="12" t="n">
        <x:v>42</x:v>
      </x:c>
      <x:c r="D121" s="12" t="n">
        <x:v>256</x:v>
      </x:c>
      <x:c r="E121" s="12" t="n">
        <x:v>1</x:v>
      </x:c>
      <x:c r="F121" s="19" t="n">
        <x:v>0.001434658135946995</x:v>
      </x:c>
      <x:c r="G121" s="19" t="n">
        <x:v>0</x:v>
      </x:c>
      <x:c r="H121" s="19" t="n">
        <x:v>0.0001</x:v>
      </x:c>
      <x:c r="I121" s="10" t="n">
        <x:v>0.13560493371910254</x:v>
      </x:c>
      <x:c r="J121" s="10" t="n">
        <x:v>2.6032230854034424</x:v>
      </x:c>
      <x:c r="K121" s="12" t="n">
        <x:v>5</x:v>
      </x:c>
      <x:c r="L121" s="22" t="n">
        <x:v>25.72838757187128</x:v>
      </x:c>
      <x:c r="M121" s="20" t="str">
        <x:v>No</x:v>
      </x:c>
    </x:row>
    <x:row r="122" ht="22" customHeight="1">
      <x:c r="A122" s="15" t="str">
        <x:f>"11381500"</x:f>
        <x:v>11381500</x:v>
      </x:c>
      <x:c r="B122" s="12" t="n">
        <x:v>19</x:v>
      </x:c>
      <x:c r="C122" s="12" t="n">
        <x:v>42</x:v>
      </x:c>
      <x:c r="D122" s="12" t="n">
        <x:v>256</x:v>
      </x:c>
      <x:c r="E122" s="12" t="n">
        <x:v>1</x:v>
      </x:c>
      <x:c r="F122" s="19" t="n">
        <x:v>0.001434658135946995</x:v>
      </x:c>
      <x:c r="G122" s="19" t="n">
        <x:v>0</x:v>
      </x:c>
      <x:c r="H122" s="19" t="n">
        <x:v>0.0001</x:v>
      </x:c>
      <x:c r="I122" s="10" t="n">
        <x:v>0.5532358028343912</x:v>
      </x:c>
      <x:c r="J122" s="10" t="n">
        <x:v>0.3112163245677948</x:v>
      </x:c>
      <x:c r="K122" s="12" t="n">
        <x:v>1</x:v>
      </x:c>
      <x:c r="L122" s="22" t="n">
        <x:v>25.70756837539375</x:v>
      </x:c>
      <x:c r="M122" s="20" t="str">
        <x:v>No</x:v>
      </x:c>
    </x:row>
    <x:row r="123" ht="22" customHeight="1">
      <x:c r="A123" s="15" t="str">
        <x:f>"12092000"</x:f>
        <x:v>12092000</x:v>
      </x:c>
      <x:c r="B123" s="12" t="n">
        <x:v>19</x:v>
      </x:c>
      <x:c r="C123" s="12" t="n">
        <x:v>42</x:v>
      </x:c>
      <x:c r="D123" s="12" t="n">
        <x:v>256</x:v>
      </x:c>
      <x:c r="E123" s="12" t="n">
        <x:v>1</x:v>
      </x:c>
      <x:c r="F123" s="19" t="n">
        <x:v>0.001434658135946995</x:v>
      </x:c>
      <x:c r="G123" s="19" t="n">
        <x:v>0</x:v>
      </x:c>
      <x:c r="H123" s="19" t="n">
        <x:v>0.0001</x:v>
      </x:c>
      <x:c r="I123" s="10" t="n">
        <x:v>0.6792716925158997</x:v>
      </x:c>
      <x:c r="J123" s="10" t="n">
        <x:v>0.5818724036216736</x:v>
      </x:c>
      <x:c r="K123" s="12" t="n">
        <x:v>22</x:v>
      </x:c>
      <x:c r="L123" s="22" t="n">
        <x:v>25.637465342879295</x:v>
      </x:c>
      <x:c r="M123" s="20" t="str">
        <x:v>No</x:v>
      </x:c>
    </x:row>
    <x:row r="124" ht="22" customHeight="1">
      <x:c r="A124" s="15" t="str">
        <x:f>"04224775"</x:f>
        <x:v>04224775</x:v>
      </x:c>
      <x:c r="B124" s="12" t="n">
        <x:v>20</x:v>
      </x:c>
      <x:c r="C124" s="12" t="n">
        <x:v>42</x:v>
      </x:c>
      <x:c r="D124" s="12" t="n">
        <x:v>32</x:v>
      </x:c>
      <x:c r="E124" s="12" t="n">
        <x:v>2</x:v>
      </x:c>
      <x:c r="F124" s="19" t="n">
        <x:v>0.0006339007815048592</x:v>
      </x:c>
      <x:c r="G124" s="19" t="n">
        <x:v>0</x:v>
      </x:c>
      <x:c r="H124" s="19" t="n">
        <x:v>0</x:v>
      </x:c>
      <x:c r="I124" s="10" t="n">
        <x:v>0.5213805454364656</x:v>
      </x:c>
      <x:c r="J124" s="10" t="n">
        <x:v>0.5471997857093811</x:v>
      </x:c>
      <x:c r="K124" s="12" t="n">
        <x:v>29</x:v>
      </x:c>
      <x:c r="L124" s="22" t="n">
        <x:v>20.24063930194825</x:v>
      </x:c>
      <x:c r="M124" s="20" t="str">
        <x:v>No</x:v>
      </x:c>
    </x:row>
    <x:row r="125" ht="22" customHeight="1">
      <x:c r="A125" s="15" t="str">
        <x:f>"05291000"</x:f>
        <x:v>05291000</x:v>
      </x:c>
      <x:c r="B125" s="12" t="n">
        <x:v>20</x:v>
      </x:c>
      <x:c r="C125" s="12" t="n">
        <x:v>42</x:v>
      </x:c>
      <x:c r="D125" s="12" t="n">
        <x:v>32</x:v>
      </x:c>
      <x:c r="E125" s="12" t="n">
        <x:v>2</x:v>
      </x:c>
      <x:c r="F125" s="19" t="n">
        <x:v>0.0006339007815048592</x:v>
      </x:c>
      <x:c r="G125" s="19" t="n">
        <x:v>0</x:v>
      </x:c>
      <x:c r="H125" s="19" t="n">
        <x:v>0</x:v>
      </x:c>
      <x:c r="I125" s="10" t="n">
        <x:v>0.7100636640632446</x:v>
      </x:c>
      <x:c r="J125" s="10" t="n">
        <x:v>0.3106830418109894</x:v>
      </x:c>
      <x:c r="K125" s="12" t="n">
        <x:v>28</x:v>
      </x:c>
      <x:c r="L125" s="22" t="n">
        <x:v>20.394291722215712</x:v>
      </x:c>
      <x:c r="M125" s="20" t="str">
        <x:v>No</x:v>
      </x:c>
    </x:row>
    <x:row r="126" ht="22" customHeight="1">
      <x:c r="A126" s="15" t="str">
        <x:f>"06278300"</x:f>
        <x:v>06278300</x:v>
      </x:c>
      <x:c r="B126" s="12" t="n">
        <x:v>20</x:v>
      </x:c>
      <x:c r="C126" s="12" t="n">
        <x:v>42</x:v>
      </x:c>
      <x:c r="D126" s="12" t="n">
        <x:v>32</x:v>
      </x:c>
      <x:c r="E126" s="12" t="n">
        <x:v>2</x:v>
      </x:c>
      <x:c r="F126" s="19" t="n">
        <x:v>0.0006339007815048592</x:v>
      </x:c>
      <x:c r="G126" s="19" t="n">
        <x:v>0</x:v>
      </x:c>
      <x:c r="H126" s="19" t="n">
        <x:v>0</x:v>
      </x:c>
      <x:c r="I126" s="10" t="n">
        <x:v>0.954606590090146</x:v>
      </x:c>
      <x:c r="J126" s="10" t="n">
        <x:v>0.047573503106832504</x:v>
      </x:c>
      <x:c r="K126" s="12" t="n">
        <x:v>23</x:v>
      </x:c>
      <x:c r="L126" s="22" t="n">
        <x:v>19.800328951328993</x:v>
      </x:c>
      <x:c r="M126" s="20" t="str">
        <x:v>No</x:v>
      </x:c>
    </x:row>
    <x:row r="127" ht="22" customHeight="1">
      <x:c r="A127" s="15" t="str">
        <x:f>"07167500"</x:f>
        <x:v>07167500</x:v>
      </x:c>
      <x:c r="B127" s="12" t="n">
        <x:v>20</x:v>
      </x:c>
      <x:c r="C127" s="12" t="n">
        <x:v>42</x:v>
      </x:c>
      <x:c r="D127" s="12" t="n">
        <x:v>32</x:v>
      </x:c>
      <x:c r="E127" s="12" t="n">
        <x:v>2</x:v>
      </x:c>
      <x:c r="F127" s="19" t="n">
        <x:v>0.0006339007815048592</x:v>
      </x:c>
      <x:c r="G127" s="19" t="n">
        <x:v>0</x:v>
      </x:c>
      <x:c r="H127" s="19" t="n">
        <x:v>0</x:v>
      </x:c>
      <x:c r="I127" s="10" t="n">
        <x:v>0.1458881867431947</x:v>
      </x:c>
      <x:c r="J127" s="10" t="n">
        <x:v>2.572253942489624</x:v>
      </x:c>
      <x:c r="K127" s="12" t="n">
        <x:v>18</x:v>
      </x:c>
      <x:c r="L127" s="22" t="n">
        <x:v>20.24586230609566</x:v>
      </x:c>
      <x:c r="M127" s="20" t="str">
        <x:v>No</x:v>
      </x:c>
    </x:row>
    <x:row r="128" ht="22" customHeight="1">
      <x:c r="A128" s="15" t="str">
        <x:f>"11381500"</x:f>
        <x:v>11381500</x:v>
      </x:c>
      <x:c r="B128" s="12" t="n">
        <x:v>20</x:v>
      </x:c>
      <x:c r="C128" s="12" t="n">
        <x:v>42</x:v>
      </x:c>
      <x:c r="D128" s="12" t="n">
        <x:v>32</x:v>
      </x:c>
      <x:c r="E128" s="12" t="n">
        <x:v>2</x:v>
      </x:c>
      <x:c r="F128" s="19" t="n">
        <x:v>0.0006339007815048592</x:v>
      </x:c>
      <x:c r="G128" s="19" t="n">
        <x:v>0</x:v>
      </x:c>
      <x:c r="H128" s="19" t="n">
        <x:v>0</x:v>
      </x:c>
      <x:c r="I128" s="10" t="n">
        <x:v>0.5542274088535055</x:v>
      </x:c>
      <x:c r="J128" s="10" t="n">
        <x:v>0.3105255961418152</x:v>
      </x:c>
      <x:c r="K128" s="12" t="n">
        <x:v>25</x:v>
      </x:c>
      <x:c r="L128" s="22" t="n">
        <x:v>20.561692157760262</x:v>
      </x:c>
      <x:c r="M128" s="20" t="str">
        <x:v>No</x:v>
      </x:c>
    </x:row>
    <x:row r="129" ht="22" customHeight="1">
      <x:c r="A129" s="15" t="str">
        <x:f>"12092000"</x:f>
        <x:v>12092000</x:v>
      </x:c>
      <x:c r="B129" s="12" t="n">
        <x:v>20</x:v>
      </x:c>
      <x:c r="C129" s="12" t="n">
        <x:v>42</x:v>
      </x:c>
      <x:c r="D129" s="12" t="n">
        <x:v>32</x:v>
      </x:c>
      <x:c r="E129" s="12" t="n">
        <x:v>2</x:v>
      </x:c>
      <x:c r="F129" s="19" t="n">
        <x:v>0.0006339007815048592</x:v>
      </x:c>
      <x:c r="G129" s="19" t="n">
        <x:v>0</x:v>
      </x:c>
      <x:c r="H129" s="19" t="n">
        <x:v>0</x:v>
      </x:c>
      <x:c r="I129" s="10" t="n">
        <x:v>0.6225186532768542</x:v>
      </x:c>
      <x:c r="J129" s="10" t="n">
        <x:v>0.6848349571228027</x:v>
      </x:c>
      <x:c r="K129" s="12" t="n">
        <x:v>28</x:v>
      </x:c>
      <x:c r="L129" s="22" t="n">
        <x:v>20.02381138317287</x:v>
      </x:c>
      <x:c r="M129" s="20" t="str">
        <x:v>No</x:v>
      </x:c>
    </x:row>
    <x:row r="130" ht="22" customHeight="1">
      <x:c r="A130" s="15" t="str">
        <x:f>"04224775"</x:f>
        <x:v>04224775</x:v>
      </x:c>
      <x:c r="B130" s="12" t="n">
        <x:v>21</x:v>
      </x:c>
      <x:c r="C130" s="12" t="n">
        <x:v>42</x:v>
      </x:c>
      <x:c r="D130" s="12" t="n">
        <x:v>32</x:v>
      </x:c>
      <x:c r="E130" s="12" t="n">
        <x:v>2</x:v>
      </x:c>
      <x:c r="F130" s="19" t="n">
        <x:v>0.0007020379977499601</x:v>
      </x:c>
      <x:c r="G130" s="19" t="n">
        <x:v>0</x:v>
      </x:c>
      <x:c r="H130" s="19" t="n">
        <x:v>0</x:v>
      </x:c>
      <x:c r="I130" s="10" t="n">
        <x:v>0.5226806631010061</x:v>
      </x:c>
      <x:c r="J130" s="10" t="n">
        <x:v>0.5457133650779724</x:v>
      </x:c>
      <x:c r="K130" s="12" t="n">
        <x:v>27</x:v>
      </x:c>
      <x:c r="L130" s="22" t="n">
        <x:v>19.7163295596838</x:v>
      </x:c>
      <x:c r="M130" s="20" t="str">
        <x:v>No</x:v>
      </x:c>
    </x:row>
    <x:row r="131" ht="22" customHeight="1">
      <x:c r="A131" s="15" t="str">
        <x:f>"05291000"</x:f>
        <x:v>05291000</x:v>
      </x:c>
      <x:c r="B131" s="12" t="n">
        <x:v>21</x:v>
      </x:c>
      <x:c r="C131" s="12" t="n">
        <x:v>42</x:v>
      </x:c>
      <x:c r="D131" s="12" t="n">
        <x:v>32</x:v>
      </x:c>
      <x:c r="E131" s="12" t="n">
        <x:v>2</x:v>
      </x:c>
      <x:c r="F131" s="19" t="n">
        <x:v>0.0007020379977499601</x:v>
      </x:c>
      <x:c r="G131" s="19" t="n">
        <x:v>0</x:v>
      </x:c>
      <x:c r="H131" s="19" t="n">
        <x:v>0</x:v>
      </x:c>
      <x:c r="I131" s="10" t="n">
        <x:v>0.7238816003835281</x:v>
      </x:c>
      <x:c r="J131" s="10" t="n">
        <x:v>0.2958763539791107</x:v>
      </x:c>
      <x:c r="K131" s="12" t="n">
        <x:v>28</x:v>
      </x:c>
      <x:c r="L131" s="22" t="n">
        <x:v>20.030478357337415</x:v>
      </x:c>
      <x:c r="M131" s="20" t="str">
        <x:v>No</x:v>
      </x:c>
    </x:row>
    <x:row r="132" ht="22" customHeight="1">
      <x:c r="A132" s="15" t="str">
        <x:f>"06278300"</x:f>
        <x:v>06278300</x:v>
      </x:c>
      <x:c r="B132" s="12" t="n">
        <x:v>21</x:v>
      </x:c>
      <x:c r="C132" s="12" t="n">
        <x:v>42</x:v>
      </x:c>
      <x:c r="D132" s="12" t="n">
        <x:v>32</x:v>
      </x:c>
      <x:c r="E132" s="12" t="n">
        <x:v>2</x:v>
      </x:c>
      <x:c r="F132" s="19" t="n">
        <x:v>0.0007020379977499601</x:v>
      </x:c>
      <x:c r="G132" s="19" t="n">
        <x:v>0</x:v>
      </x:c>
      <x:c r="H132" s="19" t="n">
        <x:v>0</x:v>
      </x:c>
      <x:c r="I132" s="10" t="n">
        <x:v>0.9544171389615295</x:v>
      </x:c>
      <x:c r="J132" s="10" t="n">
        <x:v>0.04777205362915993</x:v>
      </x:c>
      <x:c r="K132" s="12" t="n">
        <x:v>14</x:v>
      </x:c>
      <x:c r="L132" s="22" t="n">
        <x:v>20.451411019079387</x:v>
      </x:c>
      <x:c r="M132" s="20" t="str">
        <x:v>No</x:v>
      </x:c>
    </x:row>
    <x:row r="133" ht="22" customHeight="1">
      <x:c r="A133" s="15" t="str">
        <x:f>"07167500"</x:f>
        <x:v>07167500</x:v>
      </x:c>
      <x:c r="B133" s="12" t="n">
        <x:v>21</x:v>
      </x:c>
      <x:c r="C133" s="12" t="n">
        <x:v>42</x:v>
      </x:c>
      <x:c r="D133" s="12" t="n">
        <x:v>32</x:v>
      </x:c>
      <x:c r="E133" s="12" t="n">
        <x:v>2</x:v>
      </x:c>
      <x:c r="F133" s="19" t="n">
        <x:v>0.0007020379977499601</x:v>
      </x:c>
      <x:c r="G133" s="19" t="n">
        <x:v>0</x:v>
      </x:c>
      <x:c r="H133" s="19" t="n">
        <x:v>0</x:v>
      </x:c>
      <x:c r="I133" s="10" t="n">
        <x:v>0.14613223683536825</x:v>
      </x:c>
      <x:c r="J133" s="10" t="n">
        <x:v>2.571518659591675</x:v>
      </x:c>
      <x:c r="K133" s="12" t="n">
        <x:v>19</x:v>
      </x:c>
      <x:c r="L133" s="22" t="n">
        <x:v>19.21100512892008</x:v>
      </x:c>
      <x:c r="M133" s="20" t="str">
        <x:v>No</x:v>
      </x:c>
    </x:row>
    <x:row r="134" ht="22" customHeight="1">
      <x:c r="A134" s="15" t="str">
        <x:f>"11381500"</x:f>
        <x:v>11381500</x:v>
      </x:c>
      <x:c r="B134" s="12" t="n">
        <x:v>21</x:v>
      </x:c>
      <x:c r="C134" s="12" t="n">
        <x:v>42</x:v>
      </x:c>
      <x:c r="D134" s="12" t="n">
        <x:v>32</x:v>
      </x:c>
      <x:c r="E134" s="12" t="n">
        <x:v>2</x:v>
      </x:c>
      <x:c r="F134" s="19" t="n">
        <x:v>0.0007020379977499601</x:v>
      </x:c>
      <x:c r="G134" s="19" t="n">
        <x:v>0</x:v>
      </x:c>
      <x:c r="H134" s="19" t="n">
        <x:v>0</x:v>
      </x:c>
      <x:c r="I134" s="10" t="n">
        <x:v>0.5542484824365763</x:v>
      </x:c>
      <x:c r="J134" s="10" t="n">
        <x:v>0.31051090359687805</x:v>
      </x:c>
      <x:c r="K134" s="12" t="n">
        <x:v>25</x:v>
      </x:c>
      <x:c r="L134" s="22" t="n">
        <x:v>20.250282630324364</x:v>
      </x:c>
      <x:c r="M134" s="20" t="str">
        <x:v>No</x:v>
      </x:c>
    </x:row>
    <x:row r="135" ht="22" customHeight="1">
      <x:c r="A135" s="15" t="str">
        <x:f>"12092000"</x:f>
        <x:v>12092000</x:v>
      </x:c>
      <x:c r="B135" s="12" t="n">
        <x:v>21</x:v>
      </x:c>
      <x:c r="C135" s="12" t="n">
        <x:v>42</x:v>
      </x:c>
      <x:c r="D135" s="12" t="n">
        <x:v>32</x:v>
      </x:c>
      <x:c r="E135" s="12" t="n">
        <x:v>2</x:v>
      </x:c>
      <x:c r="F135" s="19" t="n">
        <x:v>0.0007020379977499601</x:v>
      </x:c>
      <x:c r="G135" s="19" t="n">
        <x:v>0</x:v>
      </x:c>
      <x:c r="H135" s="19" t="n">
        <x:v>0</x:v>
      </x:c>
      <x:c r="I135" s="10" t="n">
        <x:v>0.6243348845487129</x:v>
      </x:c>
      <x:c r="J135" s="10" t="n">
        <x:v>0.6815398931503296</x:v>
      </x:c>
      <x:c r="K135" s="12" t="n">
        <x:v>28</x:v>
      </x:c>
      <x:c r="L135" s="22" t="n">
        <x:v>20.479498186148703</x:v>
      </x:c>
      <x:c r="M135" s="20" t="str">
        <x:v>No</x:v>
      </x:c>
    </x:row>
    <x:row r="136" ht="22" customHeight="1">
      <x:c r="A136" s="15" t="str">
        <x:f>"04224775"</x:f>
        <x:v>04224775</x:v>
      </x:c>
      <x:c r="B136" s="12" t="n">
        <x:v>22</x:v>
      </x:c>
      <x:c r="C136" s="12" t="n">
        <x:v>42</x:v>
      </x:c>
      <x:c r="D136" s="12" t="n">
        <x:v>256</x:v>
      </x:c>
      <x:c r="E136" s="12" t="n">
        <x:v>2</x:v>
      </x:c>
      <x:c r="F136" s="19" t="n">
        <x:v>0.0022367832561693344</x:v>
      </x:c>
      <x:c r="G136" s="19" t="n">
        <x:v>0</x:v>
      </x:c>
      <x:c r="H136" s="19" t="n">
        <x:v>0.0001</x:v>
      </x:c>
      <x:c r="I136" s="10" t="n">
        <x:v>0.5328867872236099</x:v>
      </x:c>
      <x:c r="J136" s="10" t="n">
        <x:v>0.5340448021888733</x:v>
      </x:c>
      <x:c r="K136" s="12" t="n">
        <x:v>9</x:v>
      </x:c>
      <x:c r="L136" s="22" t="n">
        <x:v>40.49601396173239</x:v>
      </x:c>
      <x:c r="M136" s="20" t="str">
        <x:v>No</x:v>
      </x:c>
    </x:row>
    <x:row r="137" ht="22" customHeight="1">
      <x:c r="A137" s="15" t="str">
        <x:f>"05291000"</x:f>
        <x:v>05291000</x:v>
      </x:c>
      <x:c r="B137" s="12" t="n">
        <x:v>22</x:v>
      </x:c>
      <x:c r="C137" s="12" t="n">
        <x:v>42</x:v>
      </x:c>
      <x:c r="D137" s="12" t="n">
        <x:v>256</x:v>
      </x:c>
      <x:c r="E137" s="12" t="n">
        <x:v>2</x:v>
      </x:c>
      <x:c r="F137" s="19" t="n">
        <x:v>0.0022367832561693344</x:v>
      </x:c>
      <x:c r="G137" s="19" t="n">
        <x:v>0</x:v>
      </x:c>
      <x:c r="H137" s="19" t="n">
        <x:v>0.0001</x:v>
      </x:c>
      <x:c r="I137" s="10" t="n">
        <x:v>0.7933889910424742</x:v>
      </x:c>
      <x:c r="J137" s="10" t="n">
        <x:v>0.22139523923397064</x:v>
      </x:c>
      <x:c r="K137" s="12" t="n">
        <x:v>15</x:v>
      </x:c>
      <x:c r="L137" s="22" t="n">
        <x:v>40.463414282538</x:v>
      </x:c>
      <x:c r="M137" s="20" t="str">
        <x:v>No</x:v>
      </x:c>
    </x:row>
    <x:row r="138" ht="22" customHeight="1">
      <x:c r="A138" s="15" t="str">
        <x:f>"06278300"</x:f>
        <x:v>06278300</x:v>
      </x:c>
      <x:c r="B138" s="12" t="n">
        <x:v>22</x:v>
      </x:c>
      <x:c r="C138" s="12" t="n">
        <x:v>42</x:v>
      </x:c>
      <x:c r="D138" s="12" t="n">
        <x:v>256</x:v>
      </x:c>
      <x:c r="E138" s="12" t="n">
        <x:v>2</x:v>
      </x:c>
      <x:c r="F138" s="19" t="n">
        <x:v>0.0022367832561693344</x:v>
      </x:c>
      <x:c r="G138" s="19" t="n">
        <x:v>0</x:v>
      </x:c>
      <x:c r="H138" s="19" t="n">
        <x:v>0.0001</x:v>
      </x:c>
      <x:c r="I138" s="10" t="n">
        <x:v>0.958465769907624</x:v>
      </x:c>
      <x:c r="J138" s="10" t="n">
        <x:v>0.04352898150682449</x:v>
      </x:c>
      <x:c r="K138" s="12" t="n">
        <x:v>23</x:v>
      </x:c>
      <x:c r="L138" s="22" t="n">
        <x:v>40.437217245809734</x:v>
      </x:c>
      <x:c r="M138" s="20" t="str">
        <x:v>No</x:v>
      </x:c>
    </x:row>
    <x:row r="139" ht="22" customHeight="1">
      <x:c r="A139" s="15" t="str">
        <x:f>"07167500"</x:f>
        <x:v>07167500</x:v>
      </x:c>
      <x:c r="B139" s="12" t="n">
        <x:v>22</x:v>
      </x:c>
      <x:c r="C139" s="12" t="n">
        <x:v>42</x:v>
      </x:c>
      <x:c r="D139" s="12" t="n">
        <x:v>256</x:v>
      </x:c>
      <x:c r="E139" s="12" t="n">
        <x:v>2</x:v>
      </x:c>
      <x:c r="F139" s="19" t="n">
        <x:v>0.0022367832561693344</x:v>
      </x:c>
      <x:c r="G139" s="19" t="n">
        <x:v>0</x:v>
      </x:c>
      <x:c r="H139" s="19" t="n">
        <x:v>0.0001</x:v>
      </x:c>
      <x:c r="I139" s="10" t="n">
        <x:v>0.14029541966276216</x:v>
      </x:c>
      <x:c r="J139" s="10" t="n">
        <x:v>2.589096784591675</x:v>
      </x:c>
      <x:c r="K139" s="12" t="n">
        <x:v>5</x:v>
      </x:c>
      <x:c r="L139" s="22" t="n">
        <x:v>40.46230529341847</x:v>
      </x:c>
      <x:c r="M139" s="20" t="str">
        <x:v>No</x:v>
      </x:c>
    </x:row>
    <x:row r="140" ht="22" customHeight="1">
      <x:c r="A140" s="15" t="str">
        <x:f>"11381500"</x:f>
        <x:v>11381500</x:v>
      </x:c>
      <x:c r="B140" s="12" t="n">
        <x:v>22</x:v>
      </x:c>
      <x:c r="C140" s="12" t="n">
        <x:v>42</x:v>
      </x:c>
      <x:c r="D140" s="12" t="n">
        <x:v>256</x:v>
      </x:c>
      <x:c r="E140" s="12" t="n">
        <x:v>2</x:v>
      </x:c>
      <x:c r="F140" s="19" t="n">
        <x:v>0.0022367832561693344</x:v>
      </x:c>
      <x:c r="G140" s="19" t="n">
        <x:v>0</x:v>
      </x:c>
      <x:c r="H140" s="19" t="n">
        <x:v>0.0001</x:v>
      </x:c>
      <x:c r="I140" s="10" t="n">
        <x:v>0.5545372052378772</x:v>
      </x:c>
      <x:c r="J140" s="10" t="n">
        <x:v>0.3103097975254059</x:v>
      </x:c>
      <x:c r="K140" s="12" t="n">
        <x:v>5</x:v>
      </x:c>
      <x:c r="L140" s="22" t="n">
        <x:v>40.473458596505225</x:v>
      </x:c>
      <x:c r="M140" s="20" t="str">
        <x:v>No</x:v>
      </x:c>
    </x:row>
    <x:row r="141" ht="22" customHeight="1">
      <x:c r="A141" s="15" t="str">
        <x:f>"12092000"</x:f>
        <x:v>12092000</x:v>
      </x:c>
      <x:c r="B141" s="12" t="n">
        <x:v>22</x:v>
      </x:c>
      <x:c r="C141" s="12" t="n">
        <x:v>42</x:v>
      </x:c>
      <x:c r="D141" s="12" t="n">
        <x:v>256</x:v>
      </x:c>
      <x:c r="E141" s="12" t="n">
        <x:v>2</x:v>
      </x:c>
      <x:c r="F141" s="19" t="n">
        <x:v>0.0022367832561693344</x:v>
      </x:c>
      <x:c r="G141" s="19" t="n">
        <x:v>0</x:v>
      </x:c>
      <x:c r="H141" s="19" t="n">
        <x:v>0.0001</x:v>
      </x:c>
      <x:c r="I141" s="10" t="n">
        <x:v>0.6961478506109786</x:v>
      </x:c>
      <x:c r="J141" s="10" t="n">
        <x:v>0.5512552857398987</x:v>
      </x:c>
      <x:c r="K141" s="12" t="n">
        <x:v>30</x:v>
      </x:c>
      <x:c r="L141" s="22" t="n">
        <x:v>40.458952699787915</x:v>
      </x:c>
      <x:c r="M141" s="20" t="str">
        <x:v>No</x:v>
      </x:c>
    </x:row>
    <x:row r="142" ht="22" customHeight="1">
      <x:c r="A142" s="15" t="str">
        <x:f>"04224775"</x:f>
        <x:v>04224775</x:v>
      </x:c>
      <x:c r="B142" s="12" t="n">
        <x:v>23</x:v>
      </x:c>
      <x:c r="C142" s="12" t="n">
        <x:v>42</x:v>
      </x:c>
      <x:c r="D142" s="12" t="n">
        <x:v>256</x:v>
      </x:c>
      <x:c r="E142" s="12" t="n">
        <x:v>2</x:v>
      </x:c>
      <x:c r="F142" s="19" t="n">
        <x:v>0.0022211024168907493</x:v>
      </x:c>
      <x:c r="G142" s="19" t="n">
        <x:v>0</x:v>
      </x:c>
      <x:c r="H142" s="19" t="n">
        <x:v>0.0001</x:v>
      </x:c>
      <x:c r="I142" s="10" t="n">
        <x:v>0.532937256596425</x:v>
      </x:c>
      <x:c r="J142" s="10" t="n">
        <x:v>0.5339871644973755</x:v>
      </x:c>
      <x:c r="K142" s="12" t="n">
        <x:v>9</x:v>
      </x:c>
      <x:c r="L142" s="22" t="n">
        <x:v>40.49778455123305</x:v>
      </x:c>
      <x:c r="M142" s="20" t="str">
        <x:v>No</x:v>
      </x:c>
    </x:row>
    <x:row r="143" ht="22" customHeight="1">
      <x:c r="A143" s="15" t="str">
        <x:f>"05291000"</x:f>
        <x:v>05291000</x:v>
      </x:c>
      <x:c r="B143" s="12" t="n">
        <x:v>23</x:v>
      </x:c>
      <x:c r="C143" s="12" t="n">
        <x:v>42</x:v>
      </x:c>
      <x:c r="D143" s="12" t="n">
        <x:v>256</x:v>
      </x:c>
      <x:c r="E143" s="12" t="n">
        <x:v>2</x:v>
      </x:c>
      <x:c r="F143" s="19" t="n">
        <x:v>0.0022211024168907493</x:v>
      </x:c>
      <x:c r="G143" s="19" t="n">
        <x:v>0</x:v>
      </x:c>
      <x:c r="H143" s="19" t="n">
        <x:v>0.0001</x:v>
      </x:c>
      <x:c r="I143" s="10" t="n">
        <x:v>0.7936626895449361</x:v>
      </x:c>
      <x:c r="J143" s="10" t="n">
        <x:v>0.22110195457935333</x:v>
      </x:c>
      <x:c r="K143" s="12" t="n">
        <x:v>20</x:v>
      </x:c>
      <x:c r="L143" s="22" t="n">
        <x:v>40.487322287634015</x:v>
      </x:c>
      <x:c r="M143" s="20" t="str">
        <x:v>No</x:v>
      </x:c>
    </x:row>
    <x:row r="144" ht="22" customHeight="1">
      <x:c r="A144" s="15" t="str">
        <x:f>"06278300"</x:f>
        <x:v>06278300</x:v>
      </x:c>
      <x:c r="B144" s="12" t="n">
        <x:v>23</x:v>
      </x:c>
      <x:c r="C144" s="12" t="n">
        <x:v>42</x:v>
      </x:c>
      <x:c r="D144" s="12" t="n">
        <x:v>256</x:v>
      </x:c>
      <x:c r="E144" s="12" t="n">
        <x:v>2</x:v>
      </x:c>
      <x:c r="F144" s="19" t="n">
        <x:v>0.0022211024168907493</x:v>
      </x:c>
      <x:c r="G144" s="19" t="n">
        <x:v>0</x:v>
      </x:c>
      <x:c r="H144" s="19" t="n">
        <x:v>0.0001</x:v>
      </x:c>
      <x:c r="I144" s="10" t="n">
        <x:v>0.9607605730115836</x:v>
      </x:c>
      <x:c r="J144" s="10" t="n">
        <x:v>0.04112396389245987</x:v>
      </x:c>
      <x:c r="K144" s="12" t="n">
        <x:v>25</x:v>
      </x:c>
      <x:c r="L144" s="22" t="n">
        <x:v>40.487818772904575</x:v>
      </x:c>
      <x:c r="M144" s="20" t="str">
        <x:v>No</x:v>
      </x:c>
    </x:row>
    <x:row r="145" ht="22" customHeight="1">
      <x:c r="A145" s="15" t="str">
        <x:f>"07167500"</x:f>
        <x:v>07167500</x:v>
      </x:c>
      <x:c r="B145" s="12" t="n">
        <x:v>23</x:v>
      </x:c>
      <x:c r="C145" s="12" t="n">
        <x:v>42</x:v>
      </x:c>
      <x:c r="D145" s="12" t="n">
        <x:v>256</x:v>
      </x:c>
      <x:c r="E145" s="12" t="n">
        <x:v>2</x:v>
      </x:c>
      <x:c r="F145" s="19" t="n">
        <x:v>0.0022211024168907493</x:v>
      </x:c>
      <x:c r="G145" s="19" t="n">
        <x:v>0</x:v>
      </x:c>
      <x:c r="H145" s="19" t="n">
        <x:v>0.0001</x:v>
      </x:c>
      <x:c r="I145" s="10" t="n">
        <x:v>0.14031141255086876</x:v>
      </x:c>
      <x:c r="J145" s="10" t="n">
        <x:v>2.5890488624572754</x:v>
      </x:c>
      <x:c r="K145" s="12" t="n">
        <x:v>5</x:v>
      </x:c>
      <x:c r="L145" s="22" t="n">
        <x:v>40.495221705175936</x:v>
      </x:c>
      <x:c r="M145" s="20" t="str">
        <x:v>No</x:v>
      </x:c>
    </x:row>
    <x:row r="146" ht="22" customHeight="1">
      <x:c r="A146" s="15" t="str">
        <x:f>"11381500"</x:f>
        <x:v>11381500</x:v>
      </x:c>
      <x:c r="B146" s="12" t="n">
        <x:v>23</x:v>
      </x:c>
      <x:c r="C146" s="12" t="n">
        <x:v>42</x:v>
      </x:c>
      <x:c r="D146" s="12" t="n">
        <x:v>256</x:v>
      </x:c>
      <x:c r="E146" s="12" t="n">
        <x:v>2</x:v>
      </x:c>
      <x:c r="F146" s="19" t="n">
        <x:v>0.0022211024168907493</x:v>
      </x:c>
      <x:c r="G146" s="19" t="n">
        <x:v>0</x:v>
      </x:c>
      <x:c r="H146" s="19" t="n">
        <x:v>0.0001</x:v>
      </x:c>
      <x:c r="I146" s="10" t="n">
        <x:v>0.5546671826723887</x:v>
      </x:c>
      <x:c r="J146" s="10" t="n">
        <x:v>0.3102192282676697</x:v>
      </x:c>
      <x:c r="K146" s="12" t="n">
        <x:v>5</x:v>
      </x:c>
      <x:c r="L146" s="22" t="n">
        <x:v>40.49907479248941</x:v>
      </x:c>
      <x:c r="M146" s="20" t="str">
        <x:v>No</x:v>
      </x:c>
    </x:row>
    <x:row r="147" ht="22" customHeight="1">
      <x:c r="A147" s="16" t="str">
        <x:f>"12092000"</x:f>
        <x:v>12092000</x:v>
      </x:c>
      <x:c r="B147" s="13" t="n">
        <x:v>23</x:v>
      </x:c>
      <x:c r="C147" s="13" t="n">
        <x:v>42</x:v>
      </x:c>
      <x:c r="D147" s="13" t="n">
        <x:v>256</x:v>
      </x:c>
      <x:c r="E147" s="13" t="n">
        <x:v>2</x:v>
      </x:c>
      <x:c r="F147" s="14" t="n">
        <x:v>0.0022211024168907493</x:v>
      </x:c>
      <x:c r="G147" s="14" t="n">
        <x:v>0</x:v>
      </x:c>
      <x:c r="H147" s="14" t="n">
        <x:v>0.0001</x:v>
      </x:c>
      <x:c r="I147" s="11" t="n">
        <x:v>0.6978645455187826</x:v>
      </x:c>
      <x:c r="J147" s="11" t="n">
        <x:v>0.5481407642364502</x:v>
      </x:c>
      <x:c r="K147" s="13" t="n">
        <x:v>23</x:v>
      </x:c>
      <x:c r="L147" s="23" t="n">
        <x:v>40.285344364121556</x:v>
      </x:c>
      <x:c r="M147" s="21" t="str">
        <x:v>No</x:v>
      </x:c>
    </x:row>
  </x:sheetData>
  <x:pageMargins left="0.7" right="0.7" top="0.75" bottom="0.75" header="0.3" footer="0.3"/>
</x:worksheet>
</file>